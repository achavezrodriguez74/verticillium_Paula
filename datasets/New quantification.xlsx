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ia\OneDrive - Wageningen University &amp; Research\UCI_projects\Project_8 (Reviews)\Family\Pere\doctorado\datasets\"/>
    </mc:Choice>
  </mc:AlternateContent>
  <xr:revisionPtr revIDLastSave="0" documentId="13_ncr:1_{D1653202-A74D-4841-9955-7FC331960752}" xr6:coauthVersionLast="47" xr6:coauthVersionMax="47" xr10:uidLastSave="{00000000-0000-0000-0000-000000000000}"/>
  <bookViews>
    <workbookView xWindow="-108" yWindow="-108" windowWidth="23256" windowHeight="12456" activeTab="3" xr2:uid="{15342429-1A93-47ED-8242-5AB92BED73CC}"/>
  </bookViews>
  <sheets>
    <sheet name="New quantification" sheetId="1" r:id="rId1"/>
    <sheet name="Three circles" sheetId="2" r:id="rId2"/>
    <sheet name="Normalization" sheetId="3" r:id="rId3"/>
    <sheet name="Sheet1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8" i="3" l="1"/>
  <c r="P7" i="3"/>
  <c r="P5" i="3"/>
  <c r="S4" i="3" s="1"/>
  <c r="P4" i="3"/>
  <c r="L5" i="3"/>
  <c r="L6" i="3"/>
  <c r="L4" i="3"/>
  <c r="K6" i="3"/>
  <c r="K5" i="3"/>
  <c r="K4" i="3"/>
  <c r="F9" i="3"/>
  <c r="E9" i="3"/>
  <c r="P9" i="3" s="1"/>
  <c r="S6" i="3" s="1"/>
  <c r="F8" i="3"/>
  <c r="E8" i="3"/>
  <c r="F7" i="3"/>
  <c r="E7" i="3"/>
  <c r="F6" i="3"/>
  <c r="E6" i="3"/>
  <c r="P6" i="3" s="1"/>
  <c r="S5" i="3" s="1"/>
  <c r="F5" i="3"/>
  <c r="E5" i="3"/>
  <c r="F4" i="3"/>
  <c r="E4" i="3"/>
  <c r="O3" i="2"/>
  <c r="O8" i="2"/>
  <c r="N8" i="2"/>
  <c r="O7" i="2"/>
  <c r="N7" i="2"/>
  <c r="O6" i="2"/>
  <c r="N6" i="2"/>
  <c r="O5" i="2"/>
  <c r="N5" i="2"/>
  <c r="O4" i="2"/>
  <c r="N4" i="2"/>
  <c r="N3" i="2"/>
  <c r="F4" i="2"/>
  <c r="H4" i="2" s="1"/>
  <c r="F5" i="2"/>
  <c r="H5" i="2" s="1"/>
  <c r="F6" i="2"/>
  <c r="H6" i="2" s="1"/>
  <c r="F7" i="2"/>
  <c r="H7" i="2" s="1"/>
  <c r="F8" i="2"/>
  <c r="H8" i="2" s="1"/>
  <c r="F9" i="2"/>
  <c r="H9" i="2" s="1"/>
  <c r="F10" i="2"/>
  <c r="H10" i="2" s="1"/>
  <c r="F11" i="2"/>
  <c r="H11" i="2" s="1"/>
  <c r="F12" i="2"/>
  <c r="H12" i="2" s="1"/>
  <c r="F13" i="2"/>
  <c r="H13" i="2" s="1"/>
  <c r="F14" i="2"/>
  <c r="H14" i="2" s="1"/>
  <c r="F3" i="2"/>
  <c r="H3" i="2"/>
</calcChain>
</file>

<file path=xl/sharedStrings.xml><?xml version="1.0" encoding="utf-8"?>
<sst xmlns="http://schemas.openxmlformats.org/spreadsheetml/2006/main" count="95" uniqueCount="48">
  <si>
    <t xml:space="preserve"> </t>
  </si>
  <si>
    <t>Area</t>
  </si>
  <si>
    <t>Mean</t>
  </si>
  <si>
    <t>Min</t>
  </si>
  <si>
    <t>Max</t>
  </si>
  <si>
    <t>WT1-1</t>
  </si>
  <si>
    <t>WT1-2</t>
  </si>
  <si>
    <t>WT2-1</t>
  </si>
  <si>
    <t>WT2-2</t>
  </si>
  <si>
    <t>ΔNML1 c8-1</t>
  </si>
  <si>
    <t>ΔNML1 c8-2</t>
  </si>
  <si>
    <t>ΔNML1 c9-1</t>
  </si>
  <si>
    <t>ΔNML1 c9-2</t>
  </si>
  <si>
    <t>NML1-C c4-1</t>
  </si>
  <si>
    <t>NML1-C c4-2</t>
  </si>
  <si>
    <t>NML1-C c8-1</t>
  </si>
  <si>
    <t>NML1-C c8-2</t>
  </si>
  <si>
    <t>Technical Rep</t>
  </si>
  <si>
    <t>Bright 1</t>
  </si>
  <si>
    <t>Bright 2</t>
  </si>
  <si>
    <t>Bright 3</t>
  </si>
  <si>
    <t>Average</t>
  </si>
  <si>
    <t>Inner Circle</t>
  </si>
  <si>
    <t xml:space="preserve">Normalization </t>
  </si>
  <si>
    <t>Biological Rep</t>
  </si>
  <si>
    <t>Background Mean</t>
  </si>
  <si>
    <t>SD</t>
  </si>
  <si>
    <t>WT1</t>
  </si>
  <si>
    <t>WT2</t>
  </si>
  <si>
    <t>ΔNML1 c8</t>
  </si>
  <si>
    <t>ΔNML1 c9</t>
  </si>
  <si>
    <t>NML1-C c4</t>
  </si>
  <si>
    <t>NML1-C c8</t>
  </si>
  <si>
    <t>Strain</t>
  </si>
  <si>
    <t>WT</t>
  </si>
  <si>
    <t>ΔNML1</t>
  </si>
  <si>
    <t>NML1-C</t>
  </si>
  <si>
    <t>Normalized (Rel to WT)</t>
  </si>
  <si>
    <t xml:space="preserve">ΔNML1 </t>
  </si>
  <si>
    <t xml:space="preserve">NML1-C </t>
  </si>
  <si>
    <t>Biological_Rep</t>
  </si>
  <si>
    <t>Normalized</t>
  </si>
  <si>
    <t>Treatment</t>
  </si>
  <si>
    <t>Plot</t>
  </si>
  <si>
    <t>NML1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</si>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</sst>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18" fillId="0" borderId="0" xfId="0" applyFont="1"/>
    <xf numFmtId="0" fontId="16" fillId="0" borderId="0" xfId="0" applyFont="1" applyAlignment="1">
      <alignment horizontal="center" vertical="center"/>
    </xf>
    <xf numFmtId="165" fontId="0" fillId="0" borderId="0" xfId="0" applyNumberFormat="1"/>
    <xf numFmtId="0" fontId="16" fillId="0" borderId="0" xfId="0" applyFont="1" applyAlignment="1">
      <alignment horizontal="center" vertical="center" wrapText="1"/>
    </xf>
    <xf numFmtId="166" fontId="0" fillId="0" borderId="0" xfId="0" applyNumberFormat="1"/>
    <xf numFmtId="165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Normalization!$R$4:$R$6</c:f>
              <c:strCache>
                <c:ptCount val="3"/>
                <c:pt idx="0">
                  <c:v>WT</c:v>
                </c:pt>
                <c:pt idx="1">
                  <c:v>ΔNML1 </c:v>
                </c:pt>
                <c:pt idx="2">
                  <c:v>NML1-C </c:v>
                </c:pt>
              </c:strCache>
            </c:strRef>
          </c:cat>
          <c:val>
            <c:numRef>
              <c:f>Normalization!$S$4:$S$6</c:f>
              <c:numCache>
                <c:formatCode>0.0000</c:formatCode>
                <c:ptCount val="3"/>
                <c:pt idx="0">
                  <c:v>1</c:v>
                </c:pt>
                <c:pt idx="1">
                  <c:v>0.40016875895841031</c:v>
                </c:pt>
                <c:pt idx="2">
                  <c:v>0.52325225779588957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0C-4489-94F9-A5BAA78B69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9631264"/>
        <c:axId val="2089627904"/>
      </c:barChart>
      <c:catAx>
        <c:axId val="2089631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2089627904"/>
        <c:crosses val="autoZero"/>
        <c:auto val="1"/>
        <c:lblAlgn val="ctr"/>
        <c:lblOffset val="100"/>
        <c:noMultiLvlLbl val="0"/>
      </c:catAx>
      <c:valAx>
        <c:axId val="2089627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2089631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114300</xdr:colOff>
      <xdr:row>11</xdr:row>
      <xdr:rowOff>87630</xdr:rowOff>
    </xdr:from>
    <xdr:to>
      <xdr:col>19</xdr:col>
      <xdr:colOff>525780</xdr:colOff>
      <xdr:row>26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856662-B09A-7102-E262-1B5222EF68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93A3F-A7A1-4D56-8C60-B6B0E0871908}">
  <dimension ref="A1:E13"/>
  <sheetViews>
    <sheetView workbookViewId="0">
      <selection activeCell="C10" sqref="C10:C13"/>
    </sheetView>
  </sheetViews>
  <sheetFormatPr defaultRowHeight="14.4" x14ac:dyDescent="0.3"/>
  <cols>
    <col min="1" max="1" width="16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41912</v>
      </c>
      <c r="C2" s="1">
        <v>152.82499999999999</v>
      </c>
      <c r="D2">
        <v>137</v>
      </c>
      <c r="E2">
        <v>165</v>
      </c>
    </row>
    <row r="3" spans="1:5" x14ac:dyDescent="0.3">
      <c r="A3" t="s">
        <v>6</v>
      </c>
      <c r="B3">
        <v>41912</v>
      </c>
      <c r="C3" s="1">
        <v>153.06399999999999</v>
      </c>
      <c r="D3">
        <v>134</v>
      </c>
      <c r="E3">
        <v>164</v>
      </c>
    </row>
    <row r="4" spans="1:5" x14ac:dyDescent="0.3">
      <c r="A4" t="s">
        <v>7</v>
      </c>
      <c r="B4">
        <v>41912</v>
      </c>
      <c r="C4" s="1">
        <v>151.93799999999999</v>
      </c>
      <c r="D4">
        <v>136</v>
      </c>
      <c r="E4">
        <v>165</v>
      </c>
    </row>
    <row r="5" spans="1:5" x14ac:dyDescent="0.3">
      <c r="A5" t="s">
        <v>8</v>
      </c>
      <c r="B5">
        <v>41912</v>
      </c>
      <c r="C5" s="1">
        <v>147.346</v>
      </c>
      <c r="D5">
        <v>131</v>
      </c>
      <c r="E5">
        <v>160</v>
      </c>
    </row>
    <row r="6" spans="1:5" x14ac:dyDescent="0.3">
      <c r="A6" s="2" t="s">
        <v>9</v>
      </c>
      <c r="B6">
        <v>41912</v>
      </c>
      <c r="C6" s="1">
        <v>170.68</v>
      </c>
      <c r="D6">
        <v>161</v>
      </c>
      <c r="E6">
        <v>178</v>
      </c>
    </row>
    <row r="7" spans="1:5" x14ac:dyDescent="0.3">
      <c r="A7" s="2" t="s">
        <v>10</v>
      </c>
      <c r="B7">
        <v>41912</v>
      </c>
      <c r="C7" s="1">
        <v>162.55099999999999</v>
      </c>
      <c r="D7">
        <v>142</v>
      </c>
      <c r="E7">
        <v>171</v>
      </c>
    </row>
    <row r="8" spans="1:5" x14ac:dyDescent="0.3">
      <c r="A8" s="2" t="s">
        <v>11</v>
      </c>
      <c r="B8">
        <v>41912</v>
      </c>
      <c r="C8" s="1">
        <v>166.583</v>
      </c>
      <c r="D8">
        <v>154</v>
      </c>
      <c r="E8">
        <v>175</v>
      </c>
    </row>
    <row r="9" spans="1:5" x14ac:dyDescent="0.3">
      <c r="A9" s="2" t="s">
        <v>12</v>
      </c>
      <c r="B9">
        <v>41912</v>
      </c>
      <c r="C9" s="1">
        <v>170.97900000000001</v>
      </c>
      <c r="D9">
        <v>162</v>
      </c>
      <c r="E9">
        <v>178</v>
      </c>
    </row>
    <row r="10" spans="1:5" x14ac:dyDescent="0.3">
      <c r="A10" t="s">
        <v>13</v>
      </c>
      <c r="B10">
        <v>41912</v>
      </c>
      <c r="C10" s="1">
        <v>158.024</v>
      </c>
      <c r="D10">
        <v>145</v>
      </c>
      <c r="E10">
        <v>169</v>
      </c>
    </row>
    <row r="11" spans="1:5" x14ac:dyDescent="0.3">
      <c r="A11" t="s">
        <v>14</v>
      </c>
      <c r="B11">
        <v>41912</v>
      </c>
      <c r="C11" s="1">
        <v>163.80000000000001</v>
      </c>
      <c r="D11">
        <v>149</v>
      </c>
      <c r="E11">
        <v>173</v>
      </c>
    </row>
    <row r="12" spans="1:5" x14ac:dyDescent="0.3">
      <c r="A12" t="s">
        <v>15</v>
      </c>
      <c r="B12">
        <v>41912</v>
      </c>
      <c r="C12" s="1">
        <v>160.32</v>
      </c>
      <c r="D12">
        <v>145</v>
      </c>
      <c r="E12">
        <v>173</v>
      </c>
    </row>
    <row r="13" spans="1:5" x14ac:dyDescent="0.3">
      <c r="A13" t="s">
        <v>16</v>
      </c>
      <c r="B13">
        <v>41912</v>
      </c>
      <c r="C13" s="1">
        <v>163.03800000000001</v>
      </c>
      <c r="D13">
        <v>150</v>
      </c>
      <c r="E13">
        <v>173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72DA4-796C-4C75-B2C5-6F2158A282EA}">
  <dimension ref="B2:O14"/>
  <sheetViews>
    <sheetView workbookViewId="0">
      <selection activeCell="Q23" sqref="Q23"/>
    </sheetView>
  </sheetViews>
  <sheetFormatPr defaultRowHeight="14.4" x14ac:dyDescent="0.3"/>
  <cols>
    <col min="2" max="2" width="13.44140625" customWidth="1"/>
    <col min="7" max="7" width="9.21875" customWidth="1"/>
    <col min="8" max="8" width="14.109375" customWidth="1"/>
    <col min="9" max="9" width="9.77734375" customWidth="1"/>
    <col min="11" max="11" width="13.44140625" customWidth="1"/>
    <col min="14" max="14" width="11.6640625" customWidth="1"/>
  </cols>
  <sheetData>
    <row r="2" spans="2:15" ht="28.8" x14ac:dyDescent="0.3"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5" t="s">
        <v>22</v>
      </c>
      <c r="H2" s="3" t="s">
        <v>23</v>
      </c>
      <c r="I2" s="3"/>
      <c r="K2" s="3" t="s">
        <v>24</v>
      </c>
      <c r="L2" s="3">
        <v>1</v>
      </c>
      <c r="M2" s="3">
        <v>2</v>
      </c>
      <c r="N2" s="5" t="s">
        <v>25</v>
      </c>
      <c r="O2" s="3" t="s">
        <v>26</v>
      </c>
    </row>
    <row r="3" spans="2:15" x14ac:dyDescent="0.3">
      <c r="B3" t="s">
        <v>5</v>
      </c>
      <c r="C3" s="4">
        <v>176.51599999999999</v>
      </c>
      <c r="D3" s="4">
        <v>170.36600000000001</v>
      </c>
      <c r="E3" s="4">
        <v>176.577</v>
      </c>
      <c r="F3" s="1">
        <f>AVERAGE(C3:E3)</f>
        <v>174.48633333333336</v>
      </c>
      <c r="G3" s="1">
        <v>152.82499999999999</v>
      </c>
      <c r="H3" s="1">
        <f>G3-F3</f>
        <v>-21.661333333333374</v>
      </c>
      <c r="I3" s="1"/>
      <c r="K3" t="s">
        <v>27</v>
      </c>
      <c r="L3" s="1">
        <v>-21.661333333333374</v>
      </c>
      <c r="M3" s="1">
        <v>-20.296999999999997</v>
      </c>
      <c r="N3" s="1">
        <f>AVERAGE(L3:M3)</f>
        <v>-20.979166666666686</v>
      </c>
      <c r="O3" s="4">
        <f>STDEV(L3:M3)</f>
        <v>0.96472935179887731</v>
      </c>
    </row>
    <row r="4" spans="2:15" x14ac:dyDescent="0.3">
      <c r="B4" t="s">
        <v>6</v>
      </c>
      <c r="C4" s="4">
        <v>179.14400000000001</v>
      </c>
      <c r="D4" s="4">
        <v>171.577</v>
      </c>
      <c r="E4" s="4">
        <v>169.36199999999999</v>
      </c>
      <c r="F4" s="1">
        <f t="shared" ref="F4:F14" si="0">AVERAGE(C4:E4)</f>
        <v>173.36099999999999</v>
      </c>
      <c r="G4" s="1">
        <v>153.06399999999999</v>
      </c>
      <c r="H4" s="1">
        <f t="shared" ref="H4:H14" si="1">G4-F4</f>
        <v>-20.296999999999997</v>
      </c>
      <c r="I4" s="1"/>
      <c r="K4" t="s">
        <v>28</v>
      </c>
      <c r="L4" s="1">
        <v>-22.267666666666656</v>
      </c>
      <c r="M4" s="1">
        <v>-26.238333333333344</v>
      </c>
      <c r="N4" s="1">
        <f t="shared" ref="N4:N8" si="2">AVERAGE(L4:M4)</f>
        <v>-24.253</v>
      </c>
      <c r="O4" s="4">
        <f t="shared" ref="O4:O8" si="3">STDEV(L4:M4)</f>
        <v>2.8076853258313994</v>
      </c>
    </row>
    <row r="5" spans="2:15" x14ac:dyDescent="0.3">
      <c r="B5" t="s">
        <v>7</v>
      </c>
      <c r="C5" s="4">
        <v>179.28100000000001</v>
      </c>
      <c r="D5" s="4">
        <v>173.96899999999999</v>
      </c>
      <c r="E5" s="4">
        <v>169.36699999999999</v>
      </c>
      <c r="F5" s="1">
        <f t="shared" si="0"/>
        <v>174.20566666666664</v>
      </c>
      <c r="G5" s="1">
        <v>151.93799999999999</v>
      </c>
      <c r="H5" s="1">
        <f t="shared" si="1"/>
        <v>-22.267666666666656</v>
      </c>
      <c r="I5" s="1"/>
      <c r="K5" t="s">
        <v>29</v>
      </c>
      <c r="L5" s="1">
        <v>-6.0323333333332982</v>
      </c>
      <c r="M5" s="1">
        <v>-12.856999999999999</v>
      </c>
      <c r="N5" s="1">
        <f t="shared" si="2"/>
        <v>-9.4446666666666488</v>
      </c>
      <c r="O5" s="4">
        <f t="shared" si="3"/>
        <v>4.8257680793378173</v>
      </c>
    </row>
    <row r="6" spans="2:15" x14ac:dyDescent="0.3">
      <c r="B6" t="s">
        <v>8</v>
      </c>
      <c r="C6" s="4">
        <v>173.19900000000001</v>
      </c>
      <c r="D6" s="4">
        <v>170.19300000000001</v>
      </c>
      <c r="E6" s="4">
        <v>177.36099999999999</v>
      </c>
      <c r="F6" s="1">
        <f t="shared" si="0"/>
        <v>173.58433333333335</v>
      </c>
      <c r="G6" s="1">
        <v>147.346</v>
      </c>
      <c r="H6" s="1">
        <f t="shared" si="1"/>
        <v>-26.238333333333344</v>
      </c>
      <c r="I6" s="1"/>
      <c r="K6" t="s">
        <v>30</v>
      </c>
      <c r="L6" s="1">
        <v>-11.262666666666689</v>
      </c>
      <c r="M6" s="1">
        <v>-6.0489999999999782</v>
      </c>
      <c r="N6" s="1">
        <f t="shared" si="2"/>
        <v>-8.6558333333333337</v>
      </c>
      <c r="O6" s="4">
        <f t="shared" si="3"/>
        <v>3.6866190548462932</v>
      </c>
    </row>
    <row r="7" spans="2:15" x14ac:dyDescent="0.3">
      <c r="B7" s="2" t="s">
        <v>9</v>
      </c>
      <c r="C7" s="4">
        <v>181.08600000000001</v>
      </c>
      <c r="D7" s="4">
        <v>176.44</v>
      </c>
      <c r="E7" s="4">
        <v>172.61099999999999</v>
      </c>
      <c r="F7" s="1">
        <f t="shared" si="0"/>
        <v>176.71233333333331</v>
      </c>
      <c r="G7" s="1">
        <v>170.68</v>
      </c>
      <c r="H7" s="1">
        <f t="shared" si="1"/>
        <v>-6.0323333333332982</v>
      </c>
      <c r="I7" s="1"/>
      <c r="K7" t="s">
        <v>31</v>
      </c>
      <c r="L7" s="1">
        <v>-14.34633333333332</v>
      </c>
      <c r="M7" s="1">
        <v>-8.714999999999975</v>
      </c>
      <c r="N7" s="1">
        <f t="shared" si="2"/>
        <v>-11.530666666666647</v>
      </c>
      <c r="O7" s="4">
        <f t="shared" si="3"/>
        <v>3.9819539871218455</v>
      </c>
    </row>
    <row r="8" spans="2:15" x14ac:dyDescent="0.3">
      <c r="B8" s="2" t="s">
        <v>10</v>
      </c>
      <c r="C8" s="4">
        <v>177.69</v>
      </c>
      <c r="D8" s="4">
        <v>171.7</v>
      </c>
      <c r="E8" s="4">
        <v>176.834</v>
      </c>
      <c r="F8" s="1">
        <f t="shared" si="0"/>
        <v>175.40799999999999</v>
      </c>
      <c r="G8" s="1">
        <v>162.55099999999999</v>
      </c>
      <c r="H8" s="1">
        <f t="shared" si="1"/>
        <v>-12.856999999999999</v>
      </c>
      <c r="I8" s="1"/>
      <c r="K8" t="s">
        <v>32</v>
      </c>
      <c r="L8" s="1">
        <v>-12.410333333333341</v>
      </c>
      <c r="M8" s="1">
        <v>-11.864000000000004</v>
      </c>
      <c r="N8" s="1">
        <f t="shared" si="2"/>
        <v>-12.137166666666673</v>
      </c>
      <c r="O8" s="4">
        <f t="shared" si="3"/>
        <v>0.38631600478825284</v>
      </c>
    </row>
    <row r="9" spans="2:15" x14ac:dyDescent="0.3">
      <c r="B9" s="2" t="s">
        <v>11</v>
      </c>
      <c r="C9" s="4">
        <v>180.215</v>
      </c>
      <c r="D9" s="4">
        <v>174.51400000000001</v>
      </c>
      <c r="E9" s="4">
        <v>178.80799999999999</v>
      </c>
      <c r="F9" s="1">
        <f t="shared" si="0"/>
        <v>177.84566666666669</v>
      </c>
      <c r="G9" s="1">
        <v>166.583</v>
      </c>
      <c r="H9" s="1">
        <f t="shared" si="1"/>
        <v>-11.262666666666689</v>
      </c>
      <c r="I9" s="1"/>
    </row>
    <row r="10" spans="2:15" x14ac:dyDescent="0.3">
      <c r="B10" s="2" t="s">
        <v>12</v>
      </c>
      <c r="C10" s="4">
        <v>184.14</v>
      </c>
      <c r="D10" s="4">
        <v>176.976</v>
      </c>
      <c r="E10" s="4">
        <v>169.96799999999999</v>
      </c>
      <c r="F10" s="1">
        <f t="shared" si="0"/>
        <v>177.02799999999999</v>
      </c>
      <c r="G10" s="1">
        <v>170.97900000000001</v>
      </c>
      <c r="H10" s="1">
        <f t="shared" si="1"/>
        <v>-6.0489999999999782</v>
      </c>
      <c r="I10" s="1"/>
    </row>
    <row r="11" spans="2:15" x14ac:dyDescent="0.3">
      <c r="B11" t="s">
        <v>13</v>
      </c>
      <c r="C11" s="4">
        <v>177.24700000000001</v>
      </c>
      <c r="D11" s="4">
        <v>171.84100000000001</v>
      </c>
      <c r="E11" s="4">
        <v>168.023</v>
      </c>
      <c r="F11" s="1">
        <f t="shared" si="0"/>
        <v>172.37033333333332</v>
      </c>
      <c r="G11" s="1">
        <v>158.024</v>
      </c>
      <c r="H11" s="1">
        <f t="shared" si="1"/>
        <v>-14.34633333333332</v>
      </c>
      <c r="I11" s="1"/>
    </row>
    <row r="12" spans="2:15" x14ac:dyDescent="0.3">
      <c r="B12" t="s">
        <v>14</v>
      </c>
      <c r="C12" s="4">
        <v>175.221</v>
      </c>
      <c r="D12" s="4">
        <v>168.63</v>
      </c>
      <c r="E12" s="4">
        <v>173.69399999999999</v>
      </c>
      <c r="F12" s="1">
        <f t="shared" si="0"/>
        <v>172.51499999999999</v>
      </c>
      <c r="G12" s="1">
        <v>163.80000000000001</v>
      </c>
      <c r="H12" s="1">
        <f t="shared" si="1"/>
        <v>-8.714999999999975</v>
      </c>
      <c r="I12" s="1"/>
    </row>
    <row r="13" spans="2:15" x14ac:dyDescent="0.3">
      <c r="B13" t="s">
        <v>15</v>
      </c>
      <c r="C13" s="4">
        <v>175.643</v>
      </c>
      <c r="D13" s="4">
        <v>169.40799999999999</v>
      </c>
      <c r="E13" s="4">
        <v>173.14</v>
      </c>
      <c r="F13" s="1">
        <f t="shared" si="0"/>
        <v>172.73033333333333</v>
      </c>
      <c r="G13" s="1">
        <v>160.32</v>
      </c>
      <c r="H13" s="1">
        <f t="shared" si="1"/>
        <v>-12.410333333333341</v>
      </c>
      <c r="I13" s="1"/>
    </row>
    <row r="14" spans="2:15" x14ac:dyDescent="0.3">
      <c r="B14" t="s">
        <v>16</v>
      </c>
      <c r="C14" s="4">
        <v>183.18700000000001</v>
      </c>
      <c r="D14" s="4">
        <v>175.22300000000001</v>
      </c>
      <c r="E14" s="4">
        <v>166.29599999999999</v>
      </c>
      <c r="F14" s="1">
        <f t="shared" si="0"/>
        <v>174.90200000000002</v>
      </c>
      <c r="G14" s="1">
        <v>163.03800000000001</v>
      </c>
      <c r="H14" s="1">
        <f t="shared" si="1"/>
        <v>-11.864000000000004</v>
      </c>
      <c r="I14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A62B2-F911-4785-8A8E-A749EE692140}">
  <dimension ref="B3:S9"/>
  <sheetViews>
    <sheetView workbookViewId="0">
      <selection activeCell="O3" sqref="O3:P9"/>
    </sheetView>
  </sheetViews>
  <sheetFormatPr defaultRowHeight="14.4" x14ac:dyDescent="0.3"/>
  <cols>
    <col min="2" max="2" width="13.44140625" customWidth="1"/>
    <col min="5" max="5" width="11.77734375" customWidth="1"/>
    <col min="15" max="15" width="10.77734375" customWidth="1"/>
    <col min="16" max="16" width="10.88671875" customWidth="1"/>
    <col min="18" max="18" width="9.77734375" customWidth="1"/>
    <col min="19" max="19" width="11.44140625" customWidth="1"/>
  </cols>
  <sheetData>
    <row r="3" spans="2:19" ht="36.6" customHeight="1" x14ac:dyDescent="0.3">
      <c r="B3" s="3" t="s">
        <v>24</v>
      </c>
      <c r="C3" s="3">
        <v>1</v>
      </c>
      <c r="D3" s="3">
        <v>2</v>
      </c>
      <c r="E3" s="5" t="s">
        <v>25</v>
      </c>
      <c r="F3" s="3" t="s">
        <v>26</v>
      </c>
      <c r="H3" s="3" t="s">
        <v>33</v>
      </c>
      <c r="I3" s="3">
        <v>1</v>
      </c>
      <c r="J3" s="3">
        <v>2</v>
      </c>
      <c r="K3" s="3" t="s">
        <v>2</v>
      </c>
      <c r="L3" s="3" t="s">
        <v>26</v>
      </c>
      <c r="O3" s="5" t="s">
        <v>24</v>
      </c>
      <c r="P3" s="5" t="s">
        <v>37</v>
      </c>
      <c r="R3" s="5" t="s">
        <v>33</v>
      </c>
      <c r="S3" s="5" t="s">
        <v>21</v>
      </c>
    </row>
    <row r="4" spans="2:19" x14ac:dyDescent="0.3">
      <c r="B4" t="s">
        <v>27</v>
      </c>
      <c r="C4" s="1">
        <v>-21.661333333333374</v>
      </c>
      <c r="D4" s="1">
        <v>-20.296999999999997</v>
      </c>
      <c r="E4" s="1">
        <f>AVERAGE(C4:D4)</f>
        <v>-20.979166666666686</v>
      </c>
      <c r="F4" s="4">
        <f>STDEV(C4:D4)</f>
        <v>0.96472935179887731</v>
      </c>
      <c r="H4" t="s">
        <v>34</v>
      </c>
      <c r="I4" s="4">
        <v>-20.979166666666686</v>
      </c>
      <c r="J4" s="4">
        <v>-24.253</v>
      </c>
      <c r="K4" s="7">
        <f>AVERAGE(I4:J4)</f>
        <v>-22.616083333333343</v>
      </c>
      <c r="L4" s="4">
        <f>STDEV(I4:J4)</f>
        <v>2.3149497504745455</v>
      </c>
      <c r="O4" t="s">
        <v>27</v>
      </c>
      <c r="P4" s="6">
        <f>E4/K4</f>
        <v>0.92762156724749767</v>
      </c>
      <c r="Q4" s="6"/>
      <c r="R4" t="s">
        <v>34</v>
      </c>
      <c r="S4" s="6">
        <f>AVERAGE(P4:P5)</f>
        <v>1</v>
      </c>
    </row>
    <row r="5" spans="2:19" x14ac:dyDescent="0.3">
      <c r="B5" t="s">
        <v>28</v>
      </c>
      <c r="C5" s="1">
        <v>-22.267666666666656</v>
      </c>
      <c r="D5" s="1">
        <v>-26.238333333333344</v>
      </c>
      <c r="E5" s="1">
        <f t="shared" ref="E5:E9" si="0">AVERAGE(C5:D5)</f>
        <v>-24.253</v>
      </c>
      <c r="F5" s="4">
        <f t="shared" ref="F5:F9" si="1">STDEV(C5:D5)</f>
        <v>2.8076853258313994</v>
      </c>
      <c r="H5" s="2" t="s">
        <v>35</v>
      </c>
      <c r="I5" s="4">
        <v>-9.4446666666666488</v>
      </c>
      <c r="J5" s="4">
        <v>-8.6558333333333337</v>
      </c>
      <c r="K5" s="4">
        <f t="shared" ref="K5:K6" si="2">AVERAGE(I5:J5)</f>
        <v>-9.0502499999999912</v>
      </c>
      <c r="L5" s="4">
        <f t="shared" ref="L5:L6" si="3">STDEV(I5:J5)</f>
        <v>0.55778939922597537</v>
      </c>
      <c r="O5" t="s">
        <v>28</v>
      </c>
      <c r="P5" s="6">
        <f>E5/K4</f>
        <v>1.0723784327525023</v>
      </c>
      <c r="R5" t="s">
        <v>38</v>
      </c>
      <c r="S5" s="6">
        <f>AVERAGE(P6:P7)</f>
        <v>0.40016875895841031</v>
      </c>
    </row>
    <row r="6" spans="2:19" x14ac:dyDescent="0.3">
      <c r="B6" t="s">
        <v>29</v>
      </c>
      <c r="C6" s="1">
        <v>-6.0323333333332982</v>
      </c>
      <c r="D6" s="1">
        <v>-12.856999999999999</v>
      </c>
      <c r="E6" s="1">
        <f t="shared" si="0"/>
        <v>-9.4446666666666488</v>
      </c>
      <c r="F6" s="4">
        <f t="shared" si="1"/>
        <v>4.8257680793378173</v>
      </c>
      <c r="H6" s="2" t="s">
        <v>36</v>
      </c>
      <c r="I6" s="4">
        <v>-11.530666666666647</v>
      </c>
      <c r="J6" s="4">
        <v>-12.137166666666673</v>
      </c>
      <c r="K6" s="4">
        <f t="shared" si="2"/>
        <v>-11.83391666666666</v>
      </c>
      <c r="L6" s="4">
        <f t="shared" si="3"/>
        <v>0.428860262789659</v>
      </c>
      <c r="O6" t="s">
        <v>29</v>
      </c>
      <c r="P6" s="6">
        <f>E6/K4</f>
        <v>0.41760841289200434</v>
      </c>
      <c r="R6" t="s">
        <v>39</v>
      </c>
      <c r="S6" s="6">
        <f>AVERAGE(P8:P9)</f>
        <v>0.52325225779588957</v>
      </c>
    </row>
    <row r="7" spans="2:19" x14ac:dyDescent="0.3">
      <c r="B7" t="s">
        <v>30</v>
      </c>
      <c r="C7" s="1">
        <v>-11.262666666666689</v>
      </c>
      <c r="D7" s="1">
        <v>-6.0489999999999782</v>
      </c>
      <c r="E7" s="1">
        <f t="shared" si="0"/>
        <v>-8.6558333333333337</v>
      </c>
      <c r="F7" s="4">
        <f t="shared" si="1"/>
        <v>3.6866190548462932</v>
      </c>
      <c r="O7" t="s">
        <v>30</v>
      </c>
      <c r="P7" s="6">
        <f>E7/K4</f>
        <v>0.38272910502481627</v>
      </c>
    </row>
    <row r="8" spans="2:19" x14ac:dyDescent="0.3">
      <c r="B8" t="s">
        <v>31</v>
      </c>
      <c r="C8" s="1">
        <v>-14.34633333333332</v>
      </c>
      <c r="D8" s="1">
        <v>-8.714999999999975</v>
      </c>
      <c r="E8" s="1">
        <f t="shared" si="0"/>
        <v>-11.530666666666647</v>
      </c>
      <c r="F8" s="4">
        <f t="shared" si="1"/>
        <v>3.9819539871218455</v>
      </c>
      <c r="O8" t="s">
        <v>31</v>
      </c>
      <c r="P8" s="6">
        <f>E8/K4</f>
        <v>0.50984365845839685</v>
      </c>
    </row>
    <row r="9" spans="2:19" x14ac:dyDescent="0.3">
      <c r="B9" t="s">
        <v>32</v>
      </c>
      <c r="C9" s="1">
        <v>-12.410333333333341</v>
      </c>
      <c r="D9" s="1">
        <v>-11.864000000000004</v>
      </c>
      <c r="E9" s="1">
        <f t="shared" si="0"/>
        <v>-12.137166666666673</v>
      </c>
      <c r="F9" s="4">
        <f t="shared" si="1"/>
        <v>0.38631600478825284</v>
      </c>
      <c r="O9" t="s">
        <v>32</v>
      </c>
      <c r="P9" s="6">
        <f>E9/K4</f>
        <v>0.5366608571333823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3489E-BA64-405B-8E50-6C4BF3A981E1}">
  <dimension ref="A1:D7"/>
  <sheetViews>
    <sheetView tabSelected="1" workbookViewId="0">
      <selection activeCell="D8" sqref="D8"/>
    </sheetView>
  </sheetViews>
  <sheetFormatPr defaultRowHeight="14.4" x14ac:dyDescent="0.3"/>
  <cols>
    <col min="1" max="1" width="12.21875" bestFit="1" customWidth="1"/>
  </cols>
  <sheetData>
    <row r="1" spans="1:4" x14ac:dyDescent="0.3">
      <c r="A1" t="s">
        <v>40</v>
      </c>
      <c r="B1" t="s">
        <v>41</v>
      </c>
      <c r="C1" t="s">
        <v>42</v>
      </c>
      <c r="D1" t="s">
        <v>43</v>
      </c>
    </row>
    <row r="2" spans="1:4" x14ac:dyDescent="0.3">
      <c r="A2" t="s">
        <v>27</v>
      </c>
      <c r="B2">
        <v>0.92762156724749767</v>
      </c>
      <c r="C2" t="s">
        <v>34</v>
      </c>
      <c r="D2" t="s">
        <v>45</v>
      </c>
    </row>
    <row r="3" spans="1:4" x14ac:dyDescent="0.3">
      <c r="A3" t="s">
        <v>28</v>
      </c>
      <c r="B3">
        <v>1.0723784327525023</v>
      </c>
      <c r="C3" t="s">
        <v>34</v>
      </c>
      <c r="D3" t="s">
        <v>45</v>
      </c>
    </row>
    <row r="4" spans="1:4" x14ac:dyDescent="0.3">
      <c r="A4" t="s">
        <v>29</v>
      </c>
      <c r="B4">
        <v>0.41760841289200434</v>
      </c>
      <c r="C4" t="s">
        <v>35</v>
      </c>
      <c r="D4" t="s">
        <v>46</v>
      </c>
    </row>
    <row r="5" spans="1:4" x14ac:dyDescent="0.3">
      <c r="A5" t="s">
        <v>30</v>
      </c>
      <c r="B5">
        <v>0.38272910502481627</v>
      </c>
      <c r="C5" t="s">
        <v>35</v>
      </c>
      <c r="D5" t="s">
        <v>46</v>
      </c>
    </row>
    <row r="6" spans="1:4" x14ac:dyDescent="0.3">
      <c r="A6" t="s">
        <v>31</v>
      </c>
      <c r="B6">
        <v>0.50984365845839685</v>
      </c>
      <c r="C6" t="s">
        <v>44</v>
      </c>
      <c r="D6" t="s">
        <v>47</v>
      </c>
    </row>
    <row r="7" spans="1:4" x14ac:dyDescent="0.3">
      <c r="A7" t="s">
        <v>32</v>
      </c>
      <c r="B7">
        <v>0.5366608571333823</v>
      </c>
      <c r="C7" t="s">
        <v>44</v>
      </c>
      <c r="D7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New quantification</vt:lpstr>
      <vt:lpstr>Three circles</vt:lpstr>
      <vt:lpstr>Normalization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Chávez</dc:creator>
  <cp:lastModifiedBy>Chavez Rodriguez, Luciana</cp:lastModifiedBy>
  <dcterms:created xsi:type="dcterms:W3CDTF">2025-08-21T17:28:18Z</dcterms:created>
  <dcterms:modified xsi:type="dcterms:W3CDTF">2025-08-21T21:52:19Z</dcterms:modified>
</cp:coreProperties>
</file>