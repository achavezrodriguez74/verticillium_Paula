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wageningenur4-my.sharepoint.com/personal/luciana_chavezrodriguez_wur_nl/Documents/UCI_projects/Project_8 (Reviews)/Family/Pere/doctorado/datasets/"/>
    </mc:Choice>
  </mc:AlternateContent>
  <xr:revisionPtr revIDLastSave="370" documentId="11_409D763271250DE3FA910F7263695AE117A92069" xr6:coauthVersionLast="47" xr6:coauthVersionMax="47" xr10:uidLastSave="{1F41B1AF-2117-4DA9-B839-BBC08151E9EF}"/>
  <bookViews>
    <workbookView xWindow="-108" yWindow="-108" windowWidth="23256" windowHeight="12456" firstSheet="2" activeTab="8" xr2:uid="{00000000-000D-0000-FFFF-FFFF00000000}"/>
  </bookViews>
  <sheets>
    <sheet name="08340" sheetId="2" r:id="rId1"/>
    <sheet name="NEW" sheetId="5" r:id="rId2"/>
    <sheet name="New Comb." sheetId="6" r:id="rId3"/>
    <sheet name="Rep 3" sheetId="4" r:id="rId4"/>
    <sheet name="Auswertung" sheetId="3" r:id="rId5"/>
    <sheet name="LLM1 ALL" sheetId="7" r:id="rId6"/>
    <sheet name="LLM1 comb." sheetId="8" r:id="rId7"/>
    <sheet name="Llm1 norm." sheetId="1" r:id="rId8"/>
    <sheet name="LLM1 new" sheetId="9" r:id="rId9"/>
    <sheet name="Sheet1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9" l="1"/>
  <c r="F43" i="9"/>
  <c r="D43" i="9"/>
  <c r="E43" i="9"/>
  <c r="G43" i="9"/>
  <c r="C43" i="9"/>
  <c r="D42" i="9"/>
  <c r="E42" i="9"/>
  <c r="F42" i="9"/>
  <c r="G42" i="9"/>
  <c r="C42" i="9"/>
  <c r="D31" i="9"/>
  <c r="E31" i="9"/>
  <c r="F31" i="9"/>
  <c r="G31" i="9"/>
  <c r="D30" i="9"/>
  <c r="E30" i="9"/>
  <c r="F30" i="9"/>
  <c r="G30" i="9"/>
  <c r="N7" i="9" l="1"/>
  <c r="O7" i="9"/>
  <c r="P7" i="9"/>
  <c r="N8" i="9"/>
  <c r="O8" i="9"/>
  <c r="P8" i="9"/>
  <c r="L7" i="9"/>
  <c r="M7" i="9"/>
  <c r="L8" i="9"/>
  <c r="M8" i="9"/>
  <c r="I7" i="9"/>
  <c r="J7" i="9"/>
  <c r="K7" i="9"/>
  <c r="I8" i="9"/>
  <c r="J8" i="9"/>
  <c r="K8" i="9"/>
  <c r="H8" i="9"/>
  <c r="G8" i="9"/>
  <c r="F8" i="9"/>
  <c r="E8" i="9"/>
  <c r="D8" i="9"/>
  <c r="C8" i="9"/>
  <c r="H7" i="9"/>
  <c r="G7" i="9"/>
  <c r="F7" i="9"/>
  <c r="E7" i="9"/>
  <c r="D7" i="9"/>
  <c r="C7" i="9"/>
  <c r="L49" i="1"/>
  <c r="L48" i="1"/>
  <c r="L40" i="1"/>
  <c r="L39" i="1"/>
  <c r="P17" i="1"/>
  <c r="O17" i="1"/>
  <c r="P16" i="1"/>
  <c r="O16" i="1"/>
  <c r="P25" i="1"/>
  <c r="O25" i="1"/>
  <c r="P24" i="1"/>
  <c r="O24" i="1"/>
  <c r="P23" i="1"/>
  <c r="O23" i="1"/>
  <c r="P22" i="1"/>
  <c r="P28" i="1" s="1"/>
  <c r="O22" i="1"/>
  <c r="O27" i="1" s="1"/>
  <c r="J24" i="1"/>
  <c r="K24" i="1"/>
  <c r="L24" i="1"/>
  <c r="M24" i="1"/>
  <c r="N24" i="1"/>
  <c r="J23" i="1"/>
  <c r="K23" i="1"/>
  <c r="L23" i="1"/>
  <c r="M23" i="1"/>
  <c r="N23" i="1"/>
  <c r="I24" i="1"/>
  <c r="I23" i="1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E33" i="8" s="1"/>
  <c r="D24" i="8"/>
  <c r="D33" i="8" s="1"/>
  <c r="C24" i="8"/>
  <c r="B24" i="8"/>
  <c r="E20" i="8"/>
  <c r="D20" i="8"/>
  <c r="C20" i="8"/>
  <c r="B20" i="8"/>
  <c r="E19" i="8"/>
  <c r="D19" i="8"/>
  <c r="C19" i="8"/>
  <c r="B19" i="8"/>
  <c r="H15" i="7"/>
  <c r="I23" i="7"/>
  <c r="H23" i="7"/>
  <c r="G23" i="7"/>
  <c r="F23" i="7"/>
  <c r="E23" i="7"/>
  <c r="D23" i="7"/>
  <c r="C23" i="7"/>
  <c r="B23" i="7"/>
  <c r="I22" i="7"/>
  <c r="H22" i="7"/>
  <c r="G22" i="7"/>
  <c r="F22" i="7"/>
  <c r="E22" i="7"/>
  <c r="D22" i="7"/>
  <c r="C22" i="7"/>
  <c r="B22" i="7"/>
  <c r="I21" i="7"/>
  <c r="H21" i="7"/>
  <c r="G21" i="7"/>
  <c r="F21" i="7"/>
  <c r="E21" i="7"/>
  <c r="D21" i="7"/>
  <c r="C21" i="7"/>
  <c r="B21" i="7"/>
  <c r="I20" i="7"/>
  <c r="I25" i="7" s="1"/>
  <c r="H20" i="7"/>
  <c r="H25" i="7" s="1"/>
  <c r="G20" i="7"/>
  <c r="G25" i="7" s="1"/>
  <c r="F20" i="7"/>
  <c r="E20" i="7"/>
  <c r="E25" i="7" s="1"/>
  <c r="D20" i="7"/>
  <c r="C20" i="7"/>
  <c r="B20" i="7"/>
  <c r="I16" i="7"/>
  <c r="H16" i="7"/>
  <c r="G16" i="7"/>
  <c r="F16" i="7"/>
  <c r="E16" i="7"/>
  <c r="D16" i="7"/>
  <c r="C16" i="7"/>
  <c r="B16" i="7"/>
  <c r="I15" i="7"/>
  <c r="G15" i="7"/>
  <c r="F15" i="7"/>
  <c r="E15" i="7"/>
  <c r="D15" i="7"/>
  <c r="C15" i="7"/>
  <c r="B15" i="7"/>
  <c r="E15" i="9" l="1"/>
  <c r="J16" i="9"/>
  <c r="O13" i="9"/>
  <c r="N13" i="9"/>
  <c r="I16" i="9"/>
  <c r="M13" i="9"/>
  <c r="K16" i="9"/>
  <c r="N15" i="9"/>
  <c r="L13" i="9"/>
  <c r="P15" i="9"/>
  <c r="O15" i="9"/>
  <c r="J13" i="9"/>
  <c r="M15" i="9"/>
  <c r="L15" i="9"/>
  <c r="K15" i="9"/>
  <c r="J15" i="9"/>
  <c r="I15" i="9"/>
  <c r="P14" i="9"/>
  <c r="O14" i="9"/>
  <c r="N14" i="9"/>
  <c r="M14" i="9"/>
  <c r="P16" i="9"/>
  <c r="L14" i="9"/>
  <c r="O16" i="9"/>
  <c r="K14" i="9"/>
  <c r="N16" i="9"/>
  <c r="J14" i="9"/>
  <c r="M16" i="9"/>
  <c r="I14" i="9"/>
  <c r="L16" i="9"/>
  <c r="P13" i="9"/>
  <c r="K13" i="9"/>
  <c r="I13" i="9"/>
  <c r="F15" i="9"/>
  <c r="D16" i="9"/>
  <c r="F16" i="9"/>
  <c r="H13" i="9"/>
  <c r="C14" i="9"/>
  <c r="D14" i="9"/>
  <c r="E14" i="9"/>
  <c r="F14" i="9"/>
  <c r="G14" i="9"/>
  <c r="H14" i="9"/>
  <c r="G16" i="9"/>
  <c r="G15" i="9"/>
  <c r="H15" i="9"/>
  <c r="C16" i="9"/>
  <c r="E16" i="9"/>
  <c r="D13" i="9"/>
  <c r="H16" i="9"/>
  <c r="C13" i="9"/>
  <c r="E13" i="9"/>
  <c r="C15" i="9"/>
  <c r="F13" i="9"/>
  <c r="D15" i="9"/>
  <c r="G13" i="9"/>
  <c r="P27" i="1"/>
  <c r="O28" i="1"/>
  <c r="B25" i="7"/>
  <c r="C25" i="7"/>
  <c r="B33" i="8"/>
  <c r="D25" i="7"/>
  <c r="F25" i="7"/>
  <c r="C33" i="8"/>
  <c r="B32" i="8"/>
  <c r="C32" i="8"/>
  <c r="D32" i="8"/>
  <c r="E32" i="8"/>
  <c r="B24" i="7"/>
  <c r="F24" i="7"/>
  <c r="C24" i="7"/>
  <c r="G24" i="7"/>
  <c r="D24" i="7"/>
  <c r="H24" i="7"/>
  <c r="E24" i="7"/>
  <c r="I24" i="7"/>
  <c r="C33" i="6"/>
  <c r="C24" i="6"/>
  <c r="D24" i="6"/>
  <c r="E24" i="6"/>
  <c r="E33" i="6" s="1"/>
  <c r="C25" i="6"/>
  <c r="D25" i="6"/>
  <c r="E25" i="6"/>
  <c r="C26" i="6"/>
  <c r="D26" i="6"/>
  <c r="E26" i="6"/>
  <c r="C27" i="6"/>
  <c r="D27" i="6"/>
  <c r="E27" i="6"/>
  <c r="C28" i="6"/>
  <c r="D28" i="6"/>
  <c r="E28" i="6"/>
  <c r="C29" i="6"/>
  <c r="D29" i="6"/>
  <c r="D33" i="6" s="1"/>
  <c r="E29" i="6"/>
  <c r="C30" i="6"/>
  <c r="D30" i="6"/>
  <c r="E30" i="6"/>
  <c r="C31" i="6"/>
  <c r="D31" i="6"/>
  <c r="E31" i="6"/>
  <c r="B25" i="6"/>
  <c r="B26" i="6"/>
  <c r="B27" i="6"/>
  <c r="B28" i="6"/>
  <c r="B29" i="6"/>
  <c r="B30" i="6"/>
  <c r="B31" i="6"/>
  <c r="B24" i="6"/>
  <c r="B33" i="6" s="1"/>
  <c r="G20" i="5"/>
  <c r="G25" i="5" s="1"/>
  <c r="H20" i="5"/>
  <c r="I20" i="5"/>
  <c r="G21" i="5"/>
  <c r="H21" i="5"/>
  <c r="I21" i="5"/>
  <c r="G22" i="5"/>
  <c r="H22" i="5"/>
  <c r="I22" i="5"/>
  <c r="G23" i="5"/>
  <c r="H23" i="5"/>
  <c r="I23" i="5"/>
  <c r="F23" i="5"/>
  <c r="E23" i="5"/>
  <c r="D23" i="5"/>
  <c r="C23" i="5"/>
  <c r="B23" i="5"/>
  <c r="F22" i="5"/>
  <c r="E22" i="5"/>
  <c r="D22" i="5"/>
  <c r="C22" i="5"/>
  <c r="B22" i="5"/>
  <c r="F21" i="5"/>
  <c r="E21" i="5"/>
  <c r="D21" i="5"/>
  <c r="C21" i="5"/>
  <c r="B21" i="5"/>
  <c r="F20" i="5"/>
  <c r="E20" i="5"/>
  <c r="D20" i="5"/>
  <c r="C20" i="5"/>
  <c r="B20" i="5"/>
  <c r="C20" i="6"/>
  <c r="D20" i="6"/>
  <c r="E20" i="6"/>
  <c r="B20" i="6"/>
  <c r="C19" i="6"/>
  <c r="D19" i="6"/>
  <c r="E19" i="6"/>
  <c r="B19" i="6"/>
  <c r="G15" i="5"/>
  <c r="H15" i="5"/>
  <c r="I15" i="5"/>
  <c r="G16" i="5"/>
  <c r="H16" i="5"/>
  <c r="I16" i="5"/>
  <c r="F16" i="5"/>
  <c r="E16" i="5"/>
  <c r="D16" i="5"/>
  <c r="C16" i="5"/>
  <c r="B16" i="5"/>
  <c r="F15" i="5"/>
  <c r="E15" i="5"/>
  <c r="D15" i="5"/>
  <c r="C15" i="5"/>
  <c r="B15" i="5"/>
  <c r="C31" i="9" l="1"/>
  <c r="C30" i="9"/>
  <c r="I17" i="9"/>
  <c r="J17" i="9"/>
  <c r="M18" i="9"/>
  <c r="K18" i="9"/>
  <c r="L18" i="9"/>
  <c r="N18" i="9"/>
  <c r="P18" i="9"/>
  <c r="K17" i="9"/>
  <c r="P17" i="9"/>
  <c r="M17" i="9"/>
  <c r="N17" i="9"/>
  <c r="O18" i="9"/>
  <c r="L17" i="9"/>
  <c r="I18" i="9"/>
  <c r="J18" i="9"/>
  <c r="O17" i="9"/>
  <c r="H18" i="9"/>
  <c r="C17" i="9"/>
  <c r="C18" i="9"/>
  <c r="G18" i="9"/>
  <c r="G17" i="9"/>
  <c r="F18" i="9"/>
  <c r="F17" i="9"/>
  <c r="E18" i="9"/>
  <c r="E17" i="9"/>
  <c r="D18" i="9"/>
  <c r="D17" i="9"/>
  <c r="H17" i="9"/>
  <c r="C24" i="5"/>
  <c r="E24" i="5"/>
  <c r="E32" i="6"/>
  <c r="C32" i="6"/>
  <c r="B32" i="6"/>
  <c r="D32" i="6"/>
  <c r="I24" i="5"/>
  <c r="G24" i="5"/>
  <c r="H25" i="5"/>
  <c r="B25" i="5"/>
  <c r="D25" i="5"/>
  <c r="F25" i="5"/>
  <c r="C25" i="5"/>
  <c r="I25" i="5"/>
  <c r="H24" i="5"/>
  <c r="E25" i="5"/>
  <c r="B24" i="5"/>
  <c r="D24" i="5"/>
  <c r="F24" i="5"/>
  <c r="C26" i="1"/>
  <c r="D26" i="1"/>
  <c r="E26" i="1"/>
  <c r="B26" i="1"/>
  <c r="B22" i="2" l="1"/>
  <c r="O17" i="2" l="1"/>
  <c r="N17" i="2"/>
  <c r="M17" i="2"/>
  <c r="L17" i="2"/>
  <c r="K17" i="2"/>
  <c r="J17" i="2"/>
  <c r="O16" i="2"/>
  <c r="N16" i="2"/>
  <c r="M16" i="2"/>
  <c r="L16" i="2"/>
  <c r="K16" i="2"/>
  <c r="J16" i="2"/>
  <c r="O23" i="2" s="1"/>
  <c r="C16" i="2"/>
  <c r="D16" i="2"/>
  <c r="E16" i="2"/>
  <c r="F16" i="2"/>
  <c r="C17" i="2"/>
  <c r="D17" i="2"/>
  <c r="E17" i="2"/>
  <c r="F17" i="2"/>
  <c r="B17" i="2"/>
  <c r="B16" i="2"/>
  <c r="J16" i="1"/>
  <c r="K16" i="1"/>
  <c r="L16" i="1"/>
  <c r="M16" i="1"/>
  <c r="N16" i="1"/>
  <c r="J17" i="1"/>
  <c r="K17" i="1"/>
  <c r="L17" i="1"/>
  <c r="M17" i="1"/>
  <c r="N17" i="1"/>
  <c r="I17" i="1"/>
  <c r="I16" i="1"/>
  <c r="B24" i="1"/>
  <c r="C16" i="1"/>
  <c r="D16" i="1"/>
  <c r="E16" i="1"/>
  <c r="C17" i="1"/>
  <c r="D17" i="1"/>
  <c r="E17" i="1"/>
  <c r="B17" i="1"/>
  <c r="B16" i="1"/>
  <c r="C16" i="4"/>
  <c r="D16" i="4"/>
  <c r="E16" i="4"/>
  <c r="F16" i="4"/>
  <c r="G16" i="4"/>
  <c r="C17" i="4"/>
  <c r="D17" i="4"/>
  <c r="E17" i="4"/>
  <c r="F17" i="4"/>
  <c r="G17" i="4"/>
  <c r="B17" i="4"/>
  <c r="B16" i="4"/>
  <c r="J17" i="4"/>
  <c r="J16" i="4"/>
  <c r="O17" i="4"/>
  <c r="N17" i="4"/>
  <c r="M17" i="4"/>
  <c r="L17" i="4"/>
  <c r="K17" i="4"/>
  <c r="O16" i="4"/>
  <c r="L34" i="4" s="1"/>
  <c r="N16" i="4"/>
  <c r="M16" i="4"/>
  <c r="K34" i="4" s="1"/>
  <c r="L16" i="4"/>
  <c r="K33" i="4" s="1"/>
  <c r="K16" i="4"/>
  <c r="J34" i="4" s="1"/>
  <c r="L33" i="4"/>
  <c r="G25" i="4"/>
  <c r="F25" i="4"/>
  <c r="E25" i="4"/>
  <c r="D25" i="4"/>
  <c r="C25" i="4"/>
  <c r="B25" i="4"/>
  <c r="G24" i="4"/>
  <c r="F24" i="4"/>
  <c r="E24" i="4"/>
  <c r="D24" i="4"/>
  <c r="C24" i="4"/>
  <c r="B24" i="4"/>
  <c r="G23" i="4"/>
  <c r="F23" i="4"/>
  <c r="E23" i="4"/>
  <c r="D23" i="4"/>
  <c r="C23" i="4"/>
  <c r="B23" i="4"/>
  <c r="G22" i="4"/>
  <c r="F22" i="4"/>
  <c r="E22" i="4"/>
  <c r="D22" i="4"/>
  <c r="C22" i="4"/>
  <c r="B22" i="4"/>
  <c r="I14" i="3"/>
  <c r="I15" i="3"/>
  <c r="I13" i="3"/>
  <c r="H14" i="3"/>
  <c r="H15" i="3"/>
  <c r="H13" i="3"/>
  <c r="F27" i="4" l="1"/>
  <c r="D27" i="4"/>
  <c r="L22" i="2"/>
  <c r="N25" i="1"/>
  <c r="J22" i="1"/>
  <c r="J25" i="1"/>
  <c r="L22" i="1"/>
  <c r="L25" i="1"/>
  <c r="N22" i="1"/>
  <c r="I22" i="1"/>
  <c r="I25" i="1"/>
  <c r="K22" i="1"/>
  <c r="K25" i="1"/>
  <c r="M22" i="1"/>
  <c r="M25" i="1"/>
  <c r="M24" i="2"/>
  <c r="J22" i="2"/>
  <c r="N22" i="2"/>
  <c r="K22" i="2"/>
  <c r="O24" i="2"/>
  <c r="J23" i="2"/>
  <c r="K23" i="2"/>
  <c r="L23" i="2"/>
  <c r="M25" i="2"/>
  <c r="N23" i="2"/>
  <c r="O25" i="2"/>
  <c r="J24" i="2"/>
  <c r="K24" i="2"/>
  <c r="L24" i="2"/>
  <c r="M22" i="2"/>
  <c r="N24" i="2"/>
  <c r="O22" i="2"/>
  <c r="J25" i="2"/>
  <c r="K25" i="2"/>
  <c r="L25" i="2"/>
  <c r="M23" i="2"/>
  <c r="N25" i="2"/>
  <c r="N24" i="4"/>
  <c r="K36" i="4"/>
  <c r="G27" i="4"/>
  <c r="E27" i="4"/>
  <c r="C26" i="4"/>
  <c r="B26" i="4"/>
  <c r="J22" i="4"/>
  <c r="J23" i="4"/>
  <c r="J24" i="4"/>
  <c r="J25" i="4"/>
  <c r="M25" i="4"/>
  <c r="N22" i="4"/>
  <c r="N23" i="4"/>
  <c r="K22" i="4"/>
  <c r="O22" i="4"/>
  <c r="K23" i="4"/>
  <c r="O23" i="4"/>
  <c r="K24" i="4"/>
  <c r="O24" i="4"/>
  <c r="K25" i="4"/>
  <c r="O25" i="4"/>
  <c r="N25" i="4"/>
  <c r="L22" i="4"/>
  <c r="L23" i="4"/>
  <c r="L24" i="4"/>
  <c r="L25" i="4"/>
  <c r="J33" i="4"/>
  <c r="J37" i="4" s="1"/>
  <c r="M22" i="4"/>
  <c r="M23" i="4"/>
  <c r="M24" i="4"/>
  <c r="L37" i="4"/>
  <c r="L36" i="4"/>
  <c r="F26" i="4"/>
  <c r="B27" i="4"/>
  <c r="C27" i="4"/>
  <c r="G26" i="4"/>
  <c r="D26" i="4"/>
  <c r="K37" i="4"/>
  <c r="E26" i="4"/>
  <c r="J33" i="2"/>
  <c r="C25" i="2"/>
  <c r="D25" i="2"/>
  <c r="E25" i="2"/>
  <c r="F25" i="2"/>
  <c r="B25" i="2"/>
  <c r="B24" i="2"/>
  <c r="K34" i="2"/>
  <c r="F24" i="2"/>
  <c r="E24" i="2"/>
  <c r="D24" i="2"/>
  <c r="C24" i="2"/>
  <c r="F23" i="2"/>
  <c r="E23" i="2"/>
  <c r="D23" i="2"/>
  <c r="C23" i="2"/>
  <c r="B23" i="2"/>
  <c r="F22" i="2"/>
  <c r="E22" i="2"/>
  <c r="D22" i="2"/>
  <c r="C22" i="2"/>
  <c r="L34" i="2"/>
  <c r="L33" i="2"/>
  <c r="K33" i="2"/>
  <c r="E27" i="1"/>
  <c r="D27" i="1"/>
  <c r="C27" i="1"/>
  <c r="B27" i="1"/>
  <c r="E25" i="1"/>
  <c r="D25" i="1"/>
  <c r="C25" i="1"/>
  <c r="B25" i="1"/>
  <c r="B28" i="1" s="1"/>
  <c r="E24" i="1"/>
  <c r="D24" i="1"/>
  <c r="C24" i="1"/>
  <c r="K37" i="1"/>
  <c r="K36" i="1"/>
  <c r="J37" i="1"/>
  <c r="J36" i="1"/>
  <c r="I37" i="1"/>
  <c r="I36" i="1"/>
  <c r="L27" i="2" l="1"/>
  <c r="C26" i="2"/>
  <c r="C27" i="2"/>
  <c r="E26" i="2"/>
  <c r="E27" i="2"/>
  <c r="B27" i="2"/>
  <c r="B26" i="2"/>
  <c r="D26" i="2"/>
  <c r="D27" i="2"/>
  <c r="F26" i="2"/>
  <c r="F27" i="2"/>
  <c r="K26" i="2"/>
  <c r="D28" i="1"/>
  <c r="D29" i="1"/>
  <c r="K28" i="1"/>
  <c r="K27" i="1"/>
  <c r="N27" i="1"/>
  <c r="N28" i="1"/>
  <c r="J27" i="1"/>
  <c r="J28" i="1"/>
  <c r="B29" i="1"/>
  <c r="C29" i="1"/>
  <c r="C28" i="1"/>
  <c r="E29" i="1"/>
  <c r="E28" i="1"/>
  <c r="M28" i="1"/>
  <c r="M27" i="1"/>
  <c r="I28" i="1"/>
  <c r="I27" i="1"/>
  <c r="I45" i="1" s="1"/>
  <c r="L27" i="1"/>
  <c r="L28" i="1"/>
  <c r="K27" i="2"/>
  <c r="N27" i="2"/>
  <c r="N26" i="2"/>
  <c r="J27" i="2"/>
  <c r="L26" i="2"/>
  <c r="O27" i="2"/>
  <c r="O26" i="2"/>
  <c r="J26" i="2"/>
  <c r="M27" i="2"/>
  <c r="M26" i="2"/>
  <c r="M27" i="4"/>
  <c r="N27" i="4"/>
  <c r="J26" i="4"/>
  <c r="J42" i="4" s="1"/>
  <c r="N26" i="4"/>
  <c r="L42" i="4" s="1"/>
  <c r="L27" i="4"/>
  <c r="O27" i="4"/>
  <c r="J27" i="4"/>
  <c r="K27" i="4"/>
  <c r="M26" i="4"/>
  <c r="K43" i="4" s="1"/>
  <c r="K26" i="4"/>
  <c r="J43" i="4" s="1"/>
  <c r="J45" i="4" s="1"/>
  <c r="J36" i="4"/>
  <c r="O26" i="4"/>
  <c r="L43" i="4" s="1"/>
  <c r="L26" i="4"/>
  <c r="K42" i="4" s="1"/>
  <c r="K45" i="4" s="1"/>
  <c r="L36" i="2"/>
  <c r="L37" i="2"/>
  <c r="K37" i="2"/>
  <c r="K36" i="2"/>
  <c r="J34" i="2"/>
  <c r="J37" i="2" s="1"/>
  <c r="I40" i="1"/>
  <c r="K39" i="1"/>
  <c r="K40" i="1"/>
  <c r="J39" i="1"/>
  <c r="J40" i="1"/>
  <c r="I39" i="1"/>
  <c r="K45" i="1" l="1"/>
  <c r="L46" i="4"/>
  <c r="L45" i="4"/>
  <c r="J46" i="4"/>
  <c r="K46" i="4"/>
  <c r="J43" i="2"/>
  <c r="K42" i="2"/>
  <c r="K43" i="2"/>
  <c r="J42" i="2"/>
  <c r="L43" i="2"/>
  <c r="J36" i="2"/>
  <c r="L42" i="2"/>
  <c r="K46" i="1"/>
  <c r="I46" i="1"/>
  <c r="I49" i="1" s="1"/>
  <c r="J46" i="1"/>
  <c r="J45" i="1"/>
  <c r="I48" i="1" l="1"/>
  <c r="J45" i="2"/>
  <c r="K46" i="2"/>
  <c r="K45" i="2"/>
  <c r="J46" i="2"/>
  <c r="L45" i="2"/>
  <c r="L46" i="2"/>
  <c r="J48" i="1"/>
  <c r="J49" i="1"/>
  <c r="K48" i="1"/>
  <c r="K49" i="1"/>
</calcChain>
</file>

<file path=xl/sharedStrings.xml><?xml version="1.0" encoding="utf-8"?>
<sst xmlns="http://schemas.openxmlformats.org/spreadsheetml/2006/main" count="625" uniqueCount="167">
  <si>
    <t>Inoculated 50 ml SXM with 200 µl of 1 x 10^6 sp/ml (4 replicates --&gt; later chose 3 to count)</t>
  </si>
  <si>
    <t>Incubate at 25°C, 125 rpm for 5 days</t>
  </si>
  <si>
    <t>Harvest spores, centrifuge 10 min at 3500 rpm (treat all samples equally)</t>
  </si>
  <si>
    <t>Resuspend spore pellet in a total volume of exact 30 ml dH2O</t>
  </si>
  <si>
    <t>Count spores (5 µl spores in 10 ml Coulter Diluent)</t>
  </si>
  <si>
    <r>
      <t>Spores x 10</t>
    </r>
    <r>
      <rPr>
        <vertAlign val="superscript"/>
        <sz val="11"/>
        <color theme="1"/>
        <rFont val="Arial"/>
        <family val="2"/>
      </rPr>
      <t>8</t>
    </r>
  </si>
  <si>
    <t>WT-39</t>
  </si>
  <si>
    <t>ΔUSP5a</t>
  </si>
  <si>
    <t>USP5a-C</t>
  </si>
  <si>
    <t>Strain</t>
  </si>
  <si>
    <t>Mean</t>
  </si>
  <si>
    <t>STD</t>
  </si>
  <si>
    <t>Reference (100%) is the mean of all WT (VGB39) samples</t>
  </si>
  <si>
    <t>n=2 (Mean of Triplicates)</t>
  </si>
  <si>
    <t>Mean1</t>
  </si>
  <si>
    <t>Mean2</t>
  </si>
  <si>
    <t>T-Test</t>
  </si>
  <si>
    <t>https://www.icalcu.com/stat/two-sample-t-test-calculator.html</t>
  </si>
  <si>
    <t>n=2</t>
  </si>
  <si>
    <t>-</t>
  </si>
  <si>
    <t>Student's t-test: p=0.01192 (t=9.07656; df=2).</t>
  </si>
  <si>
    <t>*</t>
  </si>
  <si>
    <t>Student's t-test: p=0.07369 (t=3.47695; df=2).</t>
  </si>
  <si>
    <t>Student's t-test: p=0.00535 (t=-13.61536; df=2).</t>
  </si>
  <si>
    <t>**</t>
  </si>
  <si>
    <t>Input:</t>
  </si>
  <si>
    <t>1.046053577,
0.953946423</t>
  </si>
  <si>
    <t>0.560406383,
0.517563617</t>
  </si>
  <si>
    <t>0.833756649,
0.844012076</t>
  </si>
  <si>
    <t>Spore quantification - USP5a</t>
  </si>
  <si>
    <t>Inoculated 50 ml SXM with 200 µl of 1 x 10^6 sp/ml (4 replicates)</t>
  </si>
  <si>
    <t>VGB39-3</t>
  </si>
  <si>
    <t>VGB39-4</t>
  </si>
  <si>
    <t>VGB527-2</t>
  </si>
  <si>
    <t>VGB528-2</t>
  </si>
  <si>
    <t>VGB654-2</t>
  </si>
  <si>
    <t>VGB655-2</t>
  </si>
  <si>
    <t>Mittelwert</t>
  </si>
  <si>
    <t>n</t>
  </si>
  <si>
    <t xml:space="preserve">Student's t-test: </t>
  </si>
  <si>
    <t>Student's t-test:</t>
  </si>
  <si>
    <t>n=6</t>
  </si>
  <si>
    <t>VGB527-3</t>
  </si>
  <si>
    <t>VGB528-3</t>
  </si>
  <si>
    <t>VGB654-3</t>
  </si>
  <si>
    <t>VGB655-3</t>
  </si>
  <si>
    <t>VGB39-5</t>
  </si>
  <si>
    <t>VGB39-6</t>
  </si>
  <si>
    <t>Laoborbuch Miriam</t>
  </si>
  <si>
    <t>at least 3 technical Replicates per biological replicate</t>
  </si>
  <si>
    <t>1.046053577,	0.953946423,	1.014024245,	0.985975755,	0.971445285,	1.028554715</t>
  </si>
  <si>
    <t>0.833756649,	0.844012076,	0.917597655,	0.93344426, 	0.869803663,	0.900881138</t>
  </si>
  <si>
    <t>26.10.2021 - Set3</t>
  </si>
  <si>
    <t>0.560406383,	0.517563617,	0.661199588,	0.617621425,	0.715659391,	0.826953311</t>
  </si>
  <si>
    <t>F-test for equal variance: p=0.0247; Welch's t-test (unequal variance) is recommended.</t>
  </si>
  <si>
    <t>Welch's t-test: p=0.00033 (t=7.31974; df=5.9947). Based on Welch's t-test, as p&lt;0.05, we reject the null hypothesis of equal means.</t>
  </si>
  <si>
    <t>F-test for equal variance: p=0.777; Student's t-test (equal variance) is recommended.</t>
  </si>
  <si>
    <t>Student's t-test: p=0.00034 (t=5.32042; df=10). Based on Student's t-test, as p&lt;0.05, we reject the null hypothesis of equal means.</t>
  </si>
  <si>
    <t>F-test for equal variance: p=0.0437; Welch's t-test (unequal variance) is recommended.</t>
  </si>
  <si>
    <t>Welch's t-test: p=0.00261 (t=-4.81212; df=6.28949). Based on Welch's t-test, as p&lt;0.05, we reject the null hypothesis of equal means.</t>
  </si>
  <si>
    <t>Student's t-test: *</t>
  </si>
  <si>
    <t>1.014024245,
0.985975755</t>
  </si>
  <si>
    <t>0.661199588,
0.617621425</t>
  </si>
  <si>
    <t>0.917597655,
0.93344426</t>
  </si>
  <si>
    <t>p=0.00512</t>
  </si>
  <si>
    <t>p=0.04373</t>
  </si>
  <si>
    <t>p=0.0065</t>
  </si>
  <si>
    <t>0.971445285, 1.028554715</t>
  </si>
  <si>
    <t>0.715659391, 0.826953311</t>
  </si>
  <si>
    <t>0.869803663, 0.900881138</t>
  </si>
  <si>
    <t>p=0.06733</t>
  </si>
  <si>
    <t>p=0.07183</t>
  </si>
  <si>
    <t xml:space="preserve">p=0.18712 </t>
  </si>
  <si>
    <t>***</t>
  </si>
  <si>
    <t>WT</t>
  </si>
  <si>
    <t>Spore quantification Llm1</t>
  </si>
  <si>
    <t>ΔLm1-1</t>
  </si>
  <si>
    <t>ΔLm1-2</t>
  </si>
  <si>
    <t>cLm1</t>
  </si>
  <si>
    <t>VGB632</t>
  </si>
  <si>
    <t>VGB105</t>
  </si>
  <si>
    <t>VGB106</t>
  </si>
  <si>
    <t>VGB142</t>
  </si>
  <si>
    <t>Student's t-test: p=0.11656</t>
  </si>
  <si>
    <t>Student's t-test: p=0.22403</t>
  </si>
  <si>
    <t>Student's t-test: p=0.43872</t>
  </si>
  <si>
    <t>Spore quantification - Δ08340</t>
  </si>
  <si>
    <t>C1</t>
  </si>
  <si>
    <t>C5</t>
  </si>
  <si>
    <t>C6</t>
  </si>
  <si>
    <t>C7</t>
  </si>
  <si>
    <t>Student's t-test: p=0.60605</t>
  </si>
  <si>
    <t>Student's t-test: p=0.59417</t>
  </si>
  <si>
    <t>Student's t-test: p=0.98954</t>
  </si>
  <si>
    <t>Student's t-test: p=0.69993</t>
  </si>
  <si>
    <t>Resuspend spore pellet in a total volume of exact 35 ml dH2O</t>
  </si>
  <si>
    <t>Spore quantification - new evaluation</t>
  </si>
  <si>
    <t>WTb</t>
  </si>
  <si>
    <t>oeLLM1 1a</t>
  </si>
  <si>
    <r>
      <t>Spores x 10</t>
    </r>
    <r>
      <rPr>
        <b/>
        <vertAlign val="superscript"/>
        <sz val="11"/>
        <color theme="1"/>
        <rFont val="Arial"/>
        <family val="2"/>
      </rPr>
      <t>8</t>
    </r>
  </si>
  <si>
    <r>
      <rPr>
        <b/>
        <i/>
        <sz val="11"/>
        <color theme="1"/>
        <rFont val="Arial"/>
        <family val="2"/>
      </rPr>
      <t>oeLLM1</t>
    </r>
    <r>
      <rPr>
        <b/>
        <sz val="11"/>
        <color theme="1"/>
        <rFont val="Arial"/>
        <family val="2"/>
      </rPr>
      <t xml:space="preserve"> 1a</t>
    </r>
  </si>
  <si>
    <r>
      <rPr>
        <b/>
        <i/>
        <sz val="11"/>
        <color theme="1"/>
        <rFont val="Arial"/>
        <family val="2"/>
      </rPr>
      <t>oeLLM1</t>
    </r>
    <r>
      <rPr>
        <b/>
        <sz val="11"/>
        <color theme="1"/>
        <rFont val="Arial"/>
        <family val="2"/>
      </rPr>
      <t xml:space="preserve"> 2a</t>
    </r>
  </si>
  <si>
    <r>
      <rPr>
        <b/>
        <i/>
        <sz val="11"/>
        <color theme="1"/>
        <rFont val="Arial"/>
        <family val="2"/>
      </rPr>
      <t>Δ08340</t>
    </r>
    <r>
      <rPr>
        <b/>
        <sz val="11"/>
        <color theme="1"/>
        <rFont val="Arial"/>
        <family val="2"/>
      </rPr>
      <t xml:space="preserve"> C1</t>
    </r>
  </si>
  <si>
    <r>
      <rPr>
        <b/>
        <i/>
        <sz val="11"/>
        <color theme="1"/>
        <rFont val="Arial"/>
        <family val="2"/>
      </rPr>
      <t>Δ08340</t>
    </r>
    <r>
      <rPr>
        <b/>
        <sz val="11"/>
        <color theme="1"/>
        <rFont val="Arial"/>
        <family val="2"/>
      </rPr>
      <t xml:space="preserve"> C7</t>
    </r>
  </si>
  <si>
    <t>oe08340 C2</t>
  </si>
  <si>
    <t>oe08340 C5</t>
  </si>
  <si>
    <r>
      <rPr>
        <b/>
        <i/>
        <sz val="11"/>
        <color theme="1"/>
        <rFont val="Arial"/>
        <family val="2"/>
      </rPr>
      <t>oe08340</t>
    </r>
    <r>
      <rPr>
        <b/>
        <sz val="11"/>
        <color theme="1"/>
        <rFont val="Arial"/>
        <family val="2"/>
      </rPr>
      <t xml:space="preserve"> C2</t>
    </r>
  </si>
  <si>
    <r>
      <rPr>
        <b/>
        <i/>
        <sz val="11"/>
        <color theme="1"/>
        <rFont val="Arial"/>
        <family val="2"/>
      </rPr>
      <t>oe08340</t>
    </r>
    <r>
      <rPr>
        <b/>
        <sz val="11"/>
        <color theme="1"/>
        <rFont val="Arial"/>
        <family val="2"/>
      </rPr>
      <t xml:space="preserve"> C5</t>
    </r>
  </si>
  <si>
    <t>WTa</t>
  </si>
  <si>
    <r>
      <rPr>
        <b/>
        <i/>
        <sz val="11"/>
        <color theme="1"/>
        <rFont val="Arial"/>
        <family val="2"/>
      </rPr>
      <t>oeLLM1</t>
    </r>
    <r>
      <rPr>
        <b/>
        <sz val="11"/>
        <color theme="1"/>
        <rFont val="Arial"/>
        <family val="2"/>
      </rPr>
      <t xml:space="preserve"> </t>
    </r>
  </si>
  <si>
    <r>
      <rPr>
        <b/>
        <i/>
        <sz val="11"/>
        <color theme="1"/>
        <rFont val="Arial"/>
        <family val="2"/>
      </rPr>
      <t>Δ08340</t>
    </r>
    <r>
      <rPr>
        <b/>
        <sz val="11"/>
        <color theme="1"/>
        <rFont val="Arial"/>
        <family val="2"/>
      </rPr>
      <t xml:space="preserve"> </t>
    </r>
  </si>
  <si>
    <t>oe08340</t>
  </si>
  <si>
    <t>oeLLM1 2a</t>
  </si>
  <si>
    <t>Δ08340 C1</t>
  </si>
  <si>
    <t>Δ08340 C7</t>
  </si>
  <si>
    <t>Student's t-test: p=0.02815</t>
  </si>
  <si>
    <t>Student's t-test: p=0.54606</t>
  </si>
  <si>
    <t>Student's t-test: p=0.25533</t>
  </si>
  <si>
    <t>Student's t-test: p=0.60613</t>
  </si>
  <si>
    <t>Student's t-test: p=0.44419</t>
  </si>
  <si>
    <t>Student's t-test: p=0.08387</t>
  </si>
  <si>
    <t>oeLLM1</t>
  </si>
  <si>
    <t>Δ08340</t>
  </si>
  <si>
    <t>Student's t-test: p=0.42867</t>
  </si>
  <si>
    <t>Student's t-test: p=0.75986</t>
  </si>
  <si>
    <t>Student's t-test: p=0.09047</t>
  </si>
  <si>
    <t>ΔLLM1a</t>
  </si>
  <si>
    <t>ΔLLM1b</t>
  </si>
  <si>
    <t>LLM1-NoGFP C3</t>
  </si>
  <si>
    <t>LLM1-NoGFP C9</t>
  </si>
  <si>
    <t>LLM1+GFP-C C6</t>
  </si>
  <si>
    <t>LLM1+GFP-C C8</t>
  </si>
  <si>
    <t>ΔLLM1</t>
  </si>
  <si>
    <t xml:space="preserve">LLM1-NoGFP </t>
  </si>
  <si>
    <t>LLM1+GFP-C</t>
  </si>
  <si>
    <t>Resuspend spore pellet in a total volume of exact 40 ml dH2O</t>
  </si>
  <si>
    <t>Student's t-test: p=0.01218</t>
  </si>
  <si>
    <t>LLM1-NoGFP</t>
  </si>
  <si>
    <t>Student's t-test: p=0.57938</t>
  </si>
  <si>
    <t>Student's t-test: p=0.85992</t>
  </si>
  <si>
    <r>
      <rPr>
        <b/>
        <sz val="11"/>
        <color theme="1"/>
        <rFont val="Arial"/>
        <family val="2"/>
      </rPr>
      <t xml:space="preserve">Comp. </t>
    </r>
    <r>
      <rPr>
        <b/>
        <i/>
        <sz val="11"/>
        <color theme="1"/>
        <rFont val="Arial"/>
        <family val="2"/>
      </rPr>
      <t>LLM1</t>
    </r>
  </si>
  <si>
    <t>LLM1-GFP</t>
  </si>
  <si>
    <t>Comp.LLM1</t>
  </si>
  <si>
    <t>ΔLLM1 cHa</t>
  </si>
  <si>
    <t>ΔLLM1 cHb</t>
  </si>
  <si>
    <t>ΔLLM1 cJa</t>
  </si>
  <si>
    <t>ΔLLM1 cJb</t>
  </si>
  <si>
    <t>LLM1-NoGFP c3</t>
  </si>
  <si>
    <t>LLM1-NoGFP c9</t>
  </si>
  <si>
    <t>LLM1+GFP c6</t>
  </si>
  <si>
    <t>LLM1+GFP c8</t>
  </si>
  <si>
    <t>oeLLM1 1a-a</t>
  </si>
  <si>
    <t>oeLLM1 1a-b</t>
  </si>
  <si>
    <t>oeLLM1 2a-a</t>
  </si>
  <si>
    <t>oeLLM1 2a-b</t>
  </si>
  <si>
    <t>Reference (100%) is the mean of all WT samples</t>
  </si>
  <si>
    <t xml:space="preserve">ΔLLM1 </t>
  </si>
  <si>
    <t xml:space="preserve">Comp. LLM1 </t>
  </si>
  <si>
    <t>Mean3</t>
  </si>
  <si>
    <t>Mean4</t>
  </si>
  <si>
    <t>Mean5</t>
  </si>
  <si>
    <t>Mean6</t>
  </si>
  <si>
    <t>NEW</t>
  </si>
  <si>
    <t>n=4</t>
  </si>
  <si>
    <t>Biological.Rep</t>
  </si>
  <si>
    <t>Normalized</t>
  </si>
  <si>
    <t>LLM1.GFP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</si>
</sst>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1"/>
      <color indexed="2"/>
      <name val="Arial"/>
      <family val="2"/>
    </font>
    <font>
      <b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i/>
      <sz val="11"/>
      <color theme="1"/>
      <name val="Arial"/>
      <family val="2"/>
    </font>
    <font>
      <sz val="8.8000000000000007"/>
      <color rgb="FF00008B"/>
      <name val="Times"/>
      <family val="1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Arial"/>
      <family val="2"/>
    </font>
    <font>
      <sz val="12"/>
      <color rgb="FF0000EE"/>
      <name val="Verdana"/>
      <family val="2"/>
    </font>
    <font>
      <b/>
      <vertAlign val="superscript"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8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0" fontId="3" fillId="0" borderId="1" xfId="0" applyFont="1" applyBorder="1"/>
    <xf numFmtId="0" fontId="7" fillId="0" borderId="1" xfId="0" applyFont="1" applyBorder="1"/>
    <xf numFmtId="0" fontId="8" fillId="0" borderId="0" xfId="0" applyFont="1"/>
    <xf numFmtId="0" fontId="9" fillId="0" borderId="0" xfId="1"/>
    <xf numFmtId="0" fontId="3" fillId="0" borderId="0" xfId="0" applyFont="1" applyAlignment="1">
      <alignment wrapText="1"/>
    </xf>
    <xf numFmtId="0" fontId="7" fillId="0" borderId="2" xfId="0" applyFont="1" applyBorder="1"/>
    <xf numFmtId="0" fontId="3" fillId="0" borderId="2" xfId="0" applyFont="1" applyBorder="1"/>
    <xf numFmtId="0" fontId="7" fillId="0" borderId="0" xfId="0" applyFont="1"/>
    <xf numFmtId="0" fontId="7" fillId="0" borderId="3" xfId="0" applyFont="1" applyBorder="1"/>
    <xf numFmtId="0" fontId="3" fillId="0" borderId="3" xfId="0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3" fillId="2" borderId="0" xfId="0" applyFont="1" applyFill="1"/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14" fillId="0" borderId="0" xfId="1" applyFont="1"/>
    <xf numFmtId="0" fontId="15" fillId="0" borderId="0" xfId="0" applyFont="1"/>
    <xf numFmtId="0" fontId="3" fillId="0" borderId="4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17" fillId="0" borderId="1" xfId="0" applyFont="1" applyBorder="1"/>
    <xf numFmtId="0" fontId="18" fillId="0" borderId="0" xfId="0" applyFont="1"/>
    <xf numFmtId="14" fontId="1" fillId="0" borderId="0" xfId="0" applyNumberFormat="1" applyFont="1"/>
    <xf numFmtId="0" fontId="20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'08340'!$J$46:$L$46</c:f>
                <c:numCache>
                  <c:formatCode>General</c:formatCode>
                  <c:ptCount val="3"/>
                  <c:pt idx="0">
                    <c:v>8.7576972753688545E-2</c:v>
                  </c:pt>
                  <c:pt idx="1">
                    <c:v>2.768119217234245E-2</c:v>
                  </c:pt>
                  <c:pt idx="2">
                    <c:v>1.3737564353519844E-2</c:v>
                  </c:pt>
                </c:numCache>
              </c:numRef>
            </c:plus>
            <c:minus>
              <c:numRef>
                <c:f>'08340'!$J$46:$L$46</c:f>
                <c:numCache>
                  <c:formatCode>General</c:formatCode>
                  <c:ptCount val="3"/>
                  <c:pt idx="0">
                    <c:v>8.7576972753688545E-2</c:v>
                  </c:pt>
                  <c:pt idx="1">
                    <c:v>2.768119217234245E-2</c:v>
                  </c:pt>
                  <c:pt idx="2">
                    <c:v>1.3737564353519844E-2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'08340'!$J$40:$L$40</c:f>
              <c:strCache>
                <c:ptCount val="3"/>
                <c:pt idx="0">
                  <c:v>WT-39</c:v>
                </c:pt>
                <c:pt idx="1">
                  <c:v>ΔUSP5a</c:v>
                </c:pt>
                <c:pt idx="2">
                  <c:v>USP5a-C</c:v>
                </c:pt>
              </c:strCache>
            </c:strRef>
          </c:cat>
          <c:val>
            <c:numRef>
              <c:f>'08340'!$J$45:$L$45</c:f>
              <c:numCache>
                <c:formatCode>General</c:formatCode>
                <c:ptCount val="3"/>
                <c:pt idx="0">
                  <c:v>1</c:v>
                </c:pt>
                <c:pt idx="1">
                  <c:v>1.0366214969158287</c:v>
                </c:pt>
                <c:pt idx="2">
                  <c:v>1.1346835688960124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D-4FEC-BAF7-12ABEF6D0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0254623"/>
        <c:axId val="1460252127"/>
      </c:barChart>
      <c:catAx>
        <c:axId val="146025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60252127"/>
        <c:crosses val="autoZero"/>
        <c:auto val="1"/>
        <c:lblAlgn val="ctr"/>
        <c:lblOffset val="100"/>
        <c:noMultiLvlLbl val="0"/>
      </c:catAx>
      <c:valAx>
        <c:axId val="146025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6025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'08340'!$B$27:$F$27</c:f>
                <c:numCache>
                  <c:formatCode>General</c:formatCode>
                  <c:ptCount val="5"/>
                  <c:pt idx="0">
                    <c:v>40865960.876178272</c:v>
                  </c:pt>
                  <c:pt idx="1">
                    <c:v>76225102.328563645</c:v>
                  </c:pt>
                  <c:pt idx="2">
                    <c:v>56322777.142111875</c:v>
                  </c:pt>
                  <c:pt idx="3">
                    <c:v>68519636.783917651</c:v>
                  </c:pt>
                  <c:pt idx="4">
                    <c:v>42641135.851037867</c:v>
                  </c:pt>
                </c:numCache>
              </c:numRef>
            </c:plus>
            <c:minus>
              <c:numRef>
                <c:f>'08340'!$B$27:$F$27</c:f>
                <c:numCache>
                  <c:formatCode>General</c:formatCode>
                  <c:ptCount val="5"/>
                  <c:pt idx="0">
                    <c:v>40865960.876178272</c:v>
                  </c:pt>
                  <c:pt idx="1">
                    <c:v>76225102.328563645</c:v>
                  </c:pt>
                  <c:pt idx="2">
                    <c:v>56322777.142111875</c:v>
                  </c:pt>
                  <c:pt idx="3">
                    <c:v>68519636.783917651</c:v>
                  </c:pt>
                  <c:pt idx="4">
                    <c:v>42641135.851037867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'08340'!$B$21:$F$21</c:f>
              <c:strCache>
                <c:ptCount val="5"/>
                <c:pt idx="0">
                  <c:v>WT</c:v>
                </c:pt>
                <c:pt idx="1">
                  <c:v>C1</c:v>
                </c:pt>
                <c:pt idx="2">
                  <c:v>C5</c:v>
                </c:pt>
                <c:pt idx="3">
                  <c:v>C6</c:v>
                </c:pt>
                <c:pt idx="4">
                  <c:v>C7</c:v>
                </c:pt>
              </c:strCache>
            </c:strRef>
          </c:cat>
          <c:val>
            <c:numRef>
              <c:f>'08340'!$B$26:$F$26</c:f>
              <c:numCache>
                <c:formatCode>General</c:formatCode>
                <c:ptCount val="5"/>
                <c:pt idx="0">
                  <c:v>97867500</c:v>
                </c:pt>
                <c:pt idx="1">
                  <c:v>121392500</c:v>
                </c:pt>
                <c:pt idx="2">
                  <c:v>117437500</c:v>
                </c:pt>
                <c:pt idx="3">
                  <c:v>98412500</c:v>
                </c:pt>
                <c:pt idx="4">
                  <c:v>109810000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C-48C1-AC9E-61C84A0EC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885823"/>
        <c:axId val="1462881663"/>
      </c:barChart>
      <c:catAx>
        <c:axId val="146288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62881663"/>
        <c:crosses val="autoZero"/>
        <c:auto val="1"/>
        <c:lblAlgn val="ctr"/>
        <c:lblOffset val="100"/>
        <c:noMultiLvlLbl val="0"/>
      </c:catAx>
      <c:valAx>
        <c:axId val="146288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6288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NEW!$B$25:$I$25</c:f>
                <c:numCache>
                  <c:formatCode>General</c:formatCode>
                  <c:ptCount val="8"/>
                  <c:pt idx="0">
                    <c:v>19072034.500807725</c:v>
                  </c:pt>
                  <c:pt idx="1">
                    <c:v>26524328.455212586</c:v>
                  </c:pt>
                  <c:pt idx="2">
                    <c:v>9094824.5355989952</c:v>
                  </c:pt>
                  <c:pt idx="3">
                    <c:v>24511833.876721669</c:v>
                  </c:pt>
                  <c:pt idx="4">
                    <c:v>25539952.362263065</c:v>
                  </c:pt>
                  <c:pt idx="5">
                    <c:v>19371886.846665207</c:v>
                  </c:pt>
                  <c:pt idx="6">
                    <c:v>30689018.122666184</c:v>
                  </c:pt>
                  <c:pt idx="7">
                    <c:v>17052345.879672978</c:v>
                  </c:pt>
                </c:numCache>
              </c:numRef>
            </c:plus>
            <c:minus>
              <c:numRef>
                <c:f>NEW!$B$25:$I$25</c:f>
                <c:numCache>
                  <c:formatCode>General</c:formatCode>
                  <c:ptCount val="8"/>
                  <c:pt idx="0">
                    <c:v>19072034.500807725</c:v>
                  </c:pt>
                  <c:pt idx="1">
                    <c:v>26524328.455212586</c:v>
                  </c:pt>
                  <c:pt idx="2">
                    <c:v>9094824.5355989952</c:v>
                  </c:pt>
                  <c:pt idx="3">
                    <c:v>24511833.876721669</c:v>
                  </c:pt>
                  <c:pt idx="4">
                    <c:v>25539952.362263065</c:v>
                  </c:pt>
                  <c:pt idx="5">
                    <c:v>19371886.846665207</c:v>
                  </c:pt>
                  <c:pt idx="6">
                    <c:v>30689018.122666184</c:v>
                  </c:pt>
                  <c:pt idx="7">
                    <c:v>17052345.879672978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NEW!$B$19:$I$19</c:f>
              <c:strCache>
                <c:ptCount val="8"/>
                <c:pt idx="0">
                  <c:v>WTa</c:v>
                </c:pt>
                <c:pt idx="1">
                  <c:v>WTb</c:v>
                </c:pt>
                <c:pt idx="2">
                  <c:v>oeLLM1 1a</c:v>
                </c:pt>
                <c:pt idx="3">
                  <c:v>oeLLM1 2a</c:v>
                </c:pt>
                <c:pt idx="4">
                  <c:v>Δ08340 C1</c:v>
                </c:pt>
                <c:pt idx="5">
                  <c:v>Δ08340 C7</c:v>
                </c:pt>
                <c:pt idx="6">
                  <c:v>oe08340 C2</c:v>
                </c:pt>
                <c:pt idx="7">
                  <c:v>oe08340 C5</c:v>
                </c:pt>
              </c:strCache>
            </c:strRef>
          </c:cat>
          <c:val>
            <c:numRef>
              <c:f>NEW!$B$24:$I$24</c:f>
              <c:numCache>
                <c:formatCode>General</c:formatCode>
                <c:ptCount val="8"/>
                <c:pt idx="0">
                  <c:v>241425000</c:v>
                </c:pt>
                <c:pt idx="1">
                  <c:v>273300000</c:v>
                </c:pt>
                <c:pt idx="2">
                  <c:v>271825000</c:v>
                </c:pt>
                <c:pt idx="3">
                  <c:v>261750000</c:v>
                </c:pt>
                <c:pt idx="4">
                  <c:v>254475000</c:v>
                </c:pt>
                <c:pt idx="5">
                  <c:v>252650000</c:v>
                </c:pt>
                <c:pt idx="6">
                  <c:v>278825000</c:v>
                </c:pt>
                <c:pt idx="7">
                  <c:v>281875000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E-4016-9ED5-A57D8BD73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9100912"/>
        <c:axId val="1999095088"/>
      </c:barChart>
      <c:catAx>
        <c:axId val="199910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99095088"/>
        <c:crosses val="autoZero"/>
        <c:auto val="1"/>
        <c:lblAlgn val="ctr"/>
        <c:lblOffset val="100"/>
        <c:noMultiLvlLbl val="0"/>
      </c:catAx>
      <c:valAx>
        <c:axId val="199909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9910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'New Comb.'!$B$33:$E$33</c:f>
                <c:numCache>
                  <c:formatCode>General</c:formatCode>
                  <c:ptCount val="4"/>
                  <c:pt idx="0">
                    <c:v>27344048.059599996</c:v>
                  </c:pt>
                  <c:pt idx="1">
                    <c:v>17942960.219221674</c:v>
                  </c:pt>
                  <c:pt idx="2">
                    <c:v>21007953.425854158</c:v>
                  </c:pt>
                  <c:pt idx="3">
                    <c:v>23041577.326960184</c:v>
                  </c:pt>
                </c:numCache>
              </c:numRef>
            </c:plus>
            <c:minus>
              <c:numRef>
                <c:f>'New Comb.'!$B$33:$E$33</c:f>
                <c:numCache>
                  <c:formatCode>General</c:formatCode>
                  <c:ptCount val="4"/>
                  <c:pt idx="0">
                    <c:v>27344048.059599996</c:v>
                  </c:pt>
                  <c:pt idx="1">
                    <c:v>17942960.219221674</c:v>
                  </c:pt>
                  <c:pt idx="2">
                    <c:v>21007953.425854158</c:v>
                  </c:pt>
                  <c:pt idx="3">
                    <c:v>23041577.326960184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'New Comb.'!$B$23:$E$23</c:f>
              <c:strCache>
                <c:ptCount val="4"/>
                <c:pt idx="0">
                  <c:v>WT</c:v>
                </c:pt>
                <c:pt idx="1">
                  <c:v>oeLLM1 </c:v>
                </c:pt>
                <c:pt idx="2">
                  <c:v>Δ08340 </c:v>
                </c:pt>
                <c:pt idx="3">
                  <c:v>oe08340</c:v>
                </c:pt>
              </c:strCache>
            </c:strRef>
          </c:cat>
          <c:val>
            <c:numRef>
              <c:f>'New Comb.'!$B$32:$E$32</c:f>
              <c:numCache>
                <c:formatCode>General</c:formatCode>
                <c:ptCount val="4"/>
                <c:pt idx="0">
                  <c:v>257362500</c:v>
                </c:pt>
                <c:pt idx="1">
                  <c:v>266787500</c:v>
                </c:pt>
                <c:pt idx="2">
                  <c:v>253562500</c:v>
                </c:pt>
                <c:pt idx="3">
                  <c:v>280350000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2-4BAE-B8D1-4B2AAA2AE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656672"/>
        <c:axId val="2007658336"/>
      </c:barChart>
      <c:catAx>
        <c:axId val="200765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07658336"/>
        <c:crosses val="autoZero"/>
        <c:auto val="1"/>
        <c:lblAlgn val="ctr"/>
        <c:lblOffset val="100"/>
        <c:noMultiLvlLbl val="0"/>
      </c:catAx>
      <c:valAx>
        <c:axId val="200765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0765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'Rep 3'!$J$46:$L$46</c:f>
                <c:numCache>
                  <c:formatCode>General</c:formatCode>
                  <c:ptCount val="3"/>
                  <c:pt idx="0">
                    <c:v>4.0382464707447031E-2</c:v>
                  </c:pt>
                  <c:pt idx="1">
                    <c:v>7.8696685383783063E-2</c:v>
                  </c:pt>
                  <c:pt idx="2">
                    <c:v>2.1975092830557128E-2</c:v>
                  </c:pt>
                </c:numCache>
              </c:numRef>
            </c:plus>
            <c:minus>
              <c:numRef>
                <c:f>'Rep 3'!$J$46:$L$46</c:f>
                <c:numCache>
                  <c:formatCode>General</c:formatCode>
                  <c:ptCount val="3"/>
                  <c:pt idx="0">
                    <c:v>4.0382464707447031E-2</c:v>
                  </c:pt>
                  <c:pt idx="1">
                    <c:v>7.8696685383783063E-2</c:v>
                  </c:pt>
                  <c:pt idx="2">
                    <c:v>2.1975092830557128E-2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'Rep 3'!$J$40:$L$40</c:f>
              <c:strCache>
                <c:ptCount val="3"/>
                <c:pt idx="0">
                  <c:v>WT-39</c:v>
                </c:pt>
                <c:pt idx="1">
                  <c:v>ΔUSP5a</c:v>
                </c:pt>
                <c:pt idx="2">
                  <c:v>USP5a-C</c:v>
                </c:pt>
              </c:strCache>
            </c:strRef>
          </c:cat>
          <c:val>
            <c:numRef>
              <c:f>'Rep 3'!$J$45:$L$45</c:f>
              <c:numCache>
                <c:formatCode>General</c:formatCode>
                <c:ptCount val="3"/>
                <c:pt idx="0">
                  <c:v>1</c:v>
                </c:pt>
                <c:pt idx="1">
                  <c:v>0.77130635077328069</c:v>
                </c:pt>
                <c:pt idx="2">
                  <c:v>0.88534240064348657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8-5542-AEE4-F169209E7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0254623"/>
        <c:axId val="1460252127"/>
      </c:barChart>
      <c:catAx>
        <c:axId val="146025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60252127"/>
        <c:crosses val="autoZero"/>
        <c:auto val="1"/>
        <c:lblAlgn val="ctr"/>
        <c:lblOffset val="100"/>
        <c:noMultiLvlLbl val="0"/>
      </c:catAx>
      <c:valAx>
        <c:axId val="146025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6025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'Rep 3'!$B$27:$G$27</c:f>
                <c:numCache>
                  <c:formatCode>General</c:formatCode>
                  <c:ptCount val="6"/>
                  <c:pt idx="0">
                    <c:v>6902354.670690286</c:v>
                  </c:pt>
                  <c:pt idx="1">
                    <c:v>33357108.188010942</c:v>
                  </c:pt>
                  <c:pt idx="2">
                    <c:v>30700963.611370027</c:v>
                  </c:pt>
                  <c:pt idx="3">
                    <c:v>25609552.254318446</c:v>
                  </c:pt>
                  <c:pt idx="4">
                    <c:v>14434305.202075597</c:v>
                  </c:pt>
                  <c:pt idx="5">
                    <c:v>54334580.76277636</c:v>
                  </c:pt>
                </c:numCache>
              </c:numRef>
            </c:plus>
            <c:minus>
              <c:numRef>
                <c:f>'Rep 3'!$B$27:$G$27</c:f>
                <c:numCache>
                  <c:formatCode>General</c:formatCode>
                  <c:ptCount val="6"/>
                  <c:pt idx="0">
                    <c:v>6902354.670690286</c:v>
                  </c:pt>
                  <c:pt idx="1">
                    <c:v>33357108.188010942</c:v>
                  </c:pt>
                  <c:pt idx="2">
                    <c:v>30700963.611370027</c:v>
                  </c:pt>
                  <c:pt idx="3">
                    <c:v>25609552.254318446</c:v>
                  </c:pt>
                  <c:pt idx="4">
                    <c:v>14434305.202075597</c:v>
                  </c:pt>
                  <c:pt idx="5">
                    <c:v>54334580.76277636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'Rep 3'!$B$21:$G$21</c:f>
              <c:strCache>
                <c:ptCount val="6"/>
                <c:pt idx="0">
                  <c:v>VGB39-5</c:v>
                </c:pt>
                <c:pt idx="1">
                  <c:v>VGB39-6</c:v>
                </c:pt>
                <c:pt idx="2">
                  <c:v>VGB527-3</c:v>
                </c:pt>
                <c:pt idx="3">
                  <c:v>VGB528-3</c:v>
                </c:pt>
                <c:pt idx="4">
                  <c:v>VGB654-3</c:v>
                </c:pt>
                <c:pt idx="5">
                  <c:v>VGB655-3</c:v>
                </c:pt>
              </c:strCache>
            </c:strRef>
          </c:cat>
          <c:val>
            <c:numRef>
              <c:f>'Rep 3'!$B$26:$G$26</c:f>
              <c:numCache>
                <c:formatCode>General</c:formatCode>
                <c:ptCount val="6"/>
                <c:pt idx="0">
                  <c:v>332125000</c:v>
                </c:pt>
                <c:pt idx="1">
                  <c:v>351650000</c:v>
                </c:pt>
                <c:pt idx="2">
                  <c:v>244675000</c:v>
                </c:pt>
                <c:pt idx="3">
                  <c:v>282725000</c:v>
                </c:pt>
                <c:pt idx="4">
                  <c:v>297375000</c:v>
                </c:pt>
                <c:pt idx="5">
                  <c:v>308000000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2-8440-B597-1F8F0D6D4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885823"/>
        <c:axId val="1462881663"/>
      </c:barChart>
      <c:catAx>
        <c:axId val="146288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62881663"/>
        <c:crosses val="autoZero"/>
        <c:auto val="1"/>
        <c:lblAlgn val="ctr"/>
        <c:lblOffset val="100"/>
        <c:noMultiLvlLbl val="0"/>
      </c:catAx>
      <c:valAx>
        <c:axId val="146288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6288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DE"/>
              <a:t>USP5a is required for spore</a:t>
            </a:r>
            <a:r>
              <a:rPr lang="de-DE" baseline="0"/>
              <a:t> production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Auswertung!$I$13:$I$15</c:f>
                <c:numCache>
                  <c:formatCode>General</c:formatCode>
                  <c:ptCount val="3"/>
                  <c:pt idx="0">
                    <c:v>3.5400469925633123E-2</c:v>
                  </c:pt>
                  <c:pt idx="1">
                    <c:v>0.1116814980818279</c:v>
                  </c:pt>
                  <c:pt idx="2">
                    <c:v>4.0447725447139156E-2</c:v>
                  </c:pt>
                </c:numCache>
              </c:numRef>
            </c:plus>
            <c:minus>
              <c:numRef>
                <c:f>Auswertung!$I$13:$I$15</c:f>
                <c:numCache>
                  <c:formatCode>General</c:formatCode>
                  <c:ptCount val="3"/>
                  <c:pt idx="0">
                    <c:v>3.5400469925633123E-2</c:v>
                  </c:pt>
                  <c:pt idx="1">
                    <c:v>0.1116814980818279</c:v>
                  </c:pt>
                  <c:pt idx="2">
                    <c:v>4.0447725447139156E-2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Auswertung!$A$13:$A$15</c:f>
              <c:strCache>
                <c:ptCount val="3"/>
                <c:pt idx="0">
                  <c:v>WT-39</c:v>
                </c:pt>
                <c:pt idx="1">
                  <c:v>ΔUSP5a</c:v>
                </c:pt>
                <c:pt idx="2">
                  <c:v>USP5a-C</c:v>
                </c:pt>
              </c:strCache>
            </c:strRef>
          </c:cat>
          <c:val>
            <c:numRef>
              <c:f>Auswertung!$H$13:$H$15</c:f>
              <c:numCache>
                <c:formatCode>General</c:formatCode>
                <c:ptCount val="3"/>
                <c:pt idx="0">
                  <c:v>0.99999999999999989</c:v>
                </c:pt>
                <c:pt idx="1">
                  <c:v>0.64990061910397279</c:v>
                </c:pt>
                <c:pt idx="2">
                  <c:v>0.8832492402160077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1-DA45-B56F-53BAC7A31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0728352"/>
        <c:axId val="1500734384"/>
      </c:barChart>
      <c:catAx>
        <c:axId val="150072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DE"/>
          </a:p>
        </c:txPr>
        <c:crossAx val="1500734384"/>
        <c:crosses val="autoZero"/>
        <c:auto val="1"/>
        <c:lblAlgn val="ctr"/>
        <c:lblOffset val="100"/>
        <c:noMultiLvlLbl val="0"/>
      </c:catAx>
      <c:valAx>
        <c:axId val="150073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DE"/>
          </a:p>
        </c:txPr>
        <c:crossAx val="150072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'LLM1 ALL'!$B$25:$I$25</c:f>
                <c:numCache>
                  <c:formatCode>General</c:formatCode>
                  <c:ptCount val="8"/>
                  <c:pt idx="0">
                    <c:v>15550214.36079473</c:v>
                  </c:pt>
                  <c:pt idx="1">
                    <c:v>11495796.333152972</c:v>
                  </c:pt>
                  <c:pt idx="2">
                    <c:v>21071999.588711716</c:v>
                  </c:pt>
                  <c:pt idx="3">
                    <c:v>17359411.472358927</c:v>
                  </c:pt>
                  <c:pt idx="4">
                    <c:v>12746077.828100691</c:v>
                  </c:pt>
                  <c:pt idx="5">
                    <c:v>19333972.690577589</c:v>
                  </c:pt>
                  <c:pt idx="6">
                    <c:v>13896372.428323396</c:v>
                  </c:pt>
                  <c:pt idx="7">
                    <c:v>7149825.1726877913</c:v>
                  </c:pt>
                </c:numCache>
              </c:numRef>
            </c:plus>
            <c:minus>
              <c:numRef>
                <c:f>'LLM1 ALL'!$B$25:$I$25</c:f>
                <c:numCache>
                  <c:formatCode>General</c:formatCode>
                  <c:ptCount val="8"/>
                  <c:pt idx="0">
                    <c:v>15550214.36079473</c:v>
                  </c:pt>
                  <c:pt idx="1">
                    <c:v>11495796.333152972</c:v>
                  </c:pt>
                  <c:pt idx="2">
                    <c:v>21071999.588711716</c:v>
                  </c:pt>
                  <c:pt idx="3">
                    <c:v>17359411.472358927</c:v>
                  </c:pt>
                  <c:pt idx="4">
                    <c:v>12746077.828100691</c:v>
                  </c:pt>
                  <c:pt idx="5">
                    <c:v>19333972.690577589</c:v>
                  </c:pt>
                  <c:pt idx="6">
                    <c:v>13896372.428323396</c:v>
                  </c:pt>
                  <c:pt idx="7">
                    <c:v>7149825.1726877913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'LLM1 ALL'!$B$19:$I$19</c:f>
              <c:strCache>
                <c:ptCount val="8"/>
                <c:pt idx="0">
                  <c:v>WTa</c:v>
                </c:pt>
                <c:pt idx="1">
                  <c:v>WTb</c:v>
                </c:pt>
                <c:pt idx="2">
                  <c:v>ΔLLM1a</c:v>
                </c:pt>
                <c:pt idx="3">
                  <c:v>ΔLLM1b</c:v>
                </c:pt>
                <c:pt idx="4">
                  <c:v>LLM1-NoGFP C3</c:v>
                </c:pt>
                <c:pt idx="5">
                  <c:v>LLM1-NoGFP C9</c:v>
                </c:pt>
                <c:pt idx="6">
                  <c:v>LLM1+GFP-C C6</c:v>
                </c:pt>
                <c:pt idx="7">
                  <c:v>LLM1+GFP-C C8</c:v>
                </c:pt>
              </c:strCache>
            </c:strRef>
          </c:cat>
          <c:val>
            <c:numRef>
              <c:f>'LLM1 ALL'!$B$24:$I$24</c:f>
              <c:numCache>
                <c:formatCode>General</c:formatCode>
                <c:ptCount val="8"/>
                <c:pt idx="0">
                  <c:v>188275000</c:v>
                </c:pt>
                <c:pt idx="1">
                  <c:v>179100000</c:v>
                </c:pt>
                <c:pt idx="2">
                  <c:v>157825000</c:v>
                </c:pt>
                <c:pt idx="3">
                  <c:v>163475000</c:v>
                </c:pt>
                <c:pt idx="4">
                  <c:v>171475000</c:v>
                </c:pt>
                <c:pt idx="5">
                  <c:v>187075000</c:v>
                </c:pt>
                <c:pt idx="6">
                  <c:v>190175000</c:v>
                </c:pt>
                <c:pt idx="7">
                  <c:v>174800000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0-42AA-9CE5-79A23C046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9100912"/>
        <c:axId val="1999095088"/>
      </c:barChart>
      <c:catAx>
        <c:axId val="199910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99095088"/>
        <c:crosses val="autoZero"/>
        <c:auto val="1"/>
        <c:lblAlgn val="ctr"/>
        <c:lblOffset val="100"/>
        <c:noMultiLvlLbl val="0"/>
      </c:catAx>
      <c:valAx>
        <c:axId val="199909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9910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'LLM1 comb.'!$B$33:$E$33</c:f>
                <c:numCache>
                  <c:formatCode>General</c:formatCode>
                  <c:ptCount val="4"/>
                  <c:pt idx="0">
                    <c:v>13576496.234301396</c:v>
                  </c:pt>
                  <c:pt idx="1">
                    <c:v>18126460.532287363</c:v>
                  </c:pt>
                  <c:pt idx="2">
                    <c:v>17302002.3614114</c:v>
                  </c:pt>
                  <c:pt idx="3">
                    <c:v>13122873.977470463</c:v>
                  </c:pt>
                </c:numCache>
              </c:numRef>
            </c:plus>
            <c:minus>
              <c:numRef>
                <c:f>'LLM1 comb.'!$B$33:$E$33</c:f>
                <c:numCache>
                  <c:formatCode>General</c:formatCode>
                  <c:ptCount val="4"/>
                  <c:pt idx="0">
                    <c:v>13576496.234301396</c:v>
                  </c:pt>
                  <c:pt idx="1">
                    <c:v>18126460.532287363</c:v>
                  </c:pt>
                  <c:pt idx="2">
                    <c:v>17302002.3614114</c:v>
                  </c:pt>
                  <c:pt idx="3">
                    <c:v>13122873.977470463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'LLM1 comb.'!$B$23:$E$23</c:f>
              <c:strCache>
                <c:ptCount val="4"/>
                <c:pt idx="0">
                  <c:v>WT</c:v>
                </c:pt>
                <c:pt idx="1">
                  <c:v>ΔLLM1</c:v>
                </c:pt>
                <c:pt idx="2">
                  <c:v>Comp. LLM1</c:v>
                </c:pt>
                <c:pt idx="3">
                  <c:v>LLM1-GFP</c:v>
                </c:pt>
              </c:strCache>
            </c:strRef>
          </c:cat>
          <c:val>
            <c:numRef>
              <c:f>'LLM1 comb.'!$B$32:$E$32</c:f>
              <c:numCache>
                <c:formatCode>General</c:formatCode>
                <c:ptCount val="4"/>
                <c:pt idx="0">
                  <c:v>183687500</c:v>
                </c:pt>
                <c:pt idx="1">
                  <c:v>160650000</c:v>
                </c:pt>
                <c:pt idx="2">
                  <c:v>179275000</c:v>
                </c:pt>
                <c:pt idx="3">
                  <c:v>182487500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1-4561-A684-DC03AE5AC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656672"/>
        <c:axId val="2007658336"/>
      </c:barChart>
      <c:catAx>
        <c:axId val="200765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07658336"/>
        <c:crosses val="autoZero"/>
        <c:auto val="1"/>
        <c:lblAlgn val="ctr"/>
        <c:lblOffset val="100"/>
        <c:noMultiLvlLbl val="0"/>
      </c:catAx>
      <c:valAx>
        <c:axId val="200765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0765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rstGeom prst="rect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'Llm1 norm.'!$B$29:$E$29</c:f>
                <c:numCache>
                  <c:formatCode>General</c:formatCode>
                  <c:ptCount val="4"/>
                  <c:pt idx="0">
                    <c:v>32596357.158431064</c:v>
                  </c:pt>
                  <c:pt idx="1">
                    <c:v>24426420.122482117</c:v>
                  </c:pt>
                  <c:pt idx="2">
                    <c:v>25795929.911518987</c:v>
                  </c:pt>
                  <c:pt idx="3">
                    <c:v>25953162.941473369</c:v>
                  </c:pt>
                </c:numCache>
              </c:numRef>
            </c:plus>
            <c:minus>
              <c:numRef>
                <c:f>'Llm1 norm.'!$B$29:$E$29</c:f>
                <c:numCache>
                  <c:formatCode>General</c:formatCode>
                  <c:ptCount val="4"/>
                  <c:pt idx="0">
                    <c:v>32596357.158431064</c:v>
                  </c:pt>
                  <c:pt idx="1">
                    <c:v>24426420.122482117</c:v>
                  </c:pt>
                  <c:pt idx="2">
                    <c:v>25795929.911518987</c:v>
                  </c:pt>
                  <c:pt idx="3">
                    <c:v>25953162.941473369</c:v>
                  </c:pt>
                </c:numCache>
              </c:numRef>
            </c:minus>
            <c:spPr bwMode="auto"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'Llm1 norm.'!$B$22:$E$22</c:f>
              <c:strCache>
                <c:ptCount val="4"/>
                <c:pt idx="0">
                  <c:v>VGB632</c:v>
                </c:pt>
                <c:pt idx="1">
                  <c:v>VGB105</c:v>
                </c:pt>
                <c:pt idx="2">
                  <c:v>VGB106</c:v>
                </c:pt>
                <c:pt idx="3">
                  <c:v>VGB142</c:v>
                </c:pt>
              </c:strCache>
            </c:strRef>
          </c:cat>
          <c:val>
            <c:numRef>
              <c:f>'Llm1 norm.'!$B$28:$E$28</c:f>
              <c:numCache>
                <c:formatCode>General</c:formatCode>
                <c:ptCount val="4"/>
                <c:pt idx="0">
                  <c:v>174825000</c:v>
                </c:pt>
                <c:pt idx="1">
                  <c:v>212150000</c:v>
                </c:pt>
                <c:pt idx="2">
                  <c:v>146650000</c:v>
                </c:pt>
                <c:pt idx="3">
                  <c:v>192100000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B-4715-9235-8C58CB29C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9335087"/>
        <c:axId val="669336735"/>
      </c:barChart>
      <c:catAx>
        <c:axId val="66933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/>
                </a:solidFill>
                <a:latin typeface="Arial"/>
                <a:ea typeface="+mn-ea"/>
                <a:cs typeface="Arial"/>
              </a:defRPr>
            </a:pPr>
            <a:endParaRPr lang="en-DE"/>
          </a:p>
        </c:txPr>
        <c:crossAx val="669336735"/>
        <c:crosses val="autoZero"/>
        <c:auto val="1"/>
        <c:lblAlgn val="ctr"/>
        <c:lblOffset val="100"/>
        <c:noMultiLvlLbl val="0"/>
      </c:catAx>
      <c:valAx>
        <c:axId val="669336735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/>
                </a:solidFill>
                <a:latin typeface="Arial"/>
                <a:ea typeface="+mn-ea"/>
                <a:cs typeface="Arial"/>
              </a:defRPr>
            </a:pPr>
            <a:endParaRPr lang="en-DE"/>
          </a:p>
        </c:txPr>
        <c:crossAx val="669335087"/>
        <c:crosses val="autoZero"/>
        <c:crossBetween val="between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/>
          <a:cs typeface="Arial"/>
        </a:defRPr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'Llm1 norm.'!$I$49:$L$49</c:f>
                <c:numCache>
                  <c:formatCode>General</c:formatCode>
                  <c:ptCount val="4"/>
                  <c:pt idx="0">
                    <c:v>3.5319249907514665E-2</c:v>
                  </c:pt>
                  <c:pt idx="1">
                    <c:v>2.174972882588086E-2</c:v>
                  </c:pt>
                  <c:pt idx="2">
                    <c:v>6.0052348616591519E-2</c:v>
                  </c:pt>
                  <c:pt idx="3">
                    <c:v>5.9186208973082972E-2</c:v>
                  </c:pt>
                </c:numCache>
              </c:numRef>
            </c:plus>
            <c:minus>
              <c:numRef>
                <c:f>'Llm1 norm.'!$I$49:$L$49</c:f>
                <c:numCache>
                  <c:formatCode>General</c:formatCode>
                  <c:ptCount val="4"/>
                  <c:pt idx="0">
                    <c:v>3.5319249907514665E-2</c:v>
                  </c:pt>
                  <c:pt idx="1">
                    <c:v>2.174972882588086E-2</c:v>
                  </c:pt>
                  <c:pt idx="2">
                    <c:v>6.0052348616591519E-2</c:v>
                  </c:pt>
                  <c:pt idx="3">
                    <c:v>5.9186208973082972E-2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'Llm1 norm.'!$I$43:$L$43</c:f>
              <c:strCache>
                <c:ptCount val="4"/>
                <c:pt idx="0">
                  <c:v>WT</c:v>
                </c:pt>
                <c:pt idx="1">
                  <c:v>ΔLLM1</c:v>
                </c:pt>
                <c:pt idx="2">
                  <c:v>Comp.LLM1</c:v>
                </c:pt>
                <c:pt idx="3">
                  <c:v>LLM1-GFP</c:v>
                </c:pt>
              </c:strCache>
            </c:strRef>
          </c:cat>
          <c:val>
            <c:numRef>
              <c:f>'Llm1 norm.'!$I$48:$L$48</c:f>
              <c:numCache>
                <c:formatCode>General</c:formatCode>
                <c:ptCount val="4"/>
                <c:pt idx="0">
                  <c:v>1</c:v>
                </c:pt>
                <c:pt idx="1">
                  <c:v>0.87458319156175568</c:v>
                </c:pt>
                <c:pt idx="2">
                  <c:v>0.97597822388567546</c:v>
                </c:pt>
                <c:pt idx="3">
                  <c:v>0.99346716570261995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B-466B-ACF7-454CF1F02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8556607"/>
        <c:axId val="858555167"/>
      </c:barChart>
      <c:catAx>
        <c:axId val="85855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58555167"/>
        <c:crosses val="autoZero"/>
        <c:auto val="1"/>
        <c:lblAlgn val="ctr"/>
        <c:lblOffset val="100"/>
        <c:noMultiLvlLbl val="0"/>
      </c:catAx>
      <c:valAx>
        <c:axId val="85855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5855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'LLM1 new'!$C$43:$G$43</c:f>
                <c:numCache>
                  <c:formatCode>General</c:formatCode>
                  <c:ptCount val="5"/>
                  <c:pt idx="0">
                    <c:v>4.4641763943806582E-2</c:v>
                  </c:pt>
                  <c:pt idx="1">
                    <c:v>0.10003631707598555</c:v>
                  </c:pt>
                  <c:pt idx="2">
                    <c:v>4.7940429972791881E-2</c:v>
                  </c:pt>
                  <c:pt idx="3">
                    <c:v>4.5826992122213084E-2</c:v>
                  </c:pt>
                  <c:pt idx="4">
                    <c:v>5.9503147471015247E-2</c:v>
                  </c:pt>
                </c:numCache>
              </c:numRef>
            </c:plus>
            <c:minus>
              <c:numRef>
                <c:f>'LLM1 new'!$C$43:$G$43</c:f>
                <c:numCache>
                  <c:formatCode>General</c:formatCode>
                  <c:ptCount val="5"/>
                  <c:pt idx="0">
                    <c:v>4.4641763943806582E-2</c:v>
                  </c:pt>
                  <c:pt idx="1">
                    <c:v>0.10003631707598555</c:v>
                  </c:pt>
                  <c:pt idx="2">
                    <c:v>4.7940429972791881E-2</c:v>
                  </c:pt>
                  <c:pt idx="3">
                    <c:v>4.5826992122213084E-2</c:v>
                  </c:pt>
                  <c:pt idx="4">
                    <c:v>5.9503147471015247E-2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'LLM1 new'!$C$34:$G$34</c:f>
              <c:strCache>
                <c:ptCount val="5"/>
                <c:pt idx="0">
                  <c:v>WT</c:v>
                </c:pt>
                <c:pt idx="1">
                  <c:v>ΔLLM1 </c:v>
                </c:pt>
                <c:pt idx="2">
                  <c:v>Comp. LLM1 </c:v>
                </c:pt>
                <c:pt idx="3">
                  <c:v>LLM1-GFP</c:v>
                </c:pt>
                <c:pt idx="4">
                  <c:v>oeLLM1</c:v>
                </c:pt>
              </c:strCache>
            </c:strRef>
          </c:cat>
          <c:val>
            <c:numRef>
              <c:f>'LLM1 new'!$C$42:$G$42</c:f>
              <c:numCache>
                <c:formatCode>General</c:formatCode>
                <c:ptCount val="5"/>
                <c:pt idx="0">
                  <c:v>1</c:v>
                </c:pt>
                <c:pt idx="1">
                  <c:v>0.7665313743042903</c:v>
                </c:pt>
                <c:pt idx="2">
                  <c:v>0.94734877768641246</c:v>
                </c:pt>
                <c:pt idx="3">
                  <c:v>0.97832032919538037</c:v>
                </c:pt>
                <c:pt idx="4">
                  <c:v>0.97112148004046228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A-4350-8A37-A0FA4D4E8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0254623"/>
        <c:axId val="1460252127"/>
      </c:barChart>
      <c:catAx>
        <c:axId val="146025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60252127"/>
        <c:crosses val="autoZero"/>
        <c:auto val="1"/>
        <c:lblAlgn val="ctr"/>
        <c:lblOffset val="100"/>
        <c:noMultiLvlLbl val="0"/>
      </c:catAx>
      <c:valAx>
        <c:axId val="146025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6025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MarkerLayout/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141398</xdr:colOff>
      <xdr:row>39</xdr:row>
      <xdr:rowOff>156632</xdr:rowOff>
    </xdr:from>
    <xdr:to>
      <xdr:col>32</xdr:col>
      <xdr:colOff>745066</xdr:colOff>
      <xdr:row>46</xdr:row>
      <xdr:rowOff>61383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28154423" y="7300382"/>
          <a:ext cx="2032418" cy="117157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13</xdr:col>
      <xdr:colOff>209550</xdr:colOff>
      <xdr:row>29</xdr:row>
      <xdr:rowOff>66675</xdr:rowOff>
    </xdr:from>
    <xdr:to>
      <xdr:col>15</xdr:col>
      <xdr:colOff>485775</xdr:colOff>
      <xdr:row>44</xdr:row>
      <xdr:rowOff>66675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613833</xdr:colOff>
      <xdr:row>28</xdr:row>
      <xdr:rowOff>81492</xdr:rowOff>
    </xdr:from>
    <xdr:to>
      <xdr:col>5</xdr:col>
      <xdr:colOff>613833</xdr:colOff>
      <xdr:row>43</xdr:row>
      <xdr:rowOff>71967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50801</xdr:colOff>
      <xdr:row>58</xdr:row>
      <xdr:rowOff>85725</xdr:rowOff>
    </xdr:from>
    <xdr:to>
      <xdr:col>14</xdr:col>
      <xdr:colOff>990601</xdr:colOff>
      <xdr:row>61</xdr:row>
      <xdr:rowOff>54953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3881101" y="11147425"/>
          <a:ext cx="2108200" cy="115032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1009649</xdr:colOff>
      <xdr:row>26</xdr:row>
      <xdr:rowOff>190499</xdr:rowOff>
    </xdr:from>
    <xdr:to>
      <xdr:col>6</xdr:col>
      <xdr:colOff>1038224</xdr:colOff>
      <xdr:row>45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35</xdr:row>
      <xdr:rowOff>9525</xdr:rowOff>
    </xdr:from>
    <xdr:to>
      <xdr:col>7</xdr:col>
      <xdr:colOff>600075</xdr:colOff>
      <xdr:row>53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141398</xdr:colOff>
      <xdr:row>39</xdr:row>
      <xdr:rowOff>156632</xdr:rowOff>
    </xdr:from>
    <xdr:to>
      <xdr:col>32</xdr:col>
      <xdr:colOff>745066</xdr:colOff>
      <xdr:row>46</xdr:row>
      <xdr:rowOff>61383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1700898" y="7598832"/>
          <a:ext cx="2254668" cy="123825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12</xdr:col>
      <xdr:colOff>632883</xdr:colOff>
      <xdr:row>29</xdr:row>
      <xdr:rowOff>52563</xdr:rowOff>
    </xdr:from>
    <xdr:to>
      <xdr:col>14</xdr:col>
      <xdr:colOff>909109</xdr:colOff>
      <xdr:row>44</xdr:row>
      <xdr:rowOff>52563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858287</xdr:colOff>
      <xdr:row>27</xdr:row>
      <xdr:rowOff>132126</xdr:rowOff>
    </xdr:from>
    <xdr:to>
      <xdr:col>5</xdr:col>
      <xdr:colOff>858287</xdr:colOff>
      <xdr:row>42</xdr:row>
      <xdr:rowOff>122601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685801</xdr:colOff>
      <xdr:row>50</xdr:row>
      <xdr:rowOff>22225</xdr:rowOff>
    </xdr:from>
    <xdr:to>
      <xdr:col>15</xdr:col>
      <xdr:colOff>254001</xdr:colOff>
      <xdr:row>56</xdr:row>
      <xdr:rowOff>29553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4516101" y="9559925"/>
          <a:ext cx="1905000" cy="115032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27</xdr:row>
      <xdr:rowOff>301625</xdr:rowOff>
    </xdr:from>
    <xdr:to>
      <xdr:col>8</xdr:col>
      <xdr:colOff>66919</xdr:colOff>
      <xdr:row>27</xdr:row>
      <xdr:rowOff>1451953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5029200" y="5305425"/>
          <a:ext cx="1641719" cy="115032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11</xdr:col>
      <xdr:colOff>6350</xdr:colOff>
      <xdr:row>3</xdr:row>
      <xdr:rowOff>127000</xdr:rowOff>
    </xdr:from>
    <xdr:to>
      <xdr:col>16</xdr:col>
      <xdr:colOff>450850</xdr:colOff>
      <xdr:row>18</xdr:row>
      <xdr:rowOff>12700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1009649</xdr:colOff>
      <xdr:row>26</xdr:row>
      <xdr:rowOff>190499</xdr:rowOff>
    </xdr:from>
    <xdr:to>
      <xdr:col>6</xdr:col>
      <xdr:colOff>1038224</xdr:colOff>
      <xdr:row>45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35</xdr:row>
      <xdr:rowOff>9525</xdr:rowOff>
    </xdr:from>
    <xdr:to>
      <xdr:col>7</xdr:col>
      <xdr:colOff>600075</xdr:colOff>
      <xdr:row>53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141398</xdr:colOff>
      <xdr:row>42</xdr:row>
      <xdr:rowOff>156632</xdr:rowOff>
    </xdr:from>
    <xdr:to>
      <xdr:col>31</xdr:col>
      <xdr:colOff>745066</xdr:colOff>
      <xdr:row>49</xdr:row>
      <xdr:rowOff>61383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28154423" y="7300382"/>
          <a:ext cx="2032418" cy="117157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369711</xdr:colOff>
      <xdr:row>31</xdr:row>
      <xdr:rowOff>19754</xdr:rowOff>
    </xdr:from>
    <xdr:to>
      <xdr:col>5</xdr:col>
      <xdr:colOff>0</xdr:colOff>
      <xdr:row>45</xdr:row>
      <xdr:rowOff>117835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52</xdr:row>
      <xdr:rowOff>38100</xdr:rowOff>
    </xdr:from>
    <xdr:to>
      <xdr:col>14</xdr:col>
      <xdr:colOff>1009894</xdr:colOff>
      <xdr:row>58</xdr:row>
      <xdr:rowOff>45428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3134975" y="9401175"/>
          <a:ext cx="2029069" cy="115032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12</xdr:col>
      <xdr:colOff>694266</xdr:colOff>
      <xdr:row>31</xdr:row>
      <xdr:rowOff>8465</xdr:rowOff>
    </xdr:from>
    <xdr:to>
      <xdr:col>17</xdr:col>
      <xdr:colOff>745066</xdr:colOff>
      <xdr:row>49</xdr:row>
      <xdr:rowOff>160865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E64760-4686-C73B-1766-D38ECCECB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25400</xdr:colOff>
      <xdr:row>30</xdr:row>
      <xdr:rowOff>7407</xdr:rowOff>
    </xdr:from>
    <xdr:to>
      <xdr:col>15</xdr:col>
      <xdr:colOff>110066</xdr:colOff>
      <xdr:row>55</xdr:row>
      <xdr:rowOff>8467</xdr:rowOff>
    </xdr:to>
    <xdr:graphicFrame macro="">
      <xdr:nvGraphicFramePr>
        <xdr:cNvPr id="3" name="Diagramm 4">
          <a:extLst>
            <a:ext uri="{FF2B5EF4-FFF2-40B4-BE49-F238E27FC236}">
              <a16:creationId xmlns:a16="http://schemas.microsoft.com/office/drawing/2014/main" id="{11D6273E-6B8B-4C52-8931-71C376316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50801</xdr:colOff>
      <xdr:row>57</xdr:row>
      <xdr:rowOff>85725</xdr:rowOff>
    </xdr:from>
    <xdr:to>
      <xdr:col>7</xdr:col>
      <xdr:colOff>990601</xdr:colOff>
      <xdr:row>60</xdr:row>
      <xdr:rowOff>54953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2CEED731-9287-4F5A-B648-F0811F4D2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2501881" y="10814685"/>
          <a:ext cx="1991360" cy="104364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calcu.com/stat/two-sample-t-test-calculator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icalcu.com/stat/two-sample-t-test-calculator.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calcu.com/stat/two-sample-t-test-calculator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icalcu.com/stat/two-sample-t-test-calculator.html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icalcu.com/stat/two-sample-t-test-calculato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1"/>
  <sheetViews>
    <sheetView zoomScale="90" zoomScaleNormal="90" workbookViewId="0">
      <selection activeCell="J26" sqref="J26:M26"/>
    </sheetView>
  </sheetViews>
  <sheetFormatPr defaultColWidth="10.88671875" defaultRowHeight="14.4" x14ac:dyDescent="0.3"/>
  <cols>
    <col min="1" max="8" width="13.6640625" style="2" customWidth="1"/>
    <col min="9" max="9" width="10.88671875" style="2"/>
    <col min="10" max="17" width="15.33203125" style="2" customWidth="1"/>
    <col min="18" max="18" width="14.44140625" style="2" customWidth="1"/>
    <col min="19" max="19" width="13.44140625" style="2" customWidth="1"/>
    <col min="20" max="20" width="3.88671875" style="2" customWidth="1"/>
    <col min="21" max="21" width="16.44140625" style="2" customWidth="1"/>
    <col min="22" max="22" width="12" style="2" customWidth="1"/>
    <col min="23" max="23" width="3.6640625" style="2" customWidth="1"/>
    <col min="24" max="24" width="10.88671875" style="2"/>
    <col min="25" max="25" width="42.33203125" style="2" customWidth="1"/>
    <col min="30" max="16384" width="10.88671875" style="2"/>
  </cols>
  <sheetData>
    <row r="1" spans="1:19" x14ac:dyDescent="0.3">
      <c r="A1" s="1" t="s">
        <v>86</v>
      </c>
      <c r="B1" s="1"/>
      <c r="C1" s="1"/>
      <c r="E1" s="23"/>
    </row>
    <row r="3" spans="1:19" x14ac:dyDescent="0.3">
      <c r="A3" s="2" t="s">
        <v>30</v>
      </c>
      <c r="H3" s="4"/>
    </row>
    <row r="4" spans="1:19" x14ac:dyDescent="0.3">
      <c r="A4" s="2" t="s">
        <v>1</v>
      </c>
    </row>
    <row r="5" spans="1:19" x14ac:dyDescent="0.3">
      <c r="A5" s="2" t="s">
        <v>2</v>
      </c>
    </row>
    <row r="6" spans="1:19" x14ac:dyDescent="0.3">
      <c r="A6" s="2" t="s">
        <v>3</v>
      </c>
    </row>
    <row r="7" spans="1:19" x14ac:dyDescent="0.3">
      <c r="A7" s="2" t="s">
        <v>4</v>
      </c>
      <c r="J7" s="2" t="s">
        <v>162</v>
      </c>
    </row>
    <row r="8" spans="1:19" x14ac:dyDescent="0.3">
      <c r="I8" s="5"/>
    </row>
    <row r="9" spans="1:19" x14ac:dyDescent="0.3">
      <c r="A9" s="3"/>
      <c r="B9" s="3"/>
      <c r="C9" s="3"/>
    </row>
    <row r="10" spans="1:19" ht="16.8" x14ac:dyDescent="0.3">
      <c r="A10" s="6" t="s">
        <v>5</v>
      </c>
      <c r="B10" s="6" t="s">
        <v>74</v>
      </c>
      <c r="C10" s="6" t="s">
        <v>87</v>
      </c>
      <c r="D10" s="6" t="s">
        <v>88</v>
      </c>
      <c r="E10" s="6" t="s">
        <v>89</v>
      </c>
      <c r="F10" s="12" t="s">
        <v>90</v>
      </c>
      <c r="G10" s="15"/>
      <c r="H10" s="14"/>
      <c r="I10" s="6" t="s">
        <v>9</v>
      </c>
      <c r="J10" s="6" t="s">
        <v>108</v>
      </c>
      <c r="K10" s="6" t="s">
        <v>97</v>
      </c>
      <c r="L10" s="7" t="s">
        <v>98</v>
      </c>
      <c r="M10" s="7" t="s">
        <v>112</v>
      </c>
      <c r="N10" s="7" t="s">
        <v>8</v>
      </c>
      <c r="O10" s="11" t="s">
        <v>8</v>
      </c>
      <c r="P10" s="14"/>
      <c r="Q10" s="13"/>
      <c r="R10" s="13"/>
      <c r="S10" s="13"/>
    </row>
    <row r="11" spans="1:19" x14ac:dyDescent="0.3">
      <c r="A11" s="6"/>
      <c r="B11" s="6" t="s">
        <v>74</v>
      </c>
      <c r="C11" s="6" t="s">
        <v>87</v>
      </c>
      <c r="D11" s="6" t="s">
        <v>88</v>
      </c>
      <c r="E11" s="6" t="s">
        <v>89</v>
      </c>
      <c r="F11" s="12" t="s">
        <v>90</v>
      </c>
      <c r="G11" s="15"/>
      <c r="H11" s="15"/>
      <c r="I11" s="6"/>
      <c r="J11" s="6" t="s">
        <v>31</v>
      </c>
      <c r="K11" s="6" t="s">
        <v>32</v>
      </c>
      <c r="L11" s="6" t="s">
        <v>33</v>
      </c>
      <c r="M11" s="6" t="s">
        <v>34</v>
      </c>
      <c r="N11" s="6" t="s">
        <v>35</v>
      </c>
      <c r="O11" s="12" t="s">
        <v>36</v>
      </c>
      <c r="P11" s="15"/>
    </row>
    <row r="12" spans="1:19" x14ac:dyDescent="0.3">
      <c r="A12" s="6">
        <v>1</v>
      </c>
      <c r="B12" s="6">
        <v>1.0149999999999999</v>
      </c>
      <c r="C12" s="6">
        <v>0.49070000000000003</v>
      </c>
      <c r="D12" s="6">
        <v>0.50480000000000003</v>
      </c>
      <c r="E12" s="6">
        <v>0.46050000000000002</v>
      </c>
      <c r="F12" s="12">
        <v>0.72970000000000002</v>
      </c>
      <c r="G12" s="15"/>
      <c r="H12" s="15"/>
      <c r="I12" s="6">
        <v>1</v>
      </c>
      <c r="J12" s="6">
        <v>214500000</v>
      </c>
      <c r="K12" s="6">
        <v>238700000</v>
      </c>
      <c r="L12" s="6">
        <v>275600000</v>
      </c>
      <c r="M12" s="6">
        <v>282100000</v>
      </c>
      <c r="N12" s="6">
        <v>253200000</v>
      </c>
      <c r="O12" s="12">
        <v>265899999.99999997</v>
      </c>
      <c r="P12" s="15"/>
    </row>
    <row r="13" spans="1:19" x14ac:dyDescent="0.3">
      <c r="A13" s="6">
        <v>2</v>
      </c>
      <c r="B13" s="6">
        <v>1.5229999999999999</v>
      </c>
      <c r="C13" s="6">
        <v>2.1179999999999999</v>
      </c>
      <c r="D13" s="6">
        <v>1.3640000000000001</v>
      </c>
      <c r="E13" s="6">
        <v>1.9350000000000001</v>
      </c>
      <c r="F13" s="12">
        <v>0.82769999999999999</v>
      </c>
      <c r="G13" s="15"/>
      <c r="H13" s="15"/>
      <c r="I13" s="6">
        <v>2</v>
      </c>
      <c r="J13" s="6">
        <v>249000000.00000003</v>
      </c>
      <c r="K13" s="6">
        <v>289800000</v>
      </c>
      <c r="L13" s="6">
        <v>265099999.99999997</v>
      </c>
      <c r="M13" s="6">
        <v>254500000</v>
      </c>
      <c r="N13" s="6">
        <v>339700000</v>
      </c>
      <c r="O13" s="12">
        <v>283400000</v>
      </c>
      <c r="P13" s="15"/>
    </row>
    <row r="14" spans="1:19" x14ac:dyDescent="0.3">
      <c r="A14" s="6">
        <v>3</v>
      </c>
      <c r="B14" s="6">
        <v>0.82030000000000003</v>
      </c>
      <c r="C14" s="6">
        <v>1.5629999999999999</v>
      </c>
      <c r="D14" s="6">
        <v>1.8340000000000001</v>
      </c>
      <c r="E14" s="6">
        <v>1.034</v>
      </c>
      <c r="F14" s="12">
        <v>1.675</v>
      </c>
      <c r="G14" s="15"/>
      <c r="H14" s="15"/>
      <c r="I14" s="6">
        <v>3</v>
      </c>
      <c r="J14" s="6">
        <v>243299999.99999997</v>
      </c>
      <c r="K14" s="6">
        <v>266900000</v>
      </c>
      <c r="L14" s="6">
        <v>263700000</v>
      </c>
      <c r="M14" s="6">
        <v>230200000</v>
      </c>
      <c r="N14" s="6">
        <v>292900000</v>
      </c>
      <c r="O14" s="12">
        <v>335000000</v>
      </c>
      <c r="P14" s="15"/>
    </row>
    <row r="15" spans="1:19" x14ac:dyDescent="0.3">
      <c r="A15" s="6">
        <v>4</v>
      </c>
      <c r="B15" s="6">
        <v>0.55640000000000001</v>
      </c>
      <c r="C15" s="6">
        <v>0.68400000000000005</v>
      </c>
      <c r="D15" s="6">
        <v>0.99470000000000003</v>
      </c>
      <c r="E15" s="6">
        <v>0.50700000000000001</v>
      </c>
      <c r="F15" s="12">
        <v>1.1599999999999999</v>
      </c>
      <c r="G15" s="15"/>
      <c r="H15" s="15"/>
      <c r="I15" s="6">
        <v>4</v>
      </c>
      <c r="J15" s="6">
        <v>258900000</v>
      </c>
      <c r="K15" s="6">
        <v>297800000</v>
      </c>
      <c r="L15" s="6">
        <v>282900000</v>
      </c>
      <c r="M15" s="6">
        <v>280200000</v>
      </c>
      <c r="N15" s="6">
        <v>272300000</v>
      </c>
      <c r="O15" s="6">
        <v>293800000</v>
      </c>
      <c r="P15" s="15"/>
    </row>
    <row r="16" spans="1:19" x14ac:dyDescent="0.3">
      <c r="A16" s="6" t="s">
        <v>10</v>
      </c>
      <c r="B16" s="6">
        <f>AVERAGE(B12:B15)</f>
        <v>0.97867499999999996</v>
      </c>
      <c r="C16" s="6">
        <f t="shared" ref="C16:F16" si="0">AVERAGE(C12:C15)</f>
        <v>1.2139249999999999</v>
      </c>
      <c r="D16" s="6">
        <f t="shared" si="0"/>
        <v>1.1743750000000002</v>
      </c>
      <c r="E16" s="6">
        <f t="shared" si="0"/>
        <v>0.98412500000000003</v>
      </c>
      <c r="F16" s="12">
        <f t="shared" si="0"/>
        <v>1.0981000000000001</v>
      </c>
      <c r="G16" s="15"/>
      <c r="H16" s="15"/>
      <c r="I16" s="6" t="s">
        <v>10</v>
      </c>
      <c r="J16" s="6">
        <f>AVERAGE(J12:J15)</f>
        <v>241425000</v>
      </c>
      <c r="K16" s="6">
        <f t="shared" ref="K16" si="1">AVERAGE(K12:K15)</f>
        <v>273300000</v>
      </c>
      <c r="L16" s="6">
        <f t="shared" ref="L16" si="2">AVERAGE(L12:L15)</f>
        <v>271825000</v>
      </c>
      <c r="M16" s="6">
        <f t="shared" ref="M16" si="3">AVERAGE(M12:M15)</f>
        <v>261750000</v>
      </c>
      <c r="N16" s="6">
        <f t="shared" ref="N16" si="4">AVERAGE(N12:N15)</f>
        <v>289525000</v>
      </c>
      <c r="O16" s="6">
        <f t="shared" ref="O16" si="5">AVERAGE(O12:O15)</f>
        <v>294525000</v>
      </c>
      <c r="P16" s="15"/>
    </row>
    <row r="17" spans="1:20" x14ac:dyDescent="0.3">
      <c r="A17" s="6" t="s">
        <v>11</v>
      </c>
      <c r="B17" s="6">
        <f>STDEV(B12:B15)</f>
        <v>0.40865960876178264</v>
      </c>
      <c r="C17" s="6">
        <f t="shared" ref="C17:F17" si="6">STDEV(C12:C15)</f>
        <v>0.76225102328563665</v>
      </c>
      <c r="D17" s="6">
        <f t="shared" si="6"/>
        <v>0.56322777142111846</v>
      </c>
      <c r="E17" s="6">
        <f t="shared" si="6"/>
        <v>0.68519636783917648</v>
      </c>
      <c r="F17" s="12">
        <f t="shared" si="6"/>
        <v>0.42641135851037859</v>
      </c>
      <c r="G17" s="15"/>
      <c r="H17" s="15"/>
      <c r="I17" s="6" t="s">
        <v>11</v>
      </c>
      <c r="J17" s="6">
        <f>STDEV(J12:J15)</f>
        <v>19072034.500807725</v>
      </c>
      <c r="K17" s="6">
        <f t="shared" ref="K17:O17" si="7">STDEV(K12:K15)</f>
        <v>26524328.455212586</v>
      </c>
      <c r="L17" s="6">
        <f t="shared" si="7"/>
        <v>9094824.5355989952</v>
      </c>
      <c r="M17" s="6">
        <f t="shared" si="7"/>
        <v>24511833.876721669</v>
      </c>
      <c r="N17" s="6">
        <f t="shared" si="7"/>
        <v>37171348.733489171</v>
      </c>
      <c r="O17" s="6">
        <f t="shared" si="7"/>
        <v>29336595.46255042</v>
      </c>
    </row>
    <row r="18" spans="1:20" x14ac:dyDescent="0.3">
      <c r="G18" s="15"/>
      <c r="H18" s="15"/>
    </row>
    <row r="19" spans="1:20" x14ac:dyDescent="0.3">
      <c r="A19" s="3"/>
      <c r="B19" s="3"/>
      <c r="C19" s="3"/>
      <c r="G19" s="15"/>
      <c r="H19" s="15"/>
      <c r="I19" s="2" t="s">
        <v>12</v>
      </c>
      <c r="P19" s="13"/>
      <c r="Q19" s="13"/>
      <c r="R19" s="13"/>
      <c r="S19" s="13"/>
    </row>
    <row r="20" spans="1:20" x14ac:dyDescent="0.3">
      <c r="A20" s="6" t="s">
        <v>9</v>
      </c>
      <c r="B20" s="6" t="s">
        <v>74</v>
      </c>
      <c r="C20" s="6" t="s">
        <v>87</v>
      </c>
      <c r="D20" s="6" t="s">
        <v>88</v>
      </c>
      <c r="E20" s="6" t="s">
        <v>89</v>
      </c>
      <c r="F20" s="12" t="s">
        <v>90</v>
      </c>
      <c r="G20" s="14"/>
      <c r="H20" s="14"/>
      <c r="I20" s="6" t="s">
        <v>9</v>
      </c>
      <c r="J20" s="6" t="s">
        <v>6</v>
      </c>
      <c r="K20" s="6" t="s">
        <v>6</v>
      </c>
      <c r="L20" s="7" t="s">
        <v>7</v>
      </c>
      <c r="M20" s="7" t="s">
        <v>7</v>
      </c>
      <c r="N20" s="7" t="s">
        <v>8</v>
      </c>
      <c r="O20" s="11" t="s">
        <v>8</v>
      </c>
      <c r="P20" s="15"/>
    </row>
    <row r="21" spans="1:20" x14ac:dyDescent="0.3">
      <c r="A21" s="6"/>
      <c r="B21" s="6" t="s">
        <v>74</v>
      </c>
      <c r="C21" s="6" t="s">
        <v>87</v>
      </c>
      <c r="D21" s="6" t="s">
        <v>88</v>
      </c>
      <c r="E21" s="6" t="s">
        <v>89</v>
      </c>
      <c r="F21" s="12" t="s">
        <v>90</v>
      </c>
      <c r="G21" s="15"/>
      <c r="H21" s="15"/>
      <c r="I21" s="6"/>
      <c r="J21" s="6" t="s">
        <v>31</v>
      </c>
      <c r="K21" s="6" t="s">
        <v>32</v>
      </c>
      <c r="L21" s="6" t="s">
        <v>33</v>
      </c>
      <c r="M21" s="6" t="s">
        <v>34</v>
      </c>
      <c r="N21" s="6" t="s">
        <v>35</v>
      </c>
      <c r="O21" s="12" t="s">
        <v>36</v>
      </c>
      <c r="P21" s="15"/>
    </row>
    <row r="22" spans="1:20" x14ac:dyDescent="0.3">
      <c r="A22" s="6">
        <v>1</v>
      </c>
      <c r="B22" s="6">
        <f>B12*100000000</f>
        <v>101499999.99999999</v>
      </c>
      <c r="C22" s="6">
        <f t="shared" ref="B22:F24" si="8">C12*100000000</f>
        <v>49070000</v>
      </c>
      <c r="D22" s="6">
        <f t="shared" si="8"/>
        <v>50480000</v>
      </c>
      <c r="E22" s="6">
        <f t="shared" si="8"/>
        <v>46050000</v>
      </c>
      <c r="F22" s="12">
        <f t="shared" si="8"/>
        <v>72970000</v>
      </c>
      <c r="G22" s="15"/>
      <c r="H22" s="15"/>
      <c r="I22" s="6">
        <v>1</v>
      </c>
      <c r="J22" s="6">
        <f t="shared" ref="J22:O25" si="9">J12/(($J$16+$K$16)/2)</f>
        <v>0.8334547573947253</v>
      </c>
      <c r="K22" s="6">
        <f t="shared" si="9"/>
        <v>0.92748555053669435</v>
      </c>
      <c r="L22" s="6">
        <f t="shared" si="9"/>
        <v>1.0708630822283745</v>
      </c>
      <c r="M22" s="6">
        <f t="shared" si="9"/>
        <v>1.0961192869979115</v>
      </c>
      <c r="N22" s="6">
        <f t="shared" si="9"/>
        <v>0.98382631502258489</v>
      </c>
      <c r="O22" s="12">
        <f t="shared" si="9"/>
        <v>1.0331730535722958</v>
      </c>
      <c r="P22" s="15"/>
    </row>
    <row r="23" spans="1:20" x14ac:dyDescent="0.3">
      <c r="A23" s="6">
        <v>2</v>
      </c>
      <c r="B23" s="6">
        <f t="shared" si="8"/>
        <v>152300000</v>
      </c>
      <c r="C23" s="6">
        <f t="shared" si="8"/>
        <v>211800000</v>
      </c>
      <c r="D23" s="6">
        <f t="shared" si="8"/>
        <v>136400000</v>
      </c>
      <c r="E23" s="6">
        <f t="shared" si="8"/>
        <v>193500000</v>
      </c>
      <c r="F23" s="12">
        <f t="shared" si="8"/>
        <v>82770000</v>
      </c>
      <c r="G23" s="15"/>
      <c r="H23" s="15"/>
      <c r="I23" s="6">
        <v>2</v>
      </c>
      <c r="J23" s="6">
        <f t="shared" si="9"/>
        <v>0.9675069211714995</v>
      </c>
      <c r="K23" s="6">
        <f t="shared" si="9"/>
        <v>1.1260381757249016</v>
      </c>
      <c r="L23" s="6">
        <f t="shared" si="9"/>
        <v>1.0300645976006604</v>
      </c>
      <c r="M23" s="6">
        <f t="shared" si="9"/>
        <v>0.9888775559764923</v>
      </c>
      <c r="N23" s="6">
        <f t="shared" si="9"/>
        <v>1.319928116955656</v>
      </c>
      <c r="O23" s="12">
        <f t="shared" si="9"/>
        <v>1.1011705279518189</v>
      </c>
      <c r="P23" s="15"/>
    </row>
    <row r="24" spans="1:20" x14ac:dyDescent="0.3">
      <c r="A24" s="6">
        <v>3</v>
      </c>
      <c r="B24" s="6">
        <f>B14*100000000</f>
        <v>82030000</v>
      </c>
      <c r="C24" s="6">
        <f t="shared" si="8"/>
        <v>156300000</v>
      </c>
      <c r="D24" s="6">
        <f t="shared" si="8"/>
        <v>183400000</v>
      </c>
      <c r="E24" s="6">
        <f t="shared" si="8"/>
        <v>103400000</v>
      </c>
      <c r="F24" s="12">
        <f t="shared" si="8"/>
        <v>167500000</v>
      </c>
      <c r="G24" s="15"/>
      <c r="H24" s="15"/>
      <c r="I24" s="6">
        <v>3</v>
      </c>
      <c r="J24" s="6">
        <f t="shared" si="9"/>
        <v>0.94535917237359746</v>
      </c>
      <c r="K24" s="6">
        <f t="shared" si="9"/>
        <v>1.03705862353684</v>
      </c>
      <c r="L24" s="6">
        <f t="shared" si="9"/>
        <v>1.0246247996502986</v>
      </c>
      <c r="M24" s="6">
        <f t="shared" si="9"/>
        <v>0.8944582058380689</v>
      </c>
      <c r="N24" s="6">
        <f t="shared" si="9"/>
        <v>1.1380834426149886</v>
      </c>
      <c r="O24" s="12">
        <f t="shared" si="9"/>
        <v>1.3016659381222984</v>
      </c>
      <c r="P24" s="15"/>
    </row>
    <row r="25" spans="1:20" x14ac:dyDescent="0.3">
      <c r="A25" s="6">
        <v>4</v>
      </c>
      <c r="B25" s="6">
        <f>B15*100000000</f>
        <v>55640000</v>
      </c>
      <c r="C25" s="6">
        <f t="shared" ref="C25:F25" si="10">C15*100000000</f>
        <v>68400000</v>
      </c>
      <c r="D25" s="6">
        <f t="shared" si="10"/>
        <v>99470000</v>
      </c>
      <c r="E25" s="6">
        <f t="shared" si="10"/>
        <v>50700000</v>
      </c>
      <c r="F25" s="12">
        <f t="shared" si="10"/>
        <v>115999999.99999999</v>
      </c>
      <c r="G25" s="15"/>
      <c r="H25" s="15"/>
      <c r="I25" s="6">
        <v>4</v>
      </c>
      <c r="J25" s="6">
        <f t="shared" si="9"/>
        <v>1.0059740638204866</v>
      </c>
      <c r="K25" s="6">
        <f t="shared" si="9"/>
        <v>1.157122735441255</v>
      </c>
      <c r="L25" s="6">
        <f t="shared" si="9"/>
        <v>1.099227742969547</v>
      </c>
      <c r="M25" s="6">
        <f t="shared" si="9"/>
        <v>1.0887367040652776</v>
      </c>
      <c r="N25" s="6">
        <f t="shared" si="9"/>
        <v>1.0580407013453785</v>
      </c>
      <c r="O25" s="6">
        <f t="shared" si="9"/>
        <v>1.1415804555830784</v>
      </c>
      <c r="P25" s="15"/>
      <c r="T25" s="8"/>
    </row>
    <row r="26" spans="1:20" x14ac:dyDescent="0.3">
      <c r="A26" s="6" t="s">
        <v>10</v>
      </c>
      <c r="B26" s="6">
        <f>AVERAGE(B22:B25)</f>
        <v>97867500</v>
      </c>
      <c r="C26" s="6">
        <f t="shared" ref="C26:F26" si="11">AVERAGE(C22:C25)</f>
        <v>121392500</v>
      </c>
      <c r="D26" s="6">
        <f t="shared" si="11"/>
        <v>117437500</v>
      </c>
      <c r="E26" s="6">
        <f t="shared" si="11"/>
        <v>98412500</v>
      </c>
      <c r="F26" s="12">
        <f t="shared" si="11"/>
        <v>109810000</v>
      </c>
      <c r="G26" s="15"/>
      <c r="H26" s="15"/>
      <c r="I26" s="6" t="s">
        <v>10</v>
      </c>
      <c r="J26" s="6">
        <f t="shared" ref="J26:O26" si="12">AVERAGE(J22:J25)</f>
        <v>0.93807372869007732</v>
      </c>
      <c r="K26" s="6">
        <f t="shared" si="12"/>
        <v>1.0619262713099227</v>
      </c>
      <c r="L26" s="6">
        <f t="shared" si="12"/>
        <v>1.0561950556122202</v>
      </c>
      <c r="M26" s="6">
        <f t="shared" si="12"/>
        <v>1.0170479382194375</v>
      </c>
      <c r="N26" s="6">
        <f t="shared" si="12"/>
        <v>1.1249696439846519</v>
      </c>
      <c r="O26" s="6">
        <f t="shared" si="12"/>
        <v>1.1443974938073729</v>
      </c>
    </row>
    <row r="27" spans="1:20" x14ac:dyDescent="0.3">
      <c r="A27" s="6" t="s">
        <v>11</v>
      </c>
      <c r="B27" s="6">
        <f>STDEV(B22:B25)</f>
        <v>40865960.876178272</v>
      </c>
      <c r="C27" s="6">
        <f t="shared" ref="C27:F27" si="13">STDEV(C22:C25)</f>
        <v>76225102.328563645</v>
      </c>
      <c r="D27" s="6">
        <f t="shared" si="13"/>
        <v>56322777.142111875</v>
      </c>
      <c r="E27" s="6">
        <f t="shared" si="13"/>
        <v>68519636.783917651</v>
      </c>
      <c r="F27" s="12">
        <f t="shared" si="13"/>
        <v>42641135.851037867</v>
      </c>
      <c r="G27" s="15"/>
      <c r="H27" s="29"/>
      <c r="I27" s="6" t="s">
        <v>11</v>
      </c>
      <c r="J27" s="6">
        <f t="shared" ref="J27:O27" si="14">STDEV(J22:J25)</f>
        <v>7.4105724419088748E-2</v>
      </c>
      <c r="K27" s="6">
        <f t="shared" si="14"/>
        <v>0.10306213397527839</v>
      </c>
      <c r="L27" s="6">
        <f t="shared" si="14"/>
        <v>3.533857704832296E-2</v>
      </c>
      <c r="M27" s="6">
        <f t="shared" si="14"/>
        <v>9.5242445487286082E-2</v>
      </c>
      <c r="N27" s="6">
        <f t="shared" si="14"/>
        <v>0.14443187618044362</v>
      </c>
      <c r="O27" s="6">
        <f t="shared" si="14"/>
        <v>0.11398939419126883</v>
      </c>
    </row>
    <row r="29" spans="1:20" x14ac:dyDescent="0.3">
      <c r="I29" s="5" t="s">
        <v>13</v>
      </c>
    </row>
    <row r="31" spans="1:20" x14ac:dyDescent="0.3">
      <c r="I31" s="6" t="s">
        <v>9</v>
      </c>
      <c r="J31" s="6" t="s">
        <v>6</v>
      </c>
      <c r="K31" s="7" t="s">
        <v>7</v>
      </c>
      <c r="L31" s="11" t="s">
        <v>8</v>
      </c>
      <c r="M31" s="14"/>
      <c r="N31" s="13"/>
      <c r="S31" s="1"/>
    </row>
    <row r="32" spans="1:20" x14ac:dyDescent="0.3">
      <c r="I32" s="6"/>
      <c r="J32" s="6"/>
      <c r="K32" s="6"/>
      <c r="L32" s="12"/>
      <c r="M32" s="15"/>
    </row>
    <row r="33" spans="2:14" x14ac:dyDescent="0.3">
      <c r="I33" s="6" t="s">
        <v>14</v>
      </c>
      <c r="J33" s="6">
        <f>J16</f>
        <v>241425000</v>
      </c>
      <c r="K33" s="6">
        <f>L16</f>
        <v>271825000</v>
      </c>
      <c r="L33" s="12">
        <f>N16</f>
        <v>289525000</v>
      </c>
      <c r="M33" s="15"/>
    </row>
    <row r="34" spans="2:14" x14ac:dyDescent="0.3">
      <c r="I34" s="6" t="s">
        <v>15</v>
      </c>
      <c r="J34" s="6">
        <f>K16</f>
        <v>273300000</v>
      </c>
      <c r="K34" s="6">
        <f>M16</f>
        <v>261750000</v>
      </c>
      <c r="L34" s="12">
        <f>O16</f>
        <v>294525000</v>
      </c>
      <c r="M34" s="15"/>
    </row>
    <row r="35" spans="2:14" x14ac:dyDescent="0.3">
      <c r="I35" s="6"/>
      <c r="J35" s="6"/>
      <c r="K35" s="6"/>
      <c r="L35" s="12"/>
      <c r="M35" s="15"/>
    </row>
    <row r="36" spans="2:14" x14ac:dyDescent="0.3">
      <c r="I36" s="6" t="s">
        <v>10</v>
      </c>
      <c r="J36" s="6">
        <f>AVERAGE(J33:J34)</f>
        <v>257362500</v>
      </c>
      <c r="K36" s="6">
        <f t="shared" ref="K36:L36" si="15">AVERAGE(K33:K34)</f>
        <v>266787500</v>
      </c>
      <c r="L36" s="12">
        <f t="shared" si="15"/>
        <v>292025000</v>
      </c>
      <c r="M36" s="15"/>
    </row>
    <row r="37" spans="2:14" x14ac:dyDescent="0.3">
      <c r="I37" s="6" t="s">
        <v>11</v>
      </c>
      <c r="J37" s="6">
        <f>STDEV(J33:J34)</f>
        <v>22539028.6503212</v>
      </c>
      <c r="K37" s="6">
        <f t="shared" ref="K37:L37" si="16">STDEV(K33:K34)</f>
        <v>7124100.8204544662</v>
      </c>
      <c r="L37" s="12">
        <f t="shared" si="16"/>
        <v>3535533.9059327375</v>
      </c>
      <c r="M37" s="15"/>
    </row>
    <row r="40" spans="2:14" x14ac:dyDescent="0.3">
      <c r="I40" s="6" t="s">
        <v>9</v>
      </c>
      <c r="J40" s="6" t="s">
        <v>6</v>
      </c>
      <c r="K40" s="7" t="s">
        <v>7</v>
      </c>
      <c r="L40" s="11" t="s">
        <v>8</v>
      </c>
      <c r="M40" s="14"/>
      <c r="N40" s="13"/>
    </row>
    <row r="41" spans="2:14" x14ac:dyDescent="0.3">
      <c r="I41" s="6"/>
      <c r="J41" s="6"/>
      <c r="K41" s="6"/>
      <c r="L41" s="12"/>
      <c r="M41" s="15"/>
    </row>
    <row r="42" spans="2:14" x14ac:dyDescent="0.3">
      <c r="I42" s="6" t="s">
        <v>14</v>
      </c>
      <c r="J42" s="6">
        <f>J26</f>
        <v>0.93807372869007732</v>
      </c>
      <c r="K42" s="6">
        <f>L26</f>
        <v>1.0561950556122202</v>
      </c>
      <c r="L42" s="12">
        <f>N26</f>
        <v>1.1249696439846519</v>
      </c>
      <c r="M42" s="15"/>
    </row>
    <row r="43" spans="2:14" x14ac:dyDescent="0.3">
      <c r="I43" s="6" t="s">
        <v>15</v>
      </c>
      <c r="J43" s="6">
        <f>K26</f>
        <v>1.0619262713099227</v>
      </c>
      <c r="K43" s="6">
        <f>M26</f>
        <v>1.0170479382194375</v>
      </c>
      <c r="L43" s="12">
        <f>O26</f>
        <v>1.1443974938073729</v>
      </c>
      <c r="M43" s="15"/>
    </row>
    <row r="44" spans="2:14" x14ac:dyDescent="0.3">
      <c r="I44" s="6"/>
      <c r="J44" s="6"/>
      <c r="K44" s="6"/>
      <c r="L44" s="12"/>
      <c r="M44" s="15"/>
    </row>
    <row r="45" spans="2:14" x14ac:dyDescent="0.3">
      <c r="I45" s="6" t="s">
        <v>10</v>
      </c>
      <c r="J45" s="6">
        <f>AVERAGE(J42:J43)</f>
        <v>1</v>
      </c>
      <c r="K45" s="6">
        <f t="shared" ref="K45:L45" si="17">AVERAGE(K42:K43)</f>
        <v>1.0366214969158287</v>
      </c>
      <c r="L45" s="12">
        <f t="shared" si="17"/>
        <v>1.1346835688960124</v>
      </c>
      <c r="M45" s="15"/>
    </row>
    <row r="46" spans="2:14" x14ac:dyDescent="0.3">
      <c r="I46" s="6" t="s">
        <v>11</v>
      </c>
      <c r="J46" s="6">
        <f>STDEV(J42:J43)</f>
        <v>8.7576972753688545E-2</v>
      </c>
      <c r="K46" s="6">
        <f t="shared" ref="K46:L46" si="18">STDEV(K42:K43)</f>
        <v>2.768119217234245E-2</v>
      </c>
      <c r="L46" s="12">
        <f t="shared" si="18"/>
        <v>1.3737564353519844E-2</v>
      </c>
      <c r="M46" s="15"/>
    </row>
    <row r="47" spans="2:14" ht="16.2" x14ac:dyDescent="0.3">
      <c r="B47" s="2" t="s">
        <v>87</v>
      </c>
      <c r="C47" s="28" t="s">
        <v>91</v>
      </c>
    </row>
    <row r="48" spans="2:14" ht="16.2" x14ac:dyDescent="0.3">
      <c r="B48" s="2" t="s">
        <v>88</v>
      </c>
      <c r="C48" s="28" t="s">
        <v>92</v>
      </c>
      <c r="I48" s="1" t="s">
        <v>16</v>
      </c>
      <c r="M48"/>
    </row>
    <row r="49" spans="2:25" ht="16.2" x14ac:dyDescent="0.3">
      <c r="B49" s="2" t="s">
        <v>89</v>
      </c>
      <c r="C49" s="28" t="s">
        <v>93</v>
      </c>
      <c r="I49" s="9" t="s">
        <v>17</v>
      </c>
      <c r="L49" s="2" t="s">
        <v>18</v>
      </c>
      <c r="M49"/>
    </row>
    <row r="50" spans="2:25" ht="16.2" x14ac:dyDescent="0.3">
      <c r="B50" s="2" t="s">
        <v>90</v>
      </c>
      <c r="C50" s="28" t="s">
        <v>94</v>
      </c>
      <c r="M50"/>
    </row>
    <row r="51" spans="2:25" x14ac:dyDescent="0.3">
      <c r="I51" s="2" t="s">
        <v>6</v>
      </c>
      <c r="J51" s="2" t="s">
        <v>19</v>
      </c>
      <c r="K51" s="2" t="s">
        <v>7</v>
      </c>
      <c r="L51" s="16" t="s">
        <v>39</v>
      </c>
      <c r="M51" s="2" t="s">
        <v>64</v>
      </c>
      <c r="N51" s="2" t="s">
        <v>24</v>
      </c>
    </row>
    <row r="52" spans="2:25" x14ac:dyDescent="0.3">
      <c r="J52" s="2" t="s">
        <v>19</v>
      </c>
      <c r="K52" s="2" t="s">
        <v>8</v>
      </c>
      <c r="L52" s="16" t="s">
        <v>40</v>
      </c>
      <c r="M52" s="2" t="s">
        <v>65</v>
      </c>
      <c r="N52" s="2" t="s">
        <v>21</v>
      </c>
      <c r="O52"/>
    </row>
    <row r="54" spans="2:25" x14ac:dyDescent="0.3">
      <c r="I54" s="2" t="s">
        <v>7</v>
      </c>
      <c r="J54" s="2" t="s">
        <v>19</v>
      </c>
      <c r="K54" s="2" t="s">
        <v>8</v>
      </c>
      <c r="L54" s="2" t="s">
        <v>60</v>
      </c>
      <c r="M54" s="2" t="s">
        <v>66</v>
      </c>
      <c r="N54" s="2" t="s">
        <v>24</v>
      </c>
    </row>
    <row r="57" spans="2:25" x14ac:dyDescent="0.3">
      <c r="M57"/>
    </row>
    <row r="58" spans="2:25" x14ac:dyDescent="0.3">
      <c r="M58"/>
    </row>
    <row r="59" spans="2:25" ht="28.2" x14ac:dyDescent="0.3">
      <c r="I59" s="2" t="s">
        <v>25</v>
      </c>
      <c r="K59" s="2" t="s">
        <v>6</v>
      </c>
      <c r="L59" s="10" t="s">
        <v>61</v>
      </c>
      <c r="M59"/>
      <c r="N59"/>
      <c r="Y59" s="10"/>
    </row>
    <row r="60" spans="2:25" ht="28.2" x14ac:dyDescent="0.3">
      <c r="K60" s="2" t="s">
        <v>7</v>
      </c>
      <c r="L60" s="10" t="s">
        <v>62</v>
      </c>
      <c r="M60"/>
      <c r="Y60" s="10"/>
    </row>
    <row r="61" spans="2:25" ht="28.2" x14ac:dyDescent="0.3">
      <c r="K61" s="2" t="s">
        <v>8</v>
      </c>
      <c r="L61" s="10" t="s">
        <v>63</v>
      </c>
      <c r="M61"/>
    </row>
  </sheetData>
  <hyperlinks>
    <hyperlink ref="I49" r:id="rId1" xr:uid="{00000000-0004-0000-0100-000000000000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3"/>
  <sheetViews>
    <sheetView workbookViewId="0">
      <selection activeCell="B19" sqref="B19:E19"/>
    </sheetView>
  </sheetViews>
  <sheetFormatPr defaultRowHeight="14.4" x14ac:dyDescent="0.3"/>
  <cols>
    <col min="1" max="1" width="15.109375" customWidth="1"/>
    <col min="2" max="2" width="14.6640625" customWidth="1"/>
    <col min="3" max="3" width="14.109375" customWidth="1"/>
    <col min="4" max="4" width="14" customWidth="1"/>
    <col min="5" max="5" width="15.109375" customWidth="1"/>
    <col min="6" max="6" width="14.88671875" customWidth="1"/>
    <col min="7" max="7" width="15.5546875" customWidth="1"/>
    <col min="8" max="9" width="15.33203125" customWidth="1"/>
    <col min="11" max="12" width="9.109375" customWidth="1"/>
  </cols>
  <sheetData>
    <row r="1" spans="1:9" x14ac:dyDescent="0.3">
      <c r="A1" s="1" t="s">
        <v>96</v>
      </c>
      <c r="B1" s="1"/>
      <c r="C1" s="1"/>
      <c r="D1" s="2"/>
      <c r="E1" s="23"/>
    </row>
    <row r="2" spans="1:9" x14ac:dyDescent="0.3">
      <c r="A2" s="2"/>
      <c r="B2" s="2"/>
      <c r="C2" s="2"/>
      <c r="D2" s="2"/>
      <c r="E2" s="2"/>
    </row>
    <row r="3" spans="1:9" x14ac:dyDescent="0.3">
      <c r="A3" s="2" t="s">
        <v>30</v>
      </c>
      <c r="B3" s="2"/>
      <c r="C3" s="2"/>
      <c r="D3" s="2"/>
      <c r="E3" s="2"/>
    </row>
    <row r="4" spans="1:9" x14ac:dyDescent="0.3">
      <c r="A4" s="2" t="s">
        <v>1</v>
      </c>
      <c r="B4" s="2"/>
      <c r="C4" s="2"/>
      <c r="D4" s="2"/>
      <c r="E4" s="2"/>
    </row>
    <row r="5" spans="1:9" x14ac:dyDescent="0.3">
      <c r="A5" s="2" t="s">
        <v>2</v>
      </c>
      <c r="B5" s="2"/>
      <c r="C5" s="2"/>
      <c r="D5" s="2"/>
      <c r="E5" s="2"/>
    </row>
    <row r="6" spans="1:9" x14ac:dyDescent="0.3">
      <c r="A6" s="2" t="s">
        <v>95</v>
      </c>
      <c r="B6" s="2"/>
      <c r="C6" s="2"/>
      <c r="D6" s="2"/>
      <c r="E6" s="2"/>
    </row>
    <row r="7" spans="1:9" x14ac:dyDescent="0.3">
      <c r="A7" s="2" t="s">
        <v>4</v>
      </c>
      <c r="B7" s="2"/>
      <c r="C7" s="2"/>
      <c r="D7" s="2"/>
      <c r="E7" s="2"/>
    </row>
    <row r="10" spans="1:9" ht="16.8" x14ac:dyDescent="0.3">
      <c r="A10" s="30" t="s">
        <v>99</v>
      </c>
      <c r="B10" s="30" t="s">
        <v>108</v>
      </c>
      <c r="C10" s="30" t="s">
        <v>97</v>
      </c>
      <c r="D10" s="30" t="s">
        <v>100</v>
      </c>
      <c r="E10" s="30" t="s">
        <v>101</v>
      </c>
      <c r="F10" s="30" t="s">
        <v>102</v>
      </c>
      <c r="G10" s="30" t="s">
        <v>103</v>
      </c>
      <c r="H10" s="30" t="s">
        <v>106</v>
      </c>
      <c r="I10" s="30" t="s">
        <v>107</v>
      </c>
    </row>
    <row r="11" spans="1:9" x14ac:dyDescent="0.3">
      <c r="A11" s="6">
        <v>1</v>
      </c>
      <c r="B11" s="31">
        <v>2.145</v>
      </c>
      <c r="C11" s="6">
        <v>2.387</v>
      </c>
      <c r="D11" s="6">
        <v>2.7559999999999998</v>
      </c>
      <c r="E11" s="6">
        <v>2.8210000000000002</v>
      </c>
      <c r="F11" s="6">
        <v>2.238</v>
      </c>
      <c r="G11" s="6">
        <v>2.2679999999999998</v>
      </c>
      <c r="H11" s="6">
        <v>2.7</v>
      </c>
      <c r="I11" s="6">
        <v>3.028</v>
      </c>
    </row>
    <row r="12" spans="1:9" x14ac:dyDescent="0.3">
      <c r="A12" s="6">
        <v>2</v>
      </c>
      <c r="B12" s="6">
        <v>2.4900000000000002</v>
      </c>
      <c r="C12" s="6">
        <v>2.8980000000000001</v>
      </c>
      <c r="D12" s="6">
        <v>2.6509999999999998</v>
      </c>
      <c r="E12" s="6">
        <v>2.5449999999999999</v>
      </c>
      <c r="F12" s="6">
        <v>2.5910000000000002</v>
      </c>
      <c r="G12" s="6">
        <v>2.6909999999999998</v>
      </c>
      <c r="H12" s="6">
        <v>2.4119999999999999</v>
      </c>
      <c r="I12" s="6">
        <v>2.7549999999999999</v>
      </c>
    </row>
    <row r="13" spans="1:9" x14ac:dyDescent="0.3">
      <c r="A13" s="6">
        <v>3</v>
      </c>
      <c r="B13" s="6">
        <v>2.4329999999999998</v>
      </c>
      <c r="C13" s="6">
        <v>2.669</v>
      </c>
      <c r="D13" s="6">
        <v>2.637</v>
      </c>
      <c r="E13" s="6">
        <v>2.302</v>
      </c>
      <c r="F13" s="6">
        <v>2.4940000000000002</v>
      </c>
      <c r="G13" s="6">
        <v>2.4889999999999999</v>
      </c>
      <c r="H13" s="6">
        <v>2.9079999999999999</v>
      </c>
      <c r="I13" s="6">
        <v>2.6259999999999999</v>
      </c>
    </row>
    <row r="14" spans="1:9" x14ac:dyDescent="0.3">
      <c r="A14" s="6">
        <v>4</v>
      </c>
      <c r="B14" s="6">
        <v>2.589</v>
      </c>
      <c r="C14" s="6">
        <v>2.9780000000000002</v>
      </c>
      <c r="D14" s="6">
        <v>2.8290000000000002</v>
      </c>
      <c r="E14" s="6">
        <v>2.802</v>
      </c>
      <c r="F14" s="6">
        <v>2.8559999999999999</v>
      </c>
      <c r="G14" s="6">
        <v>2.6579999999999999</v>
      </c>
      <c r="H14" s="6">
        <v>3.133</v>
      </c>
      <c r="I14" s="6">
        <v>2.8660000000000001</v>
      </c>
    </row>
    <row r="15" spans="1:9" x14ac:dyDescent="0.3">
      <c r="A15" s="6" t="s">
        <v>10</v>
      </c>
      <c r="B15" s="6">
        <f>AVERAGE(B11:B14)</f>
        <v>2.41425</v>
      </c>
      <c r="C15" s="6">
        <f t="shared" ref="C15:F15" si="0">AVERAGE(C11:C14)</f>
        <v>2.7330000000000001</v>
      </c>
      <c r="D15" s="6">
        <f t="shared" si="0"/>
        <v>2.7182500000000003</v>
      </c>
      <c r="E15" s="6">
        <f t="shared" si="0"/>
        <v>2.6174999999999997</v>
      </c>
      <c r="F15" s="6">
        <f t="shared" si="0"/>
        <v>2.5447500000000001</v>
      </c>
      <c r="G15" s="6">
        <f t="shared" ref="G15:I15" si="1">AVERAGE(G11:G14)</f>
        <v>2.5265</v>
      </c>
      <c r="H15" s="6">
        <f t="shared" si="1"/>
        <v>2.7882499999999997</v>
      </c>
      <c r="I15" s="6">
        <f t="shared" si="1"/>
        <v>2.8187499999999996</v>
      </c>
    </row>
    <row r="16" spans="1:9" x14ac:dyDescent="0.3">
      <c r="A16" s="6" t="s">
        <v>11</v>
      </c>
      <c r="B16" s="6">
        <f>STDEV(B11:B14)</f>
        <v>0.19072034500807722</v>
      </c>
      <c r="C16" s="6">
        <f t="shared" ref="C16:F16" si="2">STDEV(C11:C14)</f>
        <v>0.26524328455212592</v>
      </c>
      <c r="D16" s="6">
        <f t="shared" si="2"/>
        <v>9.0948245355989957E-2</v>
      </c>
      <c r="E16" s="6">
        <f t="shared" si="2"/>
        <v>0.24511833876721673</v>
      </c>
      <c r="F16" s="6">
        <f t="shared" si="2"/>
        <v>0.25539952362263058</v>
      </c>
      <c r="G16" s="6">
        <f t="shared" ref="G16:I16" si="3">STDEV(G11:G14)</f>
        <v>0.19371886846665198</v>
      </c>
      <c r="H16" s="6">
        <f t="shared" si="3"/>
        <v>0.30689018122666184</v>
      </c>
      <c r="I16" s="6">
        <f t="shared" si="3"/>
        <v>0.17052345879672987</v>
      </c>
    </row>
    <row r="19" spans="1:9" x14ac:dyDescent="0.3">
      <c r="A19" s="30" t="s">
        <v>9</v>
      </c>
      <c r="B19" s="30" t="s">
        <v>108</v>
      </c>
      <c r="C19" s="30" t="s">
        <v>97</v>
      </c>
      <c r="D19" s="30" t="s">
        <v>100</v>
      </c>
      <c r="E19" s="30" t="s">
        <v>101</v>
      </c>
      <c r="F19" s="30" t="s">
        <v>102</v>
      </c>
      <c r="G19" s="30" t="s">
        <v>103</v>
      </c>
      <c r="H19" s="30" t="s">
        <v>106</v>
      </c>
      <c r="I19" s="30" t="s">
        <v>107</v>
      </c>
    </row>
    <row r="20" spans="1:9" x14ac:dyDescent="0.3">
      <c r="A20" s="6">
        <v>1</v>
      </c>
      <c r="B20" s="6">
        <f t="shared" ref="B20:I23" si="4">B11*100000000</f>
        <v>214500000</v>
      </c>
      <c r="C20" s="6">
        <f t="shared" si="4"/>
        <v>238700000</v>
      </c>
      <c r="D20" s="6">
        <f t="shared" si="4"/>
        <v>275600000</v>
      </c>
      <c r="E20" s="6">
        <f t="shared" si="4"/>
        <v>282100000</v>
      </c>
      <c r="F20" s="12">
        <f t="shared" si="4"/>
        <v>223800000</v>
      </c>
      <c r="G20" s="12">
        <f t="shared" si="4"/>
        <v>226799999.99999997</v>
      </c>
      <c r="H20" s="12">
        <f t="shared" si="4"/>
        <v>270000000</v>
      </c>
      <c r="I20" s="6">
        <f t="shared" si="4"/>
        <v>302800000</v>
      </c>
    </row>
    <row r="21" spans="1:9" x14ac:dyDescent="0.3">
      <c r="A21" s="6">
        <v>2</v>
      </c>
      <c r="B21" s="6">
        <f t="shared" si="4"/>
        <v>249000000.00000003</v>
      </c>
      <c r="C21" s="6">
        <f t="shared" si="4"/>
        <v>289800000</v>
      </c>
      <c r="D21" s="6">
        <f t="shared" si="4"/>
        <v>265099999.99999997</v>
      </c>
      <c r="E21" s="6">
        <f t="shared" si="4"/>
        <v>254500000</v>
      </c>
      <c r="F21" s="12">
        <f t="shared" si="4"/>
        <v>259100000.00000003</v>
      </c>
      <c r="G21" s="12">
        <f t="shared" si="4"/>
        <v>269100000</v>
      </c>
      <c r="H21" s="12">
        <f t="shared" si="4"/>
        <v>241200000</v>
      </c>
      <c r="I21" s="6">
        <f t="shared" si="4"/>
        <v>275500000</v>
      </c>
    </row>
    <row r="22" spans="1:9" x14ac:dyDescent="0.3">
      <c r="A22" s="6">
        <v>3</v>
      </c>
      <c r="B22" s="6">
        <f t="shared" si="4"/>
        <v>243299999.99999997</v>
      </c>
      <c r="C22" s="6">
        <f t="shared" si="4"/>
        <v>266900000</v>
      </c>
      <c r="D22" s="6">
        <f t="shared" si="4"/>
        <v>263700000</v>
      </c>
      <c r="E22" s="6">
        <f t="shared" si="4"/>
        <v>230200000</v>
      </c>
      <c r="F22" s="12">
        <f t="shared" si="4"/>
        <v>249400000.00000003</v>
      </c>
      <c r="G22" s="12">
        <f t="shared" si="4"/>
        <v>248900000</v>
      </c>
      <c r="H22" s="12">
        <f t="shared" si="4"/>
        <v>290800000</v>
      </c>
      <c r="I22" s="6">
        <f t="shared" si="4"/>
        <v>262600000</v>
      </c>
    </row>
    <row r="23" spans="1:9" x14ac:dyDescent="0.3">
      <c r="A23" s="6">
        <v>4</v>
      </c>
      <c r="B23" s="6">
        <f t="shared" si="4"/>
        <v>258900000</v>
      </c>
      <c r="C23" s="6">
        <f t="shared" si="4"/>
        <v>297800000</v>
      </c>
      <c r="D23" s="6">
        <f t="shared" si="4"/>
        <v>282900000</v>
      </c>
      <c r="E23" s="6">
        <f t="shared" si="4"/>
        <v>280200000</v>
      </c>
      <c r="F23" s="12">
        <f t="shared" si="4"/>
        <v>285600000</v>
      </c>
      <c r="G23" s="12">
        <f t="shared" si="4"/>
        <v>265800000</v>
      </c>
      <c r="H23" s="12">
        <f t="shared" si="4"/>
        <v>313300000</v>
      </c>
      <c r="I23" s="6">
        <f t="shared" si="4"/>
        <v>286600000</v>
      </c>
    </row>
    <row r="24" spans="1:9" x14ac:dyDescent="0.3">
      <c r="A24" s="6" t="s">
        <v>10</v>
      </c>
      <c r="B24" s="6">
        <f>AVERAGE(B20:B23)</f>
        <v>241425000</v>
      </c>
      <c r="C24" s="6">
        <f t="shared" ref="C24:F24" si="5">AVERAGE(C20:C23)</f>
        <v>273300000</v>
      </c>
      <c r="D24" s="6">
        <f t="shared" si="5"/>
        <v>271825000</v>
      </c>
      <c r="E24" s="6">
        <f t="shared" si="5"/>
        <v>261750000</v>
      </c>
      <c r="F24" s="12">
        <f t="shared" si="5"/>
        <v>254475000</v>
      </c>
      <c r="G24" s="12">
        <f t="shared" ref="G24:I24" si="6">AVERAGE(G20:G23)</f>
        <v>252650000</v>
      </c>
      <c r="H24" s="12">
        <f t="shared" si="6"/>
        <v>278825000</v>
      </c>
      <c r="I24" s="6">
        <f t="shared" si="6"/>
        <v>281875000</v>
      </c>
    </row>
    <row r="25" spans="1:9" x14ac:dyDescent="0.3">
      <c r="A25" s="6" t="s">
        <v>11</v>
      </c>
      <c r="B25" s="6">
        <f>STDEV(B20:B23)</f>
        <v>19072034.500807725</v>
      </c>
      <c r="C25" s="6">
        <f t="shared" ref="C25:F25" si="7">STDEV(C20:C23)</f>
        <v>26524328.455212586</v>
      </c>
      <c r="D25" s="6">
        <f t="shared" si="7"/>
        <v>9094824.5355989952</v>
      </c>
      <c r="E25" s="6">
        <f t="shared" si="7"/>
        <v>24511833.876721669</v>
      </c>
      <c r="F25" s="12">
        <f t="shared" si="7"/>
        <v>25539952.362263065</v>
      </c>
      <c r="G25" s="12">
        <f t="shared" ref="G25:I25" si="8">STDEV(G20:G23)</f>
        <v>19371886.846665207</v>
      </c>
      <c r="H25" s="12">
        <f t="shared" si="8"/>
        <v>30689018.122666184</v>
      </c>
      <c r="I25" s="6">
        <f t="shared" si="8"/>
        <v>17052345.879672978</v>
      </c>
    </row>
    <row r="48" spans="3:4" ht="16.2" x14ac:dyDescent="0.3">
      <c r="C48" s="19" t="s">
        <v>98</v>
      </c>
      <c r="D48" s="28" t="s">
        <v>115</v>
      </c>
    </row>
    <row r="49" spans="3:4" ht="16.2" x14ac:dyDescent="0.3">
      <c r="C49" s="19" t="s">
        <v>112</v>
      </c>
      <c r="D49" s="28" t="s">
        <v>116</v>
      </c>
    </row>
    <row r="50" spans="3:4" ht="16.2" x14ac:dyDescent="0.3">
      <c r="C50" s="33" t="s">
        <v>113</v>
      </c>
      <c r="D50" s="28" t="s">
        <v>119</v>
      </c>
    </row>
    <row r="51" spans="3:4" ht="16.2" x14ac:dyDescent="0.3">
      <c r="C51" s="33" t="s">
        <v>114</v>
      </c>
      <c r="D51" s="28" t="s">
        <v>117</v>
      </c>
    </row>
    <row r="52" spans="3:4" ht="16.2" x14ac:dyDescent="0.3">
      <c r="C52" s="33" t="s">
        <v>104</v>
      </c>
      <c r="D52" s="28" t="s">
        <v>120</v>
      </c>
    </row>
    <row r="53" spans="3:4" ht="16.2" x14ac:dyDescent="0.3">
      <c r="C53" s="33" t="s">
        <v>105</v>
      </c>
      <c r="D53" s="28" t="s">
        <v>118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8"/>
  <sheetViews>
    <sheetView topLeftCell="A10" workbookViewId="0">
      <selection activeCell="C56" sqref="C56:F58"/>
    </sheetView>
  </sheetViews>
  <sheetFormatPr defaultRowHeight="14.4" x14ac:dyDescent="0.3"/>
  <cols>
    <col min="1" max="1" width="15.109375" customWidth="1"/>
    <col min="2" max="2" width="14.109375" customWidth="1"/>
    <col min="3" max="3" width="14.33203125" customWidth="1"/>
    <col min="4" max="4" width="15.109375" customWidth="1"/>
    <col min="5" max="5" width="14.5546875" customWidth="1"/>
    <col min="6" max="6" width="12.44140625" bestFit="1" customWidth="1"/>
  </cols>
  <sheetData>
    <row r="1" spans="1:5" x14ac:dyDescent="0.3">
      <c r="A1" s="1" t="s">
        <v>96</v>
      </c>
      <c r="B1" s="1"/>
      <c r="C1" s="2"/>
    </row>
    <row r="2" spans="1:5" x14ac:dyDescent="0.3">
      <c r="A2" s="2"/>
      <c r="B2" s="2"/>
      <c r="C2" s="2"/>
    </row>
    <row r="3" spans="1:5" x14ac:dyDescent="0.3">
      <c r="A3" s="2" t="s">
        <v>30</v>
      </c>
      <c r="B3" s="2"/>
      <c r="C3" s="2"/>
    </row>
    <row r="4" spans="1:5" x14ac:dyDescent="0.3">
      <c r="A4" s="2" t="s">
        <v>1</v>
      </c>
      <c r="B4" s="2"/>
      <c r="C4" s="2"/>
    </row>
    <row r="5" spans="1:5" x14ac:dyDescent="0.3">
      <c r="A5" s="2" t="s">
        <v>2</v>
      </c>
      <c r="B5" s="2"/>
      <c r="C5" s="2"/>
    </row>
    <row r="6" spans="1:5" x14ac:dyDescent="0.3">
      <c r="A6" s="2" t="s">
        <v>95</v>
      </c>
      <c r="B6" s="2"/>
      <c r="C6" s="2"/>
    </row>
    <row r="7" spans="1:5" x14ac:dyDescent="0.3">
      <c r="A7" s="2" t="s">
        <v>4</v>
      </c>
      <c r="B7" s="2"/>
      <c r="C7" s="2"/>
    </row>
    <row r="10" spans="1:5" ht="16.8" x14ac:dyDescent="0.3">
      <c r="A10" s="30" t="s">
        <v>99</v>
      </c>
      <c r="B10" s="30" t="s">
        <v>74</v>
      </c>
      <c r="C10" s="30" t="s">
        <v>109</v>
      </c>
      <c r="D10" s="30" t="s">
        <v>110</v>
      </c>
      <c r="E10" s="32" t="s">
        <v>111</v>
      </c>
    </row>
    <row r="11" spans="1:5" x14ac:dyDescent="0.3">
      <c r="A11" s="6">
        <v>1</v>
      </c>
      <c r="B11" s="31">
        <v>2.145</v>
      </c>
      <c r="C11" s="6">
        <v>2.7559999999999998</v>
      </c>
      <c r="D11" s="6">
        <v>2.238</v>
      </c>
      <c r="E11" s="6">
        <v>2.7</v>
      </c>
    </row>
    <row r="12" spans="1:5" x14ac:dyDescent="0.3">
      <c r="A12" s="6">
        <v>2</v>
      </c>
      <c r="B12" s="6">
        <v>2.4900000000000002</v>
      </c>
      <c r="C12" s="6">
        <v>2.6509999999999998</v>
      </c>
      <c r="D12" s="6">
        <v>2.5910000000000002</v>
      </c>
      <c r="E12" s="6">
        <v>2.4119999999999999</v>
      </c>
    </row>
    <row r="13" spans="1:5" x14ac:dyDescent="0.3">
      <c r="A13" s="6">
        <v>3</v>
      </c>
      <c r="B13" s="6">
        <v>2.4329999999999998</v>
      </c>
      <c r="C13" s="6">
        <v>2.637</v>
      </c>
      <c r="D13" s="6">
        <v>2.4940000000000002</v>
      </c>
      <c r="E13" s="6">
        <v>2.9079999999999999</v>
      </c>
    </row>
    <row r="14" spans="1:5" x14ac:dyDescent="0.3">
      <c r="A14" s="6">
        <v>4</v>
      </c>
      <c r="B14" s="6">
        <v>2.589</v>
      </c>
      <c r="C14" s="6">
        <v>2.8290000000000002</v>
      </c>
      <c r="D14" s="6">
        <v>2.8559999999999999</v>
      </c>
      <c r="E14" s="6">
        <v>3.133</v>
      </c>
    </row>
    <row r="15" spans="1:5" x14ac:dyDescent="0.3">
      <c r="A15" s="6">
        <v>5</v>
      </c>
      <c r="B15" s="6">
        <v>2.387</v>
      </c>
      <c r="C15" s="6">
        <v>2.8210000000000002</v>
      </c>
      <c r="D15" s="6">
        <v>2.2679999999999998</v>
      </c>
      <c r="E15" s="6">
        <v>3.028</v>
      </c>
    </row>
    <row r="16" spans="1:5" x14ac:dyDescent="0.3">
      <c r="A16" s="6">
        <v>6</v>
      </c>
      <c r="B16" s="6">
        <v>2.8980000000000001</v>
      </c>
      <c r="C16" s="6">
        <v>2.5449999999999999</v>
      </c>
      <c r="D16" s="6">
        <v>2.6909999999999998</v>
      </c>
      <c r="E16" s="6">
        <v>2.7549999999999999</v>
      </c>
    </row>
    <row r="17" spans="1:5" x14ac:dyDescent="0.3">
      <c r="A17" s="6">
        <v>7</v>
      </c>
      <c r="B17" s="6">
        <v>2.669</v>
      </c>
      <c r="C17" s="6">
        <v>2.302</v>
      </c>
      <c r="D17" s="6">
        <v>2.4889999999999999</v>
      </c>
      <c r="E17" s="6">
        <v>2.6259999999999999</v>
      </c>
    </row>
    <row r="18" spans="1:5" x14ac:dyDescent="0.3">
      <c r="A18" s="6">
        <v>8</v>
      </c>
      <c r="B18" s="6">
        <v>2.9780000000000002</v>
      </c>
      <c r="C18" s="6">
        <v>2.802</v>
      </c>
      <c r="D18" s="6">
        <v>2.6579999999999999</v>
      </c>
      <c r="E18" s="6">
        <v>2.8660000000000001</v>
      </c>
    </row>
    <row r="19" spans="1:5" x14ac:dyDescent="0.3">
      <c r="A19" s="6" t="s">
        <v>10</v>
      </c>
      <c r="B19" s="31">
        <f>AVERAGE(B11:B18)</f>
        <v>2.5736250000000003</v>
      </c>
      <c r="C19" s="31">
        <f t="shared" ref="C19:E19" si="0">AVERAGE(C11:C18)</f>
        <v>2.667875</v>
      </c>
      <c r="D19" s="31">
        <f t="shared" si="0"/>
        <v>2.535625</v>
      </c>
      <c r="E19" s="31">
        <f t="shared" si="0"/>
        <v>2.8035000000000001</v>
      </c>
    </row>
    <row r="20" spans="1:5" x14ac:dyDescent="0.3">
      <c r="A20" s="6" t="s">
        <v>11</v>
      </c>
      <c r="B20" s="6">
        <f>_xlfn.STDEV.P(B11:B18)</f>
        <v>0.25578014851626002</v>
      </c>
      <c r="C20" s="6">
        <f t="shared" ref="C20:E20" si="1">_xlfn.STDEV.P(C11:C18)</f>
        <v>0.16784102411210439</v>
      </c>
      <c r="D20" s="6">
        <f t="shared" si="1"/>
        <v>0.19651141029212527</v>
      </c>
      <c r="E20" s="6">
        <f t="shared" si="1"/>
        <v>0.2155342200208589</v>
      </c>
    </row>
    <row r="23" spans="1:5" x14ac:dyDescent="0.3">
      <c r="A23" s="30" t="s">
        <v>9</v>
      </c>
      <c r="B23" s="30" t="s">
        <v>74</v>
      </c>
      <c r="C23" s="30" t="s">
        <v>109</v>
      </c>
      <c r="D23" s="30" t="s">
        <v>110</v>
      </c>
      <c r="E23" s="32" t="s">
        <v>111</v>
      </c>
    </row>
    <row r="24" spans="1:5" x14ac:dyDescent="0.3">
      <c r="A24" s="6">
        <v>1</v>
      </c>
      <c r="B24" s="6">
        <f>B11*100000000</f>
        <v>214500000</v>
      </c>
      <c r="C24" s="6">
        <f t="shared" ref="C24:E24" si="2">C11*100000000</f>
        <v>275600000</v>
      </c>
      <c r="D24" s="6">
        <f t="shared" si="2"/>
        <v>223800000</v>
      </c>
      <c r="E24" s="6">
        <f t="shared" si="2"/>
        <v>270000000</v>
      </c>
    </row>
    <row r="25" spans="1:5" x14ac:dyDescent="0.3">
      <c r="A25" s="6">
        <v>2</v>
      </c>
      <c r="B25" s="6">
        <f t="shared" ref="B25:E31" si="3">B12*100000000</f>
        <v>249000000.00000003</v>
      </c>
      <c r="C25" s="6">
        <f t="shared" si="3"/>
        <v>265099999.99999997</v>
      </c>
      <c r="D25" s="6">
        <f t="shared" si="3"/>
        <v>259100000.00000003</v>
      </c>
      <c r="E25" s="6">
        <f t="shared" si="3"/>
        <v>241200000</v>
      </c>
    </row>
    <row r="26" spans="1:5" x14ac:dyDescent="0.3">
      <c r="A26" s="6">
        <v>3</v>
      </c>
      <c r="B26" s="6">
        <f t="shared" si="3"/>
        <v>243299999.99999997</v>
      </c>
      <c r="C26" s="6">
        <f t="shared" si="3"/>
        <v>263700000</v>
      </c>
      <c r="D26" s="6">
        <f t="shared" si="3"/>
        <v>249400000.00000003</v>
      </c>
      <c r="E26" s="6">
        <f t="shared" si="3"/>
        <v>290800000</v>
      </c>
    </row>
    <row r="27" spans="1:5" x14ac:dyDescent="0.3">
      <c r="A27" s="6">
        <v>4</v>
      </c>
      <c r="B27" s="6">
        <f t="shared" si="3"/>
        <v>258900000</v>
      </c>
      <c r="C27" s="6">
        <f t="shared" si="3"/>
        <v>282900000</v>
      </c>
      <c r="D27" s="6">
        <f t="shared" si="3"/>
        <v>285600000</v>
      </c>
      <c r="E27" s="6">
        <f t="shared" si="3"/>
        <v>313300000</v>
      </c>
    </row>
    <row r="28" spans="1:5" x14ac:dyDescent="0.3">
      <c r="A28" s="6">
        <v>5</v>
      </c>
      <c r="B28" s="6">
        <f t="shared" si="3"/>
        <v>238700000</v>
      </c>
      <c r="C28" s="6">
        <f t="shared" si="3"/>
        <v>282100000</v>
      </c>
      <c r="D28" s="6">
        <f t="shared" si="3"/>
        <v>226799999.99999997</v>
      </c>
      <c r="E28" s="6">
        <f t="shared" si="3"/>
        <v>302800000</v>
      </c>
    </row>
    <row r="29" spans="1:5" x14ac:dyDescent="0.3">
      <c r="A29" s="6">
        <v>6</v>
      </c>
      <c r="B29" s="6">
        <f t="shared" si="3"/>
        <v>289800000</v>
      </c>
      <c r="C29" s="6">
        <f t="shared" si="3"/>
        <v>254500000</v>
      </c>
      <c r="D29" s="6">
        <f t="shared" si="3"/>
        <v>269100000</v>
      </c>
      <c r="E29" s="6">
        <f t="shared" si="3"/>
        <v>275500000</v>
      </c>
    </row>
    <row r="30" spans="1:5" x14ac:dyDescent="0.3">
      <c r="A30" s="6">
        <v>7</v>
      </c>
      <c r="B30" s="6">
        <f t="shared" si="3"/>
        <v>266900000</v>
      </c>
      <c r="C30" s="6">
        <f t="shared" si="3"/>
        <v>230200000</v>
      </c>
      <c r="D30" s="6">
        <f t="shared" si="3"/>
        <v>248900000</v>
      </c>
      <c r="E30" s="6">
        <f t="shared" si="3"/>
        <v>262600000</v>
      </c>
    </row>
    <row r="31" spans="1:5" x14ac:dyDescent="0.3">
      <c r="A31" s="6">
        <v>8</v>
      </c>
      <c r="B31" s="6">
        <f t="shared" si="3"/>
        <v>297800000</v>
      </c>
      <c r="C31" s="6">
        <f t="shared" si="3"/>
        <v>280200000</v>
      </c>
      <c r="D31" s="6">
        <f t="shared" si="3"/>
        <v>265800000</v>
      </c>
      <c r="E31" s="6">
        <f t="shared" si="3"/>
        <v>286600000</v>
      </c>
    </row>
    <row r="32" spans="1:5" x14ac:dyDescent="0.3">
      <c r="A32" s="6" t="s">
        <v>10</v>
      </c>
      <c r="B32" s="6">
        <f>AVERAGE(B24:B31)</f>
        <v>257362500</v>
      </c>
      <c r="C32" s="6">
        <f t="shared" ref="C32:E32" si="4">AVERAGE(C24:C31)</f>
        <v>266787500</v>
      </c>
      <c r="D32" s="6">
        <f t="shared" si="4"/>
        <v>253562500</v>
      </c>
      <c r="E32" s="6">
        <f t="shared" si="4"/>
        <v>280350000</v>
      </c>
    </row>
    <row r="33" spans="1:6" x14ac:dyDescent="0.3">
      <c r="A33" s="6" t="s">
        <v>11</v>
      </c>
      <c r="B33" s="6">
        <f>STDEV(B24:B31)</f>
        <v>27344048.059599996</v>
      </c>
      <c r="C33" s="6">
        <f t="shared" ref="C33:E33" si="5">STDEV(C24:C31)</f>
        <v>17942960.219221674</v>
      </c>
      <c r="D33" s="6">
        <f t="shared" si="5"/>
        <v>21007953.425854158</v>
      </c>
      <c r="E33" s="6">
        <f t="shared" si="5"/>
        <v>23041577.326960184</v>
      </c>
      <c r="F33" s="2"/>
    </row>
    <row r="56" spans="3:4" ht="16.2" x14ac:dyDescent="0.3">
      <c r="C56" s="19" t="s">
        <v>121</v>
      </c>
      <c r="D56" s="28" t="s">
        <v>123</v>
      </c>
    </row>
    <row r="57" spans="3:4" ht="16.2" x14ac:dyDescent="0.3">
      <c r="C57" s="33" t="s">
        <v>122</v>
      </c>
      <c r="D57" s="28" t="s">
        <v>124</v>
      </c>
    </row>
    <row r="58" spans="3:4" ht="16.2" x14ac:dyDescent="0.3">
      <c r="C58" s="33" t="s">
        <v>111</v>
      </c>
      <c r="D58" s="28" t="s">
        <v>125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61"/>
  <sheetViews>
    <sheetView zoomScale="90" zoomScaleNormal="90" workbookViewId="0">
      <selection activeCell="L51" sqref="L51:L54"/>
    </sheetView>
  </sheetViews>
  <sheetFormatPr defaultColWidth="10.88671875" defaultRowHeight="14.4" x14ac:dyDescent="0.3"/>
  <cols>
    <col min="1" max="8" width="13.6640625" style="2" customWidth="1"/>
    <col min="9" max="9" width="10.88671875" style="2"/>
    <col min="10" max="17" width="15.33203125" style="2" customWidth="1"/>
    <col min="18" max="18" width="14.44140625" style="2" customWidth="1"/>
    <col min="19" max="19" width="13.44140625" style="2" customWidth="1"/>
    <col min="20" max="20" width="3.88671875" style="2" customWidth="1"/>
    <col min="21" max="21" width="16.44140625" style="2" customWidth="1"/>
    <col min="22" max="22" width="12" style="2" customWidth="1"/>
    <col min="23" max="23" width="3.6640625" style="2" customWidth="1"/>
    <col min="24" max="24" width="10.88671875" style="2"/>
    <col min="25" max="25" width="42.33203125" style="2" customWidth="1"/>
    <col min="30" max="16384" width="10.88671875" style="2"/>
  </cols>
  <sheetData>
    <row r="1" spans="1:19" x14ac:dyDescent="0.3">
      <c r="A1" s="1" t="s">
        <v>29</v>
      </c>
      <c r="B1" s="1"/>
      <c r="C1" s="1"/>
      <c r="E1" s="25" t="s">
        <v>48</v>
      </c>
      <c r="G1" s="26" t="s">
        <v>52</v>
      </c>
    </row>
    <row r="3" spans="1:19" x14ac:dyDescent="0.3">
      <c r="A3" s="2" t="s">
        <v>30</v>
      </c>
      <c r="H3" s="4"/>
    </row>
    <row r="4" spans="1:19" x14ac:dyDescent="0.3">
      <c r="A4" s="2" t="s">
        <v>1</v>
      </c>
    </row>
    <row r="5" spans="1:19" x14ac:dyDescent="0.3">
      <c r="A5" s="2" t="s">
        <v>2</v>
      </c>
    </row>
    <row r="6" spans="1:19" x14ac:dyDescent="0.3">
      <c r="A6" s="2" t="s">
        <v>3</v>
      </c>
    </row>
    <row r="7" spans="1:19" x14ac:dyDescent="0.3">
      <c r="A7" s="2" t="s">
        <v>4</v>
      </c>
    </row>
    <row r="8" spans="1:19" x14ac:dyDescent="0.3">
      <c r="I8" s="5"/>
      <c r="O8" s="26" t="s">
        <v>52</v>
      </c>
    </row>
    <row r="9" spans="1:19" x14ac:dyDescent="0.3">
      <c r="A9" s="3"/>
      <c r="B9" s="3"/>
      <c r="C9" s="3"/>
    </row>
    <row r="10" spans="1:19" ht="16.8" x14ac:dyDescent="0.3">
      <c r="A10" s="6" t="s">
        <v>5</v>
      </c>
      <c r="B10" s="6" t="s">
        <v>6</v>
      </c>
      <c r="C10" s="6" t="s">
        <v>6</v>
      </c>
      <c r="D10" s="7" t="s">
        <v>7</v>
      </c>
      <c r="E10" s="7" t="s">
        <v>7</v>
      </c>
      <c r="F10" s="7" t="s">
        <v>8</v>
      </c>
      <c r="G10" s="11" t="s">
        <v>8</v>
      </c>
      <c r="H10" s="14"/>
      <c r="I10" s="6" t="s">
        <v>9</v>
      </c>
      <c r="J10" s="6" t="s">
        <v>6</v>
      </c>
      <c r="K10" s="6" t="s">
        <v>6</v>
      </c>
      <c r="L10" s="7" t="s">
        <v>7</v>
      </c>
      <c r="M10" s="7" t="s">
        <v>7</v>
      </c>
      <c r="N10" s="7" t="s">
        <v>8</v>
      </c>
      <c r="O10" s="11" t="s">
        <v>8</v>
      </c>
      <c r="P10" s="14"/>
      <c r="Q10" s="13"/>
      <c r="R10" s="13"/>
      <c r="S10" s="13"/>
    </row>
    <row r="11" spans="1:19" x14ac:dyDescent="0.3">
      <c r="A11" s="6"/>
      <c r="B11" s="6" t="s">
        <v>46</v>
      </c>
      <c r="C11" s="6" t="s">
        <v>47</v>
      </c>
      <c r="D11" s="6" t="s">
        <v>42</v>
      </c>
      <c r="E11" s="6" t="s">
        <v>43</v>
      </c>
      <c r="F11" s="6" t="s">
        <v>44</v>
      </c>
      <c r="G11" s="12" t="s">
        <v>45</v>
      </c>
      <c r="H11" s="15"/>
      <c r="I11" s="6"/>
      <c r="J11" s="6" t="s">
        <v>46</v>
      </c>
      <c r="K11" s="6" t="s">
        <v>47</v>
      </c>
      <c r="L11" s="6" t="s">
        <v>42</v>
      </c>
      <c r="M11" s="6" t="s">
        <v>43</v>
      </c>
      <c r="N11" s="6" t="s">
        <v>44</v>
      </c>
      <c r="O11" s="12" t="s">
        <v>45</v>
      </c>
      <c r="P11" s="15"/>
    </row>
    <row r="12" spans="1:19" x14ac:dyDescent="0.3">
      <c r="A12" s="6">
        <v>1</v>
      </c>
      <c r="B12" s="6">
        <v>3.4009999999999998</v>
      </c>
      <c r="C12" s="6">
        <v>3.875</v>
      </c>
      <c r="D12" s="6">
        <v>2.0289999999999999</v>
      </c>
      <c r="E12" s="6">
        <v>2.6429999999999998</v>
      </c>
      <c r="F12" s="6">
        <v>2.778</v>
      </c>
      <c r="G12" s="12">
        <v>3.4289999999999998</v>
      </c>
      <c r="H12" s="15"/>
      <c r="I12" s="6">
        <v>1</v>
      </c>
      <c r="J12" s="6">
        <v>340100000</v>
      </c>
      <c r="K12" s="6">
        <v>387500000</v>
      </c>
      <c r="L12" s="6">
        <v>202900000</v>
      </c>
      <c r="M12" s="6">
        <v>264299999.99999997</v>
      </c>
      <c r="N12" s="6">
        <v>277800000</v>
      </c>
      <c r="O12" s="12">
        <v>342900000</v>
      </c>
      <c r="P12" s="15"/>
    </row>
    <row r="13" spans="1:19" x14ac:dyDescent="0.3">
      <c r="A13" s="6">
        <v>2</v>
      </c>
      <c r="B13" s="6">
        <v>3.2869999999999999</v>
      </c>
      <c r="C13" s="6">
        <v>3.226</v>
      </c>
      <c r="D13" s="6">
        <v>2.6909999999999998</v>
      </c>
      <c r="E13" s="6">
        <v>2.62</v>
      </c>
      <c r="F13" s="6">
        <v>3.0880000000000001</v>
      </c>
      <c r="G13" s="12">
        <v>2.27</v>
      </c>
      <c r="H13" s="15"/>
      <c r="I13" s="6">
        <v>2</v>
      </c>
      <c r="J13" s="6">
        <v>328700000</v>
      </c>
      <c r="K13" s="6">
        <v>322600000</v>
      </c>
      <c r="L13" s="6">
        <v>269100000</v>
      </c>
      <c r="M13" s="6">
        <v>262000000</v>
      </c>
      <c r="N13" s="6">
        <v>308800000</v>
      </c>
      <c r="O13" s="12">
        <v>227000000</v>
      </c>
      <c r="P13" s="15"/>
    </row>
    <row r="14" spans="1:19" x14ac:dyDescent="0.3">
      <c r="A14" s="6">
        <v>3</v>
      </c>
      <c r="B14" s="6">
        <v>3.3519999999999999</v>
      </c>
      <c r="C14" s="6">
        <v>3.726</v>
      </c>
      <c r="D14" s="6">
        <v>2.4039999999999999</v>
      </c>
      <c r="E14" s="6">
        <v>2.8759999999999999</v>
      </c>
      <c r="F14" s="6">
        <v>2.952</v>
      </c>
      <c r="G14" s="12">
        <v>3.3380000000000001</v>
      </c>
      <c r="H14" s="15"/>
      <c r="I14" s="6">
        <v>3</v>
      </c>
      <c r="J14" s="6">
        <v>335200000</v>
      </c>
      <c r="K14" s="6">
        <v>372600000</v>
      </c>
      <c r="L14" s="6">
        <v>240400000</v>
      </c>
      <c r="M14" s="6">
        <v>287600000</v>
      </c>
      <c r="N14" s="6">
        <v>295200000</v>
      </c>
      <c r="O14" s="12">
        <v>333800000</v>
      </c>
      <c r="P14" s="15"/>
    </row>
    <row r="15" spans="1:19" x14ac:dyDescent="0.3">
      <c r="A15" s="6">
        <v>4</v>
      </c>
      <c r="B15" s="6">
        <v>3.2450000000000001</v>
      </c>
      <c r="C15" s="6">
        <v>3.2389999999999999</v>
      </c>
      <c r="D15" s="6">
        <v>2.6629999999999998</v>
      </c>
      <c r="E15" s="6">
        <v>3.17</v>
      </c>
      <c r="F15" s="6">
        <v>3.077</v>
      </c>
      <c r="G15" s="6">
        <v>3.2829999999999999</v>
      </c>
      <c r="H15" s="15"/>
      <c r="I15" s="6">
        <v>4</v>
      </c>
      <c r="J15" s="6">
        <v>324500000</v>
      </c>
      <c r="K15" s="6">
        <v>323900000</v>
      </c>
      <c r="L15" s="6">
        <v>266299999.99999997</v>
      </c>
      <c r="M15" s="6">
        <v>317000000</v>
      </c>
      <c r="N15" s="6">
        <v>307700000</v>
      </c>
      <c r="O15" s="6">
        <v>328300000</v>
      </c>
      <c r="P15" s="15"/>
    </row>
    <row r="16" spans="1:19" x14ac:dyDescent="0.3">
      <c r="A16" s="6" t="s">
        <v>10</v>
      </c>
      <c r="B16" s="6">
        <f>AVERAGE(B12:B15)</f>
        <v>3.32125</v>
      </c>
      <c r="C16" s="6">
        <f t="shared" ref="C16:G16" si="0">AVERAGE(C12:C15)</f>
        <v>3.5164999999999997</v>
      </c>
      <c r="D16" s="6">
        <f t="shared" si="0"/>
        <v>2.4467499999999998</v>
      </c>
      <c r="E16" s="6">
        <f t="shared" si="0"/>
        <v>2.8272499999999998</v>
      </c>
      <c r="F16" s="6">
        <f t="shared" si="0"/>
        <v>2.9737499999999999</v>
      </c>
      <c r="G16" s="6">
        <f t="shared" si="0"/>
        <v>3.0799999999999996</v>
      </c>
      <c r="H16" s="15"/>
      <c r="I16" s="6" t="s">
        <v>10</v>
      </c>
      <c r="J16" s="6">
        <f>AVERAGE(J12:J15)</f>
        <v>332125000</v>
      </c>
      <c r="K16" s="6">
        <f>AVERAGE(K12:K15)</f>
        <v>351650000</v>
      </c>
      <c r="L16" s="6">
        <f t="shared" ref="L16:O16" si="1">AVERAGE(L12:L15)</f>
        <v>244675000</v>
      </c>
      <c r="M16" s="6">
        <f t="shared" si="1"/>
        <v>282725000</v>
      </c>
      <c r="N16" s="6">
        <f t="shared" si="1"/>
        <v>297375000</v>
      </c>
      <c r="O16" s="6">
        <f t="shared" si="1"/>
        <v>308000000</v>
      </c>
      <c r="P16" s="15"/>
    </row>
    <row r="17" spans="1:20" x14ac:dyDescent="0.3">
      <c r="A17" s="6" t="s">
        <v>11</v>
      </c>
      <c r="B17" s="6">
        <f>STDEV(B12:B15)</f>
        <v>6.9023546706902736E-2</v>
      </c>
      <c r="C17" s="6">
        <f t="shared" ref="C17:G17" si="2">STDEV(C12:C15)</f>
        <v>0.33357108188010948</v>
      </c>
      <c r="D17" s="6">
        <f t="shared" si="2"/>
        <v>0.30700963611370324</v>
      </c>
      <c r="E17" s="6">
        <f t="shared" si="2"/>
        <v>0.25609552254318441</v>
      </c>
      <c r="F17" s="6">
        <f t="shared" si="2"/>
        <v>0.14434305202075598</v>
      </c>
      <c r="G17" s="6">
        <f t="shared" si="2"/>
        <v>0.5433458076277663</v>
      </c>
      <c r="I17" s="6" t="s">
        <v>11</v>
      </c>
      <c r="J17" s="6">
        <f>STDEV(J12:J15)</f>
        <v>6902354.670690286</v>
      </c>
      <c r="K17" s="6">
        <f t="shared" ref="K17:O17" si="3">STDEV(K12:K15)</f>
        <v>33357108.188010942</v>
      </c>
      <c r="L17" s="6">
        <f t="shared" si="3"/>
        <v>30700963.611370027</v>
      </c>
      <c r="M17" s="6">
        <f t="shared" si="3"/>
        <v>25609552.254318446</v>
      </c>
      <c r="N17" s="6">
        <f t="shared" si="3"/>
        <v>14434305.202075597</v>
      </c>
      <c r="O17" s="6">
        <f t="shared" si="3"/>
        <v>54334580.76277636</v>
      </c>
    </row>
    <row r="19" spans="1:20" x14ac:dyDescent="0.3">
      <c r="A19" s="3"/>
      <c r="B19" s="3"/>
      <c r="C19" s="3"/>
      <c r="I19" s="2" t="s">
        <v>12</v>
      </c>
      <c r="P19" s="13"/>
      <c r="Q19" s="13"/>
      <c r="R19" s="13"/>
      <c r="S19" s="13"/>
    </row>
    <row r="20" spans="1:20" x14ac:dyDescent="0.3">
      <c r="A20" s="6" t="s">
        <v>9</v>
      </c>
      <c r="B20" s="6" t="s">
        <v>6</v>
      </c>
      <c r="C20" s="6" t="s">
        <v>6</v>
      </c>
      <c r="D20" s="7" t="s">
        <v>7</v>
      </c>
      <c r="E20" s="7" t="s">
        <v>7</v>
      </c>
      <c r="F20" s="7" t="s">
        <v>8</v>
      </c>
      <c r="G20" s="11" t="s">
        <v>8</v>
      </c>
      <c r="H20" s="14"/>
      <c r="I20" s="6" t="s">
        <v>9</v>
      </c>
      <c r="J20" s="6" t="s">
        <v>6</v>
      </c>
      <c r="K20" s="6" t="s">
        <v>6</v>
      </c>
      <c r="L20" s="7" t="s">
        <v>7</v>
      </c>
      <c r="M20" s="7" t="s">
        <v>7</v>
      </c>
      <c r="N20" s="7" t="s">
        <v>8</v>
      </c>
      <c r="O20" s="11" t="s">
        <v>8</v>
      </c>
      <c r="P20" s="15"/>
    </row>
    <row r="21" spans="1:20" x14ac:dyDescent="0.3">
      <c r="A21" s="6"/>
      <c r="B21" s="6" t="s">
        <v>46</v>
      </c>
      <c r="C21" s="6" t="s">
        <v>47</v>
      </c>
      <c r="D21" s="6" t="s">
        <v>42</v>
      </c>
      <c r="E21" s="6" t="s">
        <v>43</v>
      </c>
      <c r="F21" s="6" t="s">
        <v>44</v>
      </c>
      <c r="G21" s="12" t="s">
        <v>45</v>
      </c>
      <c r="H21" s="15"/>
      <c r="I21" s="6"/>
      <c r="J21" s="6" t="s">
        <v>46</v>
      </c>
      <c r="K21" s="6" t="s">
        <v>47</v>
      </c>
      <c r="L21" s="6" t="s">
        <v>42</v>
      </c>
      <c r="M21" s="6" t="s">
        <v>43</v>
      </c>
      <c r="N21" s="6" t="s">
        <v>44</v>
      </c>
      <c r="O21" s="12" t="s">
        <v>45</v>
      </c>
      <c r="P21" s="15"/>
    </row>
    <row r="22" spans="1:20" x14ac:dyDescent="0.3">
      <c r="A22" s="6">
        <v>1</v>
      </c>
      <c r="B22" s="6">
        <f>B12*100000000</f>
        <v>340100000</v>
      </c>
      <c r="C22" s="6">
        <f t="shared" ref="B22:G25" si="4">C12*100000000</f>
        <v>387500000</v>
      </c>
      <c r="D22" s="6">
        <f t="shared" si="4"/>
        <v>202900000</v>
      </c>
      <c r="E22" s="6">
        <f t="shared" si="4"/>
        <v>264299999.99999997</v>
      </c>
      <c r="F22" s="6">
        <f t="shared" si="4"/>
        <v>277800000</v>
      </c>
      <c r="G22" s="12">
        <f t="shared" si="4"/>
        <v>342900000</v>
      </c>
      <c r="H22" s="15"/>
      <c r="I22" s="6">
        <v>1</v>
      </c>
      <c r="J22" s="6">
        <f>J12/(($J$16+$K$16)/2)</f>
        <v>0.99477167196811822</v>
      </c>
      <c r="K22" s="6">
        <f t="shared" ref="J22:O25" si="5">K12/(($J$16+$K$16)/2)</f>
        <v>1.1334137691492083</v>
      </c>
      <c r="L22" s="6">
        <f t="shared" si="5"/>
        <v>0.59347007422032105</v>
      </c>
      <c r="M22" s="6">
        <f t="shared" si="5"/>
        <v>0.77306131402873746</v>
      </c>
      <c r="N22" s="6">
        <f t="shared" si="5"/>
        <v>0.81254798727651645</v>
      </c>
      <c r="O22" s="12">
        <f t="shared" si="5"/>
        <v>1.0029615004935835</v>
      </c>
      <c r="P22" s="15"/>
    </row>
    <row r="23" spans="1:20" x14ac:dyDescent="0.3">
      <c r="A23" s="6">
        <v>2</v>
      </c>
      <c r="B23" s="6">
        <f t="shared" si="4"/>
        <v>328700000</v>
      </c>
      <c r="C23" s="6">
        <f t="shared" si="4"/>
        <v>322600000</v>
      </c>
      <c r="D23" s="6">
        <f t="shared" si="4"/>
        <v>269100000</v>
      </c>
      <c r="E23" s="6">
        <f t="shared" si="4"/>
        <v>262000000</v>
      </c>
      <c r="F23" s="6">
        <f t="shared" si="4"/>
        <v>308800000</v>
      </c>
      <c r="G23" s="12">
        <f t="shared" si="4"/>
        <v>227000000</v>
      </c>
      <c r="H23" s="15"/>
      <c r="I23" s="6">
        <v>2</v>
      </c>
      <c r="J23" s="6">
        <f t="shared" si="5"/>
        <v>0.96142737011443824</v>
      </c>
      <c r="K23" s="6">
        <f t="shared" si="5"/>
        <v>0.94358524368396035</v>
      </c>
      <c r="L23" s="6">
        <f t="shared" si="5"/>
        <v>0.78710102007239224</v>
      </c>
      <c r="M23" s="6">
        <f t="shared" si="5"/>
        <v>0.76633395488281963</v>
      </c>
      <c r="N23" s="6">
        <f t="shared" si="5"/>
        <v>0.90322108880845309</v>
      </c>
      <c r="O23" s="12">
        <f t="shared" si="5"/>
        <v>0.66396109831450401</v>
      </c>
      <c r="P23" s="15"/>
    </row>
    <row r="24" spans="1:20" x14ac:dyDescent="0.3">
      <c r="A24" s="6">
        <v>3</v>
      </c>
      <c r="B24" s="6">
        <f>B14*100000000</f>
        <v>335200000</v>
      </c>
      <c r="C24" s="6">
        <f t="shared" si="4"/>
        <v>372600000</v>
      </c>
      <c r="D24" s="6">
        <f t="shared" si="4"/>
        <v>240400000</v>
      </c>
      <c r="E24" s="6">
        <f t="shared" si="4"/>
        <v>287600000</v>
      </c>
      <c r="F24" s="6">
        <f t="shared" si="4"/>
        <v>295200000</v>
      </c>
      <c r="G24" s="12">
        <f t="shared" si="4"/>
        <v>333800000</v>
      </c>
      <c r="H24" s="15"/>
      <c r="I24" s="6">
        <v>3</v>
      </c>
      <c r="J24" s="6">
        <f t="shared" si="5"/>
        <v>0.98043947204855397</v>
      </c>
      <c r="K24" s="6">
        <f t="shared" si="5"/>
        <v>1.0898321816386969</v>
      </c>
      <c r="L24" s="6">
        <f t="shared" si="5"/>
        <v>0.70315527768637343</v>
      </c>
      <c r="M24" s="6">
        <f t="shared" si="5"/>
        <v>0.84121238711564472</v>
      </c>
      <c r="N24" s="6">
        <f t="shared" si="5"/>
        <v>0.86344192168476475</v>
      </c>
      <c r="O24" s="12">
        <f t="shared" si="5"/>
        <v>0.97634455778582141</v>
      </c>
      <c r="P24" s="15"/>
    </row>
    <row r="25" spans="1:20" x14ac:dyDescent="0.3">
      <c r="A25" s="6">
        <v>4</v>
      </c>
      <c r="B25" s="6">
        <f>B15*100000000</f>
        <v>324500000</v>
      </c>
      <c r="C25" s="6">
        <f t="shared" si="4"/>
        <v>323900000</v>
      </c>
      <c r="D25" s="6">
        <f t="shared" si="4"/>
        <v>266299999.99999997</v>
      </c>
      <c r="E25" s="6">
        <f t="shared" si="4"/>
        <v>317000000</v>
      </c>
      <c r="F25" s="6">
        <f t="shared" si="4"/>
        <v>307700000</v>
      </c>
      <c r="G25" s="6">
        <f>G15*100000000</f>
        <v>328300000</v>
      </c>
      <c r="H25" s="15"/>
      <c r="I25" s="6">
        <v>4</v>
      </c>
      <c r="J25" s="6">
        <f t="shared" si="5"/>
        <v>0.94914262732624033</v>
      </c>
      <c r="K25" s="6">
        <f t="shared" si="5"/>
        <v>0.94738766407078356</v>
      </c>
      <c r="L25" s="6">
        <f t="shared" si="5"/>
        <v>0.7789111915469269</v>
      </c>
      <c r="M25" s="6">
        <f t="shared" si="5"/>
        <v>0.92720558663302988</v>
      </c>
      <c r="N25" s="6">
        <f t="shared" si="5"/>
        <v>0.90000365617344891</v>
      </c>
      <c r="O25" s="6">
        <f t="shared" si="5"/>
        <v>0.96025739461080029</v>
      </c>
      <c r="P25" s="15"/>
      <c r="T25" s="8"/>
    </row>
    <row r="26" spans="1:20" x14ac:dyDescent="0.3">
      <c r="A26" s="6" t="s">
        <v>10</v>
      </c>
      <c r="B26" s="6">
        <f>AVERAGE(B22:B25)</f>
        <v>332125000</v>
      </c>
      <c r="C26" s="6">
        <f t="shared" ref="C26:F26" si="6">AVERAGE(C22:C25)</f>
        <v>351650000</v>
      </c>
      <c r="D26" s="6">
        <f t="shared" si="6"/>
        <v>244675000</v>
      </c>
      <c r="E26" s="6">
        <f t="shared" si="6"/>
        <v>282725000</v>
      </c>
      <c r="F26" s="6">
        <f t="shared" si="6"/>
        <v>297375000</v>
      </c>
      <c r="G26" s="6">
        <f>AVERAGE(G22:G25)</f>
        <v>308000000</v>
      </c>
      <c r="H26" s="15"/>
      <c r="I26" s="6" t="s">
        <v>10</v>
      </c>
      <c r="J26" s="6">
        <f>AVERAGE(J22:J25)</f>
        <v>0.97144528536433772</v>
      </c>
      <c r="K26" s="6">
        <f t="shared" ref="K26:O26" si="7">AVERAGE(K22:K25)</f>
        <v>1.0285547146356622</v>
      </c>
      <c r="L26" s="6">
        <f t="shared" si="7"/>
        <v>0.71565939088150343</v>
      </c>
      <c r="M26" s="6">
        <f t="shared" si="7"/>
        <v>0.82695331066505795</v>
      </c>
      <c r="N26" s="6">
        <f t="shared" si="7"/>
        <v>0.86980366348579574</v>
      </c>
      <c r="O26" s="6">
        <f t="shared" si="7"/>
        <v>0.9008811378011774</v>
      </c>
    </row>
    <row r="27" spans="1:20" x14ac:dyDescent="0.3">
      <c r="A27" s="6" t="s">
        <v>11</v>
      </c>
      <c r="B27" s="6">
        <f>STDEV(B22:B25)</f>
        <v>6902354.670690286</v>
      </c>
      <c r="C27" s="6">
        <f t="shared" ref="C27:G27" si="8">STDEV(C22:C25)</f>
        <v>33357108.188010942</v>
      </c>
      <c r="D27" s="6">
        <f t="shared" si="8"/>
        <v>30700963.611370027</v>
      </c>
      <c r="E27" s="6">
        <f t="shared" si="8"/>
        <v>25609552.254318446</v>
      </c>
      <c r="F27" s="6">
        <f t="shared" si="8"/>
        <v>14434305.202075597</v>
      </c>
      <c r="G27" s="6">
        <f t="shared" si="8"/>
        <v>54334580.76277636</v>
      </c>
      <c r="I27" s="6" t="s">
        <v>11</v>
      </c>
      <c r="J27" s="6">
        <f>STDEV(J22:J25)</f>
        <v>2.0188964705320594E-2</v>
      </c>
      <c r="K27" s="6">
        <f t="shared" ref="K27:O27" si="9">STDEV(K22:K25)</f>
        <v>9.7567498630429378E-2</v>
      </c>
      <c r="L27" s="6">
        <f t="shared" si="9"/>
        <v>8.9798438408452128E-2</v>
      </c>
      <c r="M27" s="6">
        <f t="shared" si="9"/>
        <v>7.4906371991717874E-2</v>
      </c>
      <c r="N27" s="6">
        <f t="shared" si="9"/>
        <v>4.2219458746153619E-2</v>
      </c>
      <c r="O27" s="6">
        <f t="shared" si="9"/>
        <v>0.15892532123220682</v>
      </c>
    </row>
    <row r="29" spans="1:20" x14ac:dyDescent="0.3">
      <c r="I29" s="5" t="s">
        <v>13</v>
      </c>
    </row>
    <row r="31" spans="1:20" x14ac:dyDescent="0.3">
      <c r="I31" s="6" t="s">
        <v>9</v>
      </c>
      <c r="J31" s="6" t="s">
        <v>6</v>
      </c>
      <c r="K31" s="7" t="s">
        <v>7</v>
      </c>
      <c r="L31" s="11" t="s">
        <v>8</v>
      </c>
      <c r="M31" s="14"/>
      <c r="N31" s="13"/>
      <c r="S31" s="1"/>
    </row>
    <row r="32" spans="1:20" x14ac:dyDescent="0.3">
      <c r="I32" s="6"/>
      <c r="J32" s="6"/>
      <c r="K32" s="6"/>
      <c r="L32" s="12"/>
      <c r="M32" s="15"/>
    </row>
    <row r="33" spans="9:14" x14ac:dyDescent="0.3">
      <c r="I33" s="6" t="s">
        <v>14</v>
      </c>
      <c r="J33" s="6">
        <f>J16</f>
        <v>332125000</v>
      </c>
      <c r="K33" s="6">
        <f>L16</f>
        <v>244675000</v>
      </c>
      <c r="L33" s="12">
        <f>N16</f>
        <v>297375000</v>
      </c>
      <c r="M33" s="15"/>
    </row>
    <row r="34" spans="9:14" x14ac:dyDescent="0.3">
      <c r="I34" s="6" t="s">
        <v>15</v>
      </c>
      <c r="J34" s="6">
        <f>K16</f>
        <v>351650000</v>
      </c>
      <c r="K34" s="6">
        <f>M16</f>
        <v>282725000</v>
      </c>
      <c r="L34" s="12">
        <f>O16</f>
        <v>308000000</v>
      </c>
      <c r="M34" s="15"/>
    </row>
    <row r="35" spans="9:14" x14ac:dyDescent="0.3">
      <c r="I35" s="6"/>
      <c r="J35" s="6"/>
      <c r="K35" s="6"/>
      <c r="L35" s="12"/>
      <c r="M35" s="15"/>
    </row>
    <row r="36" spans="9:14" x14ac:dyDescent="0.3">
      <c r="I36" s="6" t="s">
        <v>10</v>
      </c>
      <c r="J36" s="6">
        <f>AVERAGE(J33:J34)</f>
        <v>341887500</v>
      </c>
      <c r="K36" s="6">
        <f t="shared" ref="K36:L36" si="10">AVERAGE(K33:K34)</f>
        <v>263700000</v>
      </c>
      <c r="L36" s="12">
        <f t="shared" si="10"/>
        <v>302687500</v>
      </c>
      <c r="M36" s="15"/>
    </row>
    <row r="37" spans="9:14" x14ac:dyDescent="0.3">
      <c r="I37" s="6" t="s">
        <v>11</v>
      </c>
      <c r="J37" s="6">
        <f>STDEV(J33:J34)</f>
        <v>13806259.90266734</v>
      </c>
      <c r="K37" s="6">
        <f t="shared" ref="K37:L37" si="11">STDEV(K33:K34)</f>
        <v>26905413.024148133</v>
      </c>
      <c r="L37" s="12">
        <f t="shared" si="11"/>
        <v>7513009.5501070675</v>
      </c>
      <c r="M37" s="15"/>
    </row>
    <row r="40" spans="9:14" x14ac:dyDescent="0.3">
      <c r="I40" s="6" t="s">
        <v>9</v>
      </c>
      <c r="J40" s="6" t="s">
        <v>6</v>
      </c>
      <c r="K40" s="7" t="s">
        <v>7</v>
      </c>
      <c r="L40" s="11" t="s">
        <v>8</v>
      </c>
      <c r="M40" s="14"/>
      <c r="N40" s="13"/>
    </row>
    <row r="41" spans="9:14" x14ac:dyDescent="0.3">
      <c r="I41" s="6"/>
      <c r="J41" s="6"/>
      <c r="K41" s="6"/>
      <c r="L41" s="12"/>
      <c r="M41" s="15"/>
    </row>
    <row r="42" spans="9:14" x14ac:dyDescent="0.3">
      <c r="I42" s="6" t="s">
        <v>14</v>
      </c>
      <c r="J42" s="6">
        <f>J26</f>
        <v>0.97144528536433772</v>
      </c>
      <c r="K42" s="6">
        <f>L26</f>
        <v>0.71565939088150343</v>
      </c>
      <c r="L42" s="12">
        <f>N26</f>
        <v>0.86980366348579574</v>
      </c>
      <c r="M42" s="15"/>
    </row>
    <row r="43" spans="9:14" x14ac:dyDescent="0.3">
      <c r="I43" s="6" t="s">
        <v>15</v>
      </c>
      <c r="J43" s="6">
        <f>K26</f>
        <v>1.0285547146356622</v>
      </c>
      <c r="K43" s="6">
        <f>M26</f>
        <v>0.82695331066505795</v>
      </c>
      <c r="L43" s="12">
        <f>O26</f>
        <v>0.9008811378011774</v>
      </c>
      <c r="M43" s="15"/>
    </row>
    <row r="44" spans="9:14" x14ac:dyDescent="0.3">
      <c r="I44" s="6"/>
      <c r="J44" s="6"/>
      <c r="K44" s="6"/>
      <c r="L44" s="12"/>
      <c r="M44" s="15"/>
    </row>
    <row r="45" spans="9:14" x14ac:dyDescent="0.3">
      <c r="I45" s="6" t="s">
        <v>10</v>
      </c>
      <c r="J45" s="6">
        <f>AVERAGE(J42:J43)</f>
        <v>1</v>
      </c>
      <c r="K45" s="6">
        <f t="shared" ref="K45:L45" si="12">AVERAGE(K42:K43)</f>
        <v>0.77130635077328069</v>
      </c>
      <c r="L45" s="12">
        <f t="shared" si="12"/>
        <v>0.88534240064348657</v>
      </c>
      <c r="M45" s="15"/>
    </row>
    <row r="46" spans="9:14" x14ac:dyDescent="0.3">
      <c r="I46" s="6" t="s">
        <v>11</v>
      </c>
      <c r="J46" s="6">
        <f>STDEV(J42:J43)</f>
        <v>4.0382464707447031E-2</v>
      </c>
      <c r="K46" s="6">
        <f t="shared" ref="K46:L46" si="13">STDEV(K42:K43)</f>
        <v>7.8696685383783063E-2</v>
      </c>
      <c r="L46" s="12">
        <f t="shared" si="13"/>
        <v>2.1975092830557128E-2</v>
      </c>
      <c r="M46" s="15"/>
    </row>
    <row r="48" spans="9:14" x14ac:dyDescent="0.3">
      <c r="I48" s="1" t="s">
        <v>16</v>
      </c>
      <c r="M48"/>
    </row>
    <row r="49" spans="9:25" x14ac:dyDescent="0.3">
      <c r="I49" s="9" t="s">
        <v>17</v>
      </c>
      <c r="M49" s="2" t="s">
        <v>18</v>
      </c>
    </row>
    <row r="50" spans="9:25" x14ac:dyDescent="0.3">
      <c r="M50"/>
    </row>
    <row r="51" spans="9:25" x14ac:dyDescent="0.3">
      <c r="I51" s="2" t="s">
        <v>6</v>
      </c>
      <c r="J51" s="2" t="s">
        <v>19</v>
      </c>
      <c r="K51" s="2" t="s">
        <v>7</v>
      </c>
      <c r="L51" s="16" t="s">
        <v>39</v>
      </c>
      <c r="M51" s="2" t="s">
        <v>70</v>
      </c>
      <c r="N51" s="2" t="s">
        <v>19</v>
      </c>
    </row>
    <row r="52" spans="9:25" x14ac:dyDescent="0.3">
      <c r="J52" s="2" t="s">
        <v>19</v>
      </c>
      <c r="K52" s="2" t="s">
        <v>8</v>
      </c>
      <c r="L52" s="16" t="s">
        <v>40</v>
      </c>
      <c r="M52" s="2" t="s">
        <v>71</v>
      </c>
      <c r="N52" s="2" t="s">
        <v>19</v>
      </c>
      <c r="O52"/>
    </row>
    <row r="54" spans="9:25" x14ac:dyDescent="0.3">
      <c r="I54" s="2" t="s">
        <v>7</v>
      </c>
      <c r="J54" s="2" t="s">
        <v>19</v>
      </c>
      <c r="K54" s="2" t="s">
        <v>8</v>
      </c>
      <c r="L54" s="16" t="s">
        <v>39</v>
      </c>
      <c r="M54" s="2" t="s">
        <v>72</v>
      </c>
      <c r="N54" s="2" t="s">
        <v>19</v>
      </c>
    </row>
    <row r="57" spans="9:25" x14ac:dyDescent="0.3">
      <c r="M57"/>
    </row>
    <row r="58" spans="9:25" x14ac:dyDescent="0.3">
      <c r="M58"/>
    </row>
    <row r="59" spans="9:25" ht="28.2" x14ac:dyDescent="0.3">
      <c r="I59" s="2" t="s">
        <v>25</v>
      </c>
      <c r="K59" s="2" t="s">
        <v>6</v>
      </c>
      <c r="L59" s="10" t="s">
        <v>67</v>
      </c>
      <c r="M59"/>
      <c r="N59"/>
      <c r="Y59" s="10"/>
    </row>
    <row r="60" spans="9:25" ht="28.2" x14ac:dyDescent="0.3">
      <c r="K60" s="2" t="s">
        <v>7</v>
      </c>
      <c r="L60" s="10" t="s">
        <v>68</v>
      </c>
      <c r="M60"/>
      <c r="Y60" s="10"/>
    </row>
    <row r="61" spans="9:25" ht="28.2" x14ac:dyDescent="0.3">
      <c r="K61" s="2" t="s">
        <v>8</v>
      </c>
      <c r="L61" s="10" t="s">
        <v>69</v>
      </c>
      <c r="M61"/>
    </row>
  </sheetData>
  <hyperlinks>
    <hyperlink ref="I49" r:id="rId1" xr:uid="{00000000-0004-0000-0400-000000000000}"/>
  </hyperlinks>
  <pageMargins left="0.7" right="0.7" top="0.78740157499999996" bottom="0.78740157499999996" header="0.3" footer="0.3"/>
  <pageSetup paperSize="9" scale="79" orientation="portrait" horizontalDpi="0" verticalDpi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32"/>
  <sheetViews>
    <sheetView workbookViewId="0">
      <selection activeCell="B13" sqref="B13"/>
    </sheetView>
  </sheetViews>
  <sheetFormatPr defaultColWidth="11.44140625" defaultRowHeight="14.4" x14ac:dyDescent="0.3"/>
  <cols>
    <col min="4" max="4" width="12" customWidth="1"/>
  </cols>
  <sheetData>
    <row r="1" spans="1:12" ht="18" x14ac:dyDescent="0.35">
      <c r="A1" s="1" t="s">
        <v>29</v>
      </c>
      <c r="B1" s="17"/>
      <c r="C1" s="18"/>
    </row>
    <row r="2" spans="1:12" x14ac:dyDescent="0.3">
      <c r="A2" s="2"/>
    </row>
    <row r="3" spans="1:12" x14ac:dyDescent="0.3">
      <c r="A3" s="2" t="s">
        <v>30</v>
      </c>
      <c r="B3" s="19"/>
    </row>
    <row r="4" spans="1:12" x14ac:dyDescent="0.3">
      <c r="A4" s="2" t="s">
        <v>1</v>
      </c>
    </row>
    <row r="5" spans="1:12" x14ac:dyDescent="0.3">
      <c r="A5" s="2" t="s">
        <v>2</v>
      </c>
    </row>
    <row r="6" spans="1:12" x14ac:dyDescent="0.3">
      <c r="A6" s="2" t="s">
        <v>3</v>
      </c>
    </row>
    <row r="7" spans="1:12" x14ac:dyDescent="0.3">
      <c r="A7" s="2" t="s">
        <v>4</v>
      </c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2" x14ac:dyDescent="0.3">
      <c r="A11" s="2"/>
      <c r="B11" s="3">
        <v>44436</v>
      </c>
      <c r="C11" s="2"/>
      <c r="D11" s="3">
        <v>44474</v>
      </c>
      <c r="E11" s="2"/>
      <c r="F11" s="3">
        <v>44495</v>
      </c>
      <c r="G11" s="2"/>
      <c r="H11" s="2"/>
      <c r="I11" s="2"/>
      <c r="J11" s="2"/>
    </row>
    <row r="12" spans="1:12" x14ac:dyDescent="0.3">
      <c r="A12" s="6"/>
      <c r="B12" s="6">
        <v>1</v>
      </c>
      <c r="C12" s="6">
        <v>2</v>
      </c>
      <c r="D12" s="6">
        <v>1</v>
      </c>
      <c r="E12" s="6">
        <v>2</v>
      </c>
      <c r="F12" s="6">
        <v>1</v>
      </c>
      <c r="G12" s="6">
        <v>2</v>
      </c>
      <c r="H12" s="6" t="s">
        <v>37</v>
      </c>
      <c r="I12" s="6" t="s">
        <v>11</v>
      </c>
      <c r="J12" s="6" t="s">
        <v>38</v>
      </c>
      <c r="K12" s="19"/>
      <c r="L12" s="2" t="s">
        <v>49</v>
      </c>
    </row>
    <row r="13" spans="1:12" x14ac:dyDescent="0.3">
      <c r="A13" s="6" t="s">
        <v>6</v>
      </c>
      <c r="B13" s="6">
        <v>1.0460535774188908</v>
      </c>
      <c r="C13" s="6">
        <v>0.95394642258110884</v>
      </c>
      <c r="D13" s="6">
        <v>1.0140242453054433</v>
      </c>
      <c r="E13" s="6">
        <v>0.98597575469455667</v>
      </c>
      <c r="F13" s="6">
        <v>0.97144528536433772</v>
      </c>
      <c r="G13" s="6">
        <v>1.0285547146356622</v>
      </c>
      <c r="H13" s="6">
        <f>AVERAGE(B13:G13)</f>
        <v>0.99999999999999989</v>
      </c>
      <c r="I13" s="6">
        <f>STDEV(B13:G13)</f>
        <v>3.5400469925633123E-2</v>
      </c>
      <c r="J13" s="6">
        <v>6</v>
      </c>
    </row>
    <row r="14" spans="1:12" x14ac:dyDescent="0.3">
      <c r="A14" s="6" t="s">
        <v>7</v>
      </c>
      <c r="B14" s="6">
        <v>0.5604063832846119</v>
      </c>
      <c r="C14" s="6">
        <v>0.51756361719461341</v>
      </c>
      <c r="D14" s="6">
        <v>0.6611995879882735</v>
      </c>
      <c r="E14" s="6">
        <v>0.61762142460977731</v>
      </c>
      <c r="F14" s="6">
        <v>0.71565939088150343</v>
      </c>
      <c r="G14" s="6">
        <v>0.82695331066505795</v>
      </c>
      <c r="H14" s="6">
        <f t="shared" ref="H14:H15" si="0">AVERAGE(B14:G14)</f>
        <v>0.64990061910397279</v>
      </c>
      <c r="I14" s="6">
        <f t="shared" ref="I14:I15" si="1">STDEV(B14:G14)</f>
        <v>0.1116814980818279</v>
      </c>
      <c r="J14" s="6">
        <v>6</v>
      </c>
    </row>
    <row r="15" spans="1:12" x14ac:dyDescent="0.3">
      <c r="A15" s="6" t="s">
        <v>8</v>
      </c>
      <c r="B15" s="6">
        <v>0.83375664925480419</v>
      </c>
      <c r="C15" s="6">
        <v>0.84401207648440113</v>
      </c>
      <c r="D15" s="6">
        <v>0.91759765470248</v>
      </c>
      <c r="E15" s="6">
        <v>0.93344425956738764</v>
      </c>
      <c r="F15" s="6">
        <v>0.86980366348579574</v>
      </c>
      <c r="G15" s="6">
        <v>0.9008811378011774</v>
      </c>
      <c r="H15" s="6">
        <f t="shared" si="0"/>
        <v>0.8832492402160077</v>
      </c>
      <c r="I15" s="6">
        <f t="shared" si="1"/>
        <v>4.0447725447139156E-2</v>
      </c>
      <c r="J15" s="6">
        <v>6</v>
      </c>
    </row>
    <row r="16" spans="1:1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8" spans="1:8" x14ac:dyDescent="0.3">
      <c r="A18" s="1" t="s">
        <v>16</v>
      </c>
      <c r="B18" s="2"/>
      <c r="C18" s="2"/>
      <c r="D18" s="2"/>
      <c r="F18" s="2"/>
      <c r="G18" s="2"/>
      <c r="H18" s="2"/>
    </row>
    <row r="19" spans="1:8" x14ac:dyDescent="0.3">
      <c r="A19" s="27" t="s">
        <v>17</v>
      </c>
      <c r="B19" s="2"/>
      <c r="C19" s="2"/>
      <c r="F19" s="2" t="s">
        <v>41</v>
      </c>
      <c r="G19" s="2"/>
      <c r="H19" s="2"/>
    </row>
    <row r="20" spans="1:8" x14ac:dyDescent="0.3">
      <c r="A20" s="2"/>
      <c r="B20" s="2"/>
      <c r="C20" s="2"/>
      <c r="D20" s="2"/>
      <c r="F20" s="2"/>
      <c r="G20" s="2"/>
      <c r="H20" s="2"/>
    </row>
    <row r="21" spans="1:8" x14ac:dyDescent="0.3">
      <c r="A21" s="2" t="s">
        <v>6</v>
      </c>
      <c r="B21" s="2" t="s">
        <v>19</v>
      </c>
      <c r="C21" s="2" t="s">
        <v>7</v>
      </c>
      <c r="D21" s="2" t="s">
        <v>73</v>
      </c>
      <c r="E21" s="2" t="s">
        <v>54</v>
      </c>
      <c r="F21" s="2"/>
      <c r="G21" s="2"/>
      <c r="H21" s="2"/>
    </row>
    <row r="22" spans="1:8" x14ac:dyDescent="0.3">
      <c r="A22" s="2"/>
      <c r="B22" s="2"/>
      <c r="C22" s="2"/>
      <c r="D22" s="2"/>
      <c r="E22" s="24" t="s">
        <v>55</v>
      </c>
      <c r="F22" s="24"/>
      <c r="G22" s="2"/>
      <c r="H22" s="2"/>
    </row>
    <row r="23" spans="1:8" x14ac:dyDescent="0.3">
      <c r="A23" s="2"/>
      <c r="B23" s="2" t="s">
        <v>19</v>
      </c>
      <c r="C23" s="2" t="s">
        <v>8</v>
      </c>
      <c r="D23" s="2" t="s">
        <v>73</v>
      </c>
      <c r="E23" t="s">
        <v>56</v>
      </c>
      <c r="F23" s="2"/>
      <c r="H23" s="2"/>
    </row>
    <row r="24" spans="1:8" x14ac:dyDescent="0.3">
      <c r="A24" s="2"/>
      <c r="B24" s="2"/>
      <c r="C24" s="2"/>
      <c r="D24" s="2"/>
      <c r="E24" s="24" t="s">
        <v>57</v>
      </c>
      <c r="F24" s="24"/>
      <c r="G24" s="2"/>
      <c r="H24" s="2"/>
    </row>
    <row r="25" spans="1:8" x14ac:dyDescent="0.3">
      <c r="A25" s="2" t="s">
        <v>7</v>
      </c>
      <c r="B25" s="2" t="s">
        <v>19</v>
      </c>
      <c r="C25" s="2" t="s">
        <v>8</v>
      </c>
      <c r="D25" s="2" t="s">
        <v>24</v>
      </c>
      <c r="E25" s="2" t="s">
        <v>58</v>
      </c>
      <c r="F25" s="2"/>
      <c r="G25" s="2"/>
      <c r="H25" s="2"/>
    </row>
    <row r="26" spans="1:8" x14ac:dyDescent="0.3">
      <c r="A26" s="2"/>
      <c r="B26" s="2"/>
      <c r="C26" s="2"/>
      <c r="D26" s="2"/>
      <c r="E26" s="24" t="s">
        <v>59</v>
      </c>
      <c r="F26" s="24"/>
      <c r="G26" s="2"/>
      <c r="H26" s="2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ht="111" x14ac:dyDescent="0.3">
      <c r="A28" s="20" t="s">
        <v>25</v>
      </c>
      <c r="B28" s="2"/>
      <c r="C28" s="21" t="s">
        <v>6</v>
      </c>
      <c r="D28" s="10" t="s">
        <v>50</v>
      </c>
      <c r="E28" s="10"/>
      <c r="F28" s="2"/>
      <c r="G28" s="2"/>
      <c r="H28" s="2"/>
    </row>
    <row r="29" spans="1:8" ht="111" x14ac:dyDescent="0.3">
      <c r="A29" s="2"/>
      <c r="B29" s="2"/>
      <c r="C29" s="21" t="s">
        <v>7</v>
      </c>
      <c r="D29" s="10" t="s">
        <v>53</v>
      </c>
      <c r="E29" s="10"/>
      <c r="F29" s="2"/>
      <c r="G29" s="2"/>
      <c r="H29" s="2"/>
    </row>
    <row r="30" spans="1:8" ht="111" x14ac:dyDescent="0.3">
      <c r="A30" s="2"/>
      <c r="B30" s="2"/>
      <c r="C30" s="21" t="s">
        <v>8</v>
      </c>
      <c r="D30" s="10" t="s">
        <v>51</v>
      </c>
      <c r="E30" s="10"/>
      <c r="G30" s="2"/>
      <c r="H30" s="2"/>
    </row>
    <row r="31" spans="1:8" x14ac:dyDescent="0.3">
      <c r="A31" s="2"/>
      <c r="B31" s="2"/>
      <c r="C31" s="2"/>
      <c r="D31" s="10"/>
      <c r="F31" s="2"/>
      <c r="G31" s="2"/>
      <c r="H31" s="2"/>
    </row>
    <row r="32" spans="1:8" x14ac:dyDescent="0.3">
      <c r="A32" s="2"/>
      <c r="B32" s="2"/>
      <c r="C32" s="2"/>
      <c r="D32" s="10"/>
      <c r="F32" s="2"/>
      <c r="G32" s="2"/>
      <c r="H32" s="2"/>
    </row>
  </sheetData>
  <hyperlinks>
    <hyperlink ref="A19" r:id="rId1" xr:uid="{00000000-0004-0000-0500-000000000000}"/>
  </hyperlinks>
  <pageMargins left="0.7" right="0.7" top="0.78740157499999996" bottom="0.78740157499999996" header="0.3" footer="0.3"/>
  <pageSetup paperSize="9" scale="66"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3"/>
  <sheetViews>
    <sheetView topLeftCell="A15" workbookViewId="0">
      <selection activeCell="M14" sqref="M14"/>
    </sheetView>
  </sheetViews>
  <sheetFormatPr defaultRowHeight="14.4" x14ac:dyDescent="0.3"/>
  <cols>
    <col min="1" max="1" width="15.109375" customWidth="1"/>
    <col min="2" max="2" width="14.6640625" customWidth="1"/>
    <col min="3" max="3" width="14.109375" customWidth="1"/>
    <col min="4" max="4" width="14" customWidth="1"/>
    <col min="5" max="5" width="15.109375" customWidth="1"/>
    <col min="6" max="6" width="18.109375" customWidth="1"/>
    <col min="7" max="7" width="18.44140625" customWidth="1"/>
    <col min="8" max="9" width="18.33203125" customWidth="1"/>
    <col min="11" max="12" width="9.109375" customWidth="1"/>
    <col min="13" max="13" width="13.44140625" customWidth="1"/>
    <col min="14" max="14" width="12.77734375" customWidth="1"/>
    <col min="15" max="15" width="12.33203125" customWidth="1"/>
    <col min="16" max="17" width="13.21875" customWidth="1"/>
    <col min="18" max="18" width="13.6640625" customWidth="1"/>
  </cols>
  <sheetData>
    <row r="1" spans="1:9" x14ac:dyDescent="0.3">
      <c r="A1" s="1" t="s">
        <v>96</v>
      </c>
      <c r="B1" s="1"/>
      <c r="C1" s="1"/>
      <c r="D1" s="34">
        <v>45615</v>
      </c>
      <c r="E1" s="23"/>
    </row>
    <row r="2" spans="1:9" x14ac:dyDescent="0.3">
      <c r="A2" s="2"/>
      <c r="B2" s="2"/>
      <c r="C2" s="2"/>
      <c r="D2" s="2"/>
      <c r="E2" s="2"/>
    </row>
    <row r="3" spans="1:9" x14ac:dyDescent="0.3">
      <c r="A3" s="2" t="s">
        <v>30</v>
      </c>
      <c r="B3" s="2"/>
      <c r="C3" s="2"/>
      <c r="D3" s="2"/>
      <c r="E3" s="2"/>
    </row>
    <row r="4" spans="1:9" x14ac:dyDescent="0.3">
      <c r="A4" s="2" t="s">
        <v>1</v>
      </c>
      <c r="B4" s="2"/>
      <c r="C4" s="2"/>
      <c r="D4" s="2"/>
      <c r="E4" s="2"/>
    </row>
    <row r="5" spans="1:9" x14ac:dyDescent="0.3">
      <c r="A5" s="2" t="s">
        <v>2</v>
      </c>
      <c r="B5" s="2"/>
      <c r="C5" s="2"/>
      <c r="D5" s="2"/>
      <c r="E5" s="2"/>
    </row>
    <row r="6" spans="1:9" x14ac:dyDescent="0.3">
      <c r="A6" s="2" t="s">
        <v>95</v>
      </c>
      <c r="B6" s="2"/>
      <c r="C6" s="2"/>
      <c r="D6" s="2"/>
      <c r="E6" s="2"/>
    </row>
    <row r="7" spans="1:9" x14ac:dyDescent="0.3">
      <c r="A7" s="2" t="s">
        <v>4</v>
      </c>
      <c r="B7" s="2"/>
      <c r="C7" s="2"/>
      <c r="D7" s="2"/>
      <c r="E7" s="2"/>
    </row>
    <row r="10" spans="1:9" ht="16.8" x14ac:dyDescent="0.3">
      <c r="A10" s="30" t="s">
        <v>99</v>
      </c>
      <c r="B10" s="30" t="s">
        <v>108</v>
      </c>
      <c r="C10" s="30" t="s">
        <v>97</v>
      </c>
      <c r="D10" s="32" t="s">
        <v>126</v>
      </c>
      <c r="E10" s="32" t="s">
        <v>127</v>
      </c>
      <c r="F10" s="32" t="s">
        <v>128</v>
      </c>
      <c r="G10" s="32" t="s">
        <v>129</v>
      </c>
      <c r="H10" s="32" t="s">
        <v>130</v>
      </c>
      <c r="I10" s="32" t="s">
        <v>131</v>
      </c>
    </row>
    <row r="11" spans="1:9" x14ac:dyDescent="0.3">
      <c r="A11" s="6">
        <v>1</v>
      </c>
      <c r="B11" s="31">
        <v>1.6919999999999999</v>
      </c>
      <c r="C11" s="6">
        <v>1.7809999999999999</v>
      </c>
      <c r="D11" s="6">
        <v>1.4339999999999999</v>
      </c>
      <c r="E11" s="6">
        <v>1.4970000000000001</v>
      </c>
      <c r="F11" s="6">
        <v>1.8120000000000001</v>
      </c>
      <c r="G11" s="6">
        <v>1.9330000000000001</v>
      </c>
      <c r="H11" s="6">
        <v>1.931</v>
      </c>
      <c r="I11" s="6">
        <v>1.728</v>
      </c>
    </row>
    <row r="12" spans="1:9" x14ac:dyDescent="0.3">
      <c r="A12" s="6">
        <v>2</v>
      </c>
      <c r="B12" s="6">
        <v>2.0529999999999999</v>
      </c>
      <c r="C12" s="6">
        <v>1.8220000000000001</v>
      </c>
      <c r="D12" s="6">
        <v>1.8859999999999999</v>
      </c>
      <c r="E12" s="6">
        <v>1.5760000000000001</v>
      </c>
      <c r="F12" s="6">
        <v>1.8340000000000001</v>
      </c>
      <c r="G12" s="6">
        <v>2.117</v>
      </c>
      <c r="H12" s="6">
        <v>1.738</v>
      </c>
      <c r="I12" s="6">
        <v>1.8140000000000001</v>
      </c>
    </row>
    <row r="13" spans="1:9" x14ac:dyDescent="0.3">
      <c r="A13" s="6">
        <v>3</v>
      </c>
      <c r="B13" s="6">
        <v>1.8340000000000001</v>
      </c>
      <c r="C13" s="6">
        <v>1.6419999999999999</v>
      </c>
      <c r="D13" s="6">
        <v>1.5429999999999999</v>
      </c>
      <c r="E13" s="6">
        <v>1.889</v>
      </c>
      <c r="F13" s="6">
        <v>1.635</v>
      </c>
      <c r="G13" s="6">
        <v>1.712</v>
      </c>
      <c r="H13" s="6">
        <v>2.0720000000000001</v>
      </c>
      <c r="I13" s="6">
        <v>1.6559999999999999</v>
      </c>
    </row>
    <row r="14" spans="1:9" x14ac:dyDescent="0.3">
      <c r="A14" s="6">
        <v>4</v>
      </c>
      <c r="B14" s="6">
        <v>1.952</v>
      </c>
      <c r="C14" s="6">
        <v>1.919</v>
      </c>
      <c r="D14" s="6">
        <v>1.45</v>
      </c>
      <c r="E14" s="6">
        <v>1.577</v>
      </c>
      <c r="F14" s="6">
        <v>1.5780000000000001</v>
      </c>
      <c r="G14" s="6">
        <v>1.7210000000000001</v>
      </c>
      <c r="H14" s="6">
        <v>1.8660000000000001</v>
      </c>
      <c r="I14" s="6">
        <v>1.794</v>
      </c>
    </row>
    <row r="15" spans="1:9" x14ac:dyDescent="0.3">
      <c r="A15" s="6" t="s">
        <v>10</v>
      </c>
      <c r="B15" s="6">
        <f>AVERAGE(B11:B14)</f>
        <v>1.8827500000000001</v>
      </c>
      <c r="C15" s="6">
        <f t="shared" ref="C15:I15" si="0">AVERAGE(C11:C14)</f>
        <v>1.7909999999999999</v>
      </c>
      <c r="D15" s="6">
        <f t="shared" si="0"/>
        <v>1.5782499999999999</v>
      </c>
      <c r="E15" s="6">
        <f t="shared" si="0"/>
        <v>1.6347500000000001</v>
      </c>
      <c r="F15" s="6">
        <f t="shared" si="0"/>
        <v>1.71475</v>
      </c>
      <c r="G15" s="6">
        <f t="shared" si="0"/>
        <v>1.8707499999999999</v>
      </c>
      <c r="H15" s="6">
        <f t="shared" si="0"/>
        <v>1.9017499999999998</v>
      </c>
      <c r="I15" s="6">
        <f t="shared" si="0"/>
        <v>1.7479999999999998</v>
      </c>
    </row>
    <row r="16" spans="1:9" x14ac:dyDescent="0.3">
      <c r="A16" s="6" t="s">
        <v>11</v>
      </c>
      <c r="B16" s="6">
        <f>STDEV(B11:B14)</f>
        <v>0.15550214360794729</v>
      </c>
      <c r="C16" s="6">
        <f t="shared" ref="C16:I16" si="1">STDEV(C11:C14)</f>
        <v>0.11495796333152979</v>
      </c>
      <c r="D16" s="6">
        <f t="shared" si="1"/>
        <v>0.21071999588711687</v>
      </c>
      <c r="E16" s="6">
        <f t="shared" si="1"/>
        <v>0.17359411472358924</v>
      </c>
      <c r="F16" s="6">
        <f t="shared" si="1"/>
        <v>0.12746077828100691</v>
      </c>
      <c r="G16" s="6">
        <f t="shared" si="1"/>
        <v>0.19333972690577589</v>
      </c>
      <c r="H16" s="6">
        <f t="shared" si="1"/>
        <v>0.13896372428323397</v>
      </c>
      <c r="I16" s="6">
        <f t="shared" si="1"/>
        <v>7.1498251726877973E-2</v>
      </c>
    </row>
    <row r="19" spans="1:9" x14ac:dyDescent="0.3">
      <c r="A19" s="30" t="s">
        <v>9</v>
      </c>
      <c r="B19" s="30" t="s">
        <v>108</v>
      </c>
      <c r="C19" s="30" t="s">
        <v>97</v>
      </c>
      <c r="D19" s="32" t="s">
        <v>126</v>
      </c>
      <c r="E19" s="32" t="s">
        <v>127</v>
      </c>
      <c r="F19" s="32" t="s">
        <v>128</v>
      </c>
      <c r="G19" s="32" t="s">
        <v>129</v>
      </c>
      <c r="H19" s="32" t="s">
        <v>130</v>
      </c>
      <c r="I19" s="32" t="s">
        <v>131</v>
      </c>
    </row>
    <row r="20" spans="1:9" x14ac:dyDescent="0.3">
      <c r="A20" s="6">
        <v>1</v>
      </c>
      <c r="B20" s="6">
        <f t="shared" ref="B20:I23" si="2">B11*100000000</f>
        <v>169200000</v>
      </c>
      <c r="C20" s="6">
        <f t="shared" si="2"/>
        <v>178100000</v>
      </c>
      <c r="D20" s="6">
        <f t="shared" si="2"/>
        <v>143400000</v>
      </c>
      <c r="E20" s="6">
        <f t="shared" si="2"/>
        <v>149700000</v>
      </c>
      <c r="F20" s="12">
        <f t="shared" si="2"/>
        <v>181200000</v>
      </c>
      <c r="G20" s="12">
        <f t="shared" si="2"/>
        <v>193300000</v>
      </c>
      <c r="H20" s="12">
        <f t="shared" si="2"/>
        <v>193100000</v>
      </c>
      <c r="I20" s="6">
        <f t="shared" si="2"/>
        <v>172800000</v>
      </c>
    </row>
    <row r="21" spans="1:9" x14ac:dyDescent="0.3">
      <c r="A21" s="6">
        <v>2</v>
      </c>
      <c r="B21" s="6">
        <f t="shared" si="2"/>
        <v>205300000</v>
      </c>
      <c r="C21" s="6">
        <f t="shared" si="2"/>
        <v>182200000</v>
      </c>
      <c r="D21" s="6">
        <f t="shared" si="2"/>
        <v>188600000</v>
      </c>
      <c r="E21" s="6">
        <f t="shared" si="2"/>
        <v>157600000</v>
      </c>
      <c r="F21" s="12">
        <f t="shared" si="2"/>
        <v>183400000</v>
      </c>
      <c r="G21" s="12">
        <f t="shared" si="2"/>
        <v>211700000</v>
      </c>
      <c r="H21" s="12">
        <f t="shared" si="2"/>
        <v>173800000</v>
      </c>
      <c r="I21" s="6">
        <f t="shared" si="2"/>
        <v>181400000</v>
      </c>
    </row>
    <row r="22" spans="1:9" x14ac:dyDescent="0.3">
      <c r="A22" s="6">
        <v>3</v>
      </c>
      <c r="B22" s="6">
        <f t="shared" si="2"/>
        <v>183400000</v>
      </c>
      <c r="C22" s="6">
        <f t="shared" si="2"/>
        <v>164200000</v>
      </c>
      <c r="D22" s="6">
        <f t="shared" si="2"/>
        <v>154300000</v>
      </c>
      <c r="E22" s="6">
        <f t="shared" si="2"/>
        <v>188900000</v>
      </c>
      <c r="F22" s="12">
        <f t="shared" si="2"/>
        <v>163500000</v>
      </c>
      <c r="G22" s="12">
        <f t="shared" si="2"/>
        <v>171200000</v>
      </c>
      <c r="H22" s="12">
        <f t="shared" si="2"/>
        <v>207200000</v>
      </c>
      <c r="I22" s="6">
        <f t="shared" si="2"/>
        <v>165600000</v>
      </c>
    </row>
    <row r="23" spans="1:9" x14ac:dyDescent="0.3">
      <c r="A23" s="6">
        <v>4</v>
      </c>
      <c r="B23" s="6">
        <f t="shared" si="2"/>
        <v>195200000</v>
      </c>
      <c r="C23" s="6">
        <f t="shared" si="2"/>
        <v>191900000</v>
      </c>
      <c r="D23" s="6">
        <f t="shared" si="2"/>
        <v>145000000</v>
      </c>
      <c r="E23" s="6">
        <f t="shared" si="2"/>
        <v>157700000</v>
      </c>
      <c r="F23" s="12">
        <f t="shared" si="2"/>
        <v>157800000</v>
      </c>
      <c r="G23" s="12">
        <f t="shared" si="2"/>
        <v>172100000</v>
      </c>
      <c r="H23" s="12">
        <f t="shared" si="2"/>
        <v>186600000</v>
      </c>
      <c r="I23" s="6">
        <f t="shared" si="2"/>
        <v>179400000</v>
      </c>
    </row>
    <row r="24" spans="1:9" x14ac:dyDescent="0.3">
      <c r="A24" s="6" t="s">
        <v>10</v>
      </c>
      <c r="B24" s="6">
        <f>AVERAGE(B20:B23)</f>
        <v>188275000</v>
      </c>
      <c r="C24" s="6">
        <f t="shared" ref="C24:I24" si="3">AVERAGE(C20:C23)</f>
        <v>179100000</v>
      </c>
      <c r="D24" s="6">
        <f t="shared" si="3"/>
        <v>157825000</v>
      </c>
      <c r="E24" s="6">
        <f t="shared" si="3"/>
        <v>163475000</v>
      </c>
      <c r="F24" s="12">
        <f t="shared" si="3"/>
        <v>171475000</v>
      </c>
      <c r="G24" s="12">
        <f t="shared" si="3"/>
        <v>187075000</v>
      </c>
      <c r="H24" s="12">
        <f t="shared" si="3"/>
        <v>190175000</v>
      </c>
      <c r="I24" s="6">
        <f t="shared" si="3"/>
        <v>174800000</v>
      </c>
    </row>
    <row r="25" spans="1:9" x14ac:dyDescent="0.3">
      <c r="A25" s="6" t="s">
        <v>11</v>
      </c>
      <c r="B25" s="6">
        <f>STDEV(B20:B23)</f>
        <v>15550214.36079473</v>
      </c>
      <c r="C25" s="6">
        <f t="shared" ref="C25:I25" si="4">STDEV(C20:C23)</f>
        <v>11495796.333152972</v>
      </c>
      <c r="D25" s="6">
        <f t="shared" si="4"/>
        <v>21071999.588711716</v>
      </c>
      <c r="E25" s="6">
        <f t="shared" si="4"/>
        <v>17359411.472358927</v>
      </c>
      <c r="F25" s="12">
        <f t="shared" si="4"/>
        <v>12746077.828100691</v>
      </c>
      <c r="G25" s="12">
        <f t="shared" si="4"/>
        <v>19333972.690577589</v>
      </c>
      <c r="H25" s="12">
        <f t="shared" si="4"/>
        <v>13896372.428323396</v>
      </c>
      <c r="I25" s="6">
        <f t="shared" si="4"/>
        <v>7149825.1726877913</v>
      </c>
    </row>
    <row r="48" spans="3:4" ht="16.2" x14ac:dyDescent="0.3">
      <c r="C48" s="19" t="s">
        <v>98</v>
      </c>
      <c r="D48" s="28" t="s">
        <v>115</v>
      </c>
    </row>
    <row r="49" spans="3:4" ht="16.2" x14ac:dyDescent="0.3">
      <c r="C49" s="19" t="s">
        <v>112</v>
      </c>
      <c r="D49" s="28" t="s">
        <v>116</v>
      </c>
    </row>
    <row r="50" spans="3:4" ht="16.2" x14ac:dyDescent="0.3">
      <c r="C50" s="33" t="s">
        <v>113</v>
      </c>
      <c r="D50" s="28" t="s">
        <v>119</v>
      </c>
    </row>
    <row r="51" spans="3:4" ht="16.2" x14ac:dyDescent="0.3">
      <c r="C51" s="33" t="s">
        <v>114</v>
      </c>
      <c r="D51" s="28" t="s">
        <v>117</v>
      </c>
    </row>
    <row r="52" spans="3:4" ht="16.2" x14ac:dyDescent="0.3">
      <c r="C52" s="33" t="s">
        <v>104</v>
      </c>
      <c r="D52" s="28" t="s">
        <v>120</v>
      </c>
    </row>
    <row r="53" spans="3:4" ht="16.2" x14ac:dyDescent="0.3">
      <c r="C53" s="33" t="s">
        <v>105</v>
      </c>
      <c r="D53" s="28" t="s">
        <v>118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8"/>
  <sheetViews>
    <sheetView topLeftCell="A21" workbookViewId="0">
      <selection activeCell="G25" sqref="G25"/>
    </sheetView>
  </sheetViews>
  <sheetFormatPr defaultRowHeight="14.4" x14ac:dyDescent="0.3"/>
  <cols>
    <col min="1" max="1" width="15.109375" customWidth="1"/>
    <col min="2" max="2" width="14.109375" customWidth="1"/>
    <col min="3" max="3" width="14.33203125" customWidth="1"/>
    <col min="4" max="4" width="15.5546875" customWidth="1"/>
    <col min="5" max="5" width="15.88671875" customWidth="1"/>
    <col min="6" max="6" width="12.44140625" bestFit="1" customWidth="1"/>
  </cols>
  <sheetData>
    <row r="1" spans="1:5" x14ac:dyDescent="0.3">
      <c r="A1" s="1" t="s">
        <v>96</v>
      </c>
      <c r="B1" s="1"/>
      <c r="C1" s="2"/>
      <c r="D1" s="34">
        <v>45615</v>
      </c>
    </row>
    <row r="2" spans="1:5" x14ac:dyDescent="0.3">
      <c r="A2" s="2"/>
      <c r="B2" s="2"/>
      <c r="C2" s="2"/>
    </row>
    <row r="3" spans="1:5" x14ac:dyDescent="0.3">
      <c r="A3" s="2" t="s">
        <v>30</v>
      </c>
      <c r="B3" s="2"/>
      <c r="C3" s="2"/>
    </row>
    <row r="4" spans="1:5" x14ac:dyDescent="0.3">
      <c r="A4" s="2" t="s">
        <v>1</v>
      </c>
      <c r="B4" s="2"/>
      <c r="C4" s="2"/>
    </row>
    <row r="5" spans="1:5" x14ac:dyDescent="0.3">
      <c r="A5" s="2" t="s">
        <v>2</v>
      </c>
      <c r="B5" s="2"/>
      <c r="C5" s="2"/>
    </row>
    <row r="6" spans="1:5" x14ac:dyDescent="0.3">
      <c r="A6" s="2" t="s">
        <v>135</v>
      </c>
      <c r="B6" s="2"/>
      <c r="C6" s="2"/>
    </row>
    <row r="7" spans="1:5" x14ac:dyDescent="0.3">
      <c r="A7" s="2" t="s">
        <v>4</v>
      </c>
      <c r="B7" s="2"/>
      <c r="C7" s="2"/>
    </row>
    <row r="10" spans="1:5" ht="16.8" x14ac:dyDescent="0.3">
      <c r="A10" s="30" t="s">
        <v>99</v>
      </c>
      <c r="B10" s="30" t="s">
        <v>74</v>
      </c>
      <c r="C10" s="32" t="s">
        <v>132</v>
      </c>
      <c r="D10" s="32" t="s">
        <v>133</v>
      </c>
      <c r="E10" s="32" t="s">
        <v>134</v>
      </c>
    </row>
    <row r="11" spans="1:5" x14ac:dyDescent="0.3">
      <c r="A11" s="6">
        <v>1</v>
      </c>
      <c r="B11" s="31">
        <v>1.6919999999999999</v>
      </c>
      <c r="C11" s="6">
        <v>1.4339999999999999</v>
      </c>
      <c r="D11" s="6">
        <v>1.8120000000000001</v>
      </c>
      <c r="E11" s="6">
        <v>1.931</v>
      </c>
    </row>
    <row r="12" spans="1:5" x14ac:dyDescent="0.3">
      <c r="A12" s="6">
        <v>2</v>
      </c>
      <c r="B12" s="6">
        <v>2.0529999999999999</v>
      </c>
      <c r="C12" s="6">
        <v>1.8859999999999999</v>
      </c>
      <c r="D12" s="6">
        <v>1.8340000000000001</v>
      </c>
      <c r="E12" s="6">
        <v>1.738</v>
      </c>
    </row>
    <row r="13" spans="1:5" x14ac:dyDescent="0.3">
      <c r="A13" s="6">
        <v>3</v>
      </c>
      <c r="B13" s="6">
        <v>1.8340000000000001</v>
      </c>
      <c r="C13" s="6">
        <v>1.5429999999999999</v>
      </c>
      <c r="D13" s="6">
        <v>1.635</v>
      </c>
      <c r="E13" s="6">
        <v>2.0720000000000001</v>
      </c>
    </row>
    <row r="14" spans="1:5" x14ac:dyDescent="0.3">
      <c r="A14" s="6">
        <v>4</v>
      </c>
      <c r="B14" s="6">
        <v>1.952</v>
      </c>
      <c r="C14" s="6">
        <v>1.45</v>
      </c>
      <c r="D14" s="6">
        <v>1.5780000000000001</v>
      </c>
      <c r="E14" s="6">
        <v>1.8660000000000001</v>
      </c>
    </row>
    <row r="15" spans="1:5" x14ac:dyDescent="0.3">
      <c r="A15" s="6">
        <v>5</v>
      </c>
      <c r="B15" s="6">
        <v>1.7809999999999999</v>
      </c>
      <c r="C15" s="6">
        <v>1.4970000000000001</v>
      </c>
      <c r="D15" s="6">
        <v>1.9330000000000001</v>
      </c>
      <c r="E15" s="6">
        <v>1.728</v>
      </c>
    </row>
    <row r="16" spans="1:5" x14ac:dyDescent="0.3">
      <c r="A16" s="6">
        <v>6</v>
      </c>
      <c r="B16" s="6">
        <v>1.8220000000000001</v>
      </c>
      <c r="C16" s="6">
        <v>1.5760000000000001</v>
      </c>
      <c r="D16" s="6">
        <v>2.117</v>
      </c>
      <c r="E16" s="6">
        <v>1.8140000000000001</v>
      </c>
    </row>
    <row r="17" spans="1:5" x14ac:dyDescent="0.3">
      <c r="A17" s="6">
        <v>7</v>
      </c>
      <c r="B17" s="6">
        <v>1.6419999999999999</v>
      </c>
      <c r="C17" s="6">
        <v>1.889</v>
      </c>
      <c r="D17" s="6">
        <v>1.712</v>
      </c>
      <c r="E17" s="6">
        <v>1.6559999999999999</v>
      </c>
    </row>
    <row r="18" spans="1:5" x14ac:dyDescent="0.3">
      <c r="A18" s="6">
        <v>8</v>
      </c>
      <c r="B18" s="6">
        <v>1.919</v>
      </c>
      <c r="C18" s="6">
        <v>1.577</v>
      </c>
      <c r="D18" s="6">
        <v>1.7210000000000001</v>
      </c>
      <c r="E18" s="6">
        <v>1.794</v>
      </c>
    </row>
    <row r="19" spans="1:5" x14ac:dyDescent="0.3">
      <c r="A19" s="6" t="s">
        <v>10</v>
      </c>
      <c r="B19" s="31">
        <f>AVERAGE(B11:B18)</f>
        <v>1.836875</v>
      </c>
      <c r="C19" s="31">
        <f t="shared" ref="C19:E19" si="0">AVERAGE(C11:C18)</f>
        <v>1.6064999999999998</v>
      </c>
      <c r="D19" s="31">
        <f t="shared" si="0"/>
        <v>1.7927499999999998</v>
      </c>
      <c r="E19" s="31">
        <f t="shared" si="0"/>
        <v>1.824875</v>
      </c>
    </row>
    <row r="20" spans="1:5" x14ac:dyDescent="0.3">
      <c r="A20" s="6" t="s">
        <v>11</v>
      </c>
      <c r="B20" s="6">
        <f>_xlfn.STDEV.P(B11:B18)</f>
        <v>0.12699649355395606</v>
      </c>
      <c r="C20" s="6">
        <f t="shared" ref="C20:E20" si="1">_xlfn.STDEV.P(C11:C18)</f>
        <v>0.16955751236675032</v>
      </c>
      <c r="D20" s="6">
        <f t="shared" si="1"/>
        <v>0.16184541235388786</v>
      </c>
      <c r="E20" s="6">
        <f t="shared" si="1"/>
        <v>0.12275324588376477</v>
      </c>
    </row>
    <row r="23" spans="1:5" x14ac:dyDescent="0.3">
      <c r="A23" s="30" t="s">
        <v>9</v>
      </c>
      <c r="B23" s="30" t="s">
        <v>74</v>
      </c>
      <c r="C23" s="32" t="s">
        <v>132</v>
      </c>
      <c r="D23" s="32" t="s">
        <v>140</v>
      </c>
      <c r="E23" s="32" t="s">
        <v>141</v>
      </c>
    </row>
    <row r="24" spans="1:5" x14ac:dyDescent="0.3">
      <c r="A24" s="6">
        <v>1</v>
      </c>
      <c r="B24" s="6">
        <f>B11*100000000</f>
        <v>169200000</v>
      </c>
      <c r="C24" s="6">
        <f t="shared" ref="C24:E24" si="2">C11*100000000</f>
        <v>143400000</v>
      </c>
      <c r="D24" s="6">
        <f t="shared" si="2"/>
        <v>181200000</v>
      </c>
      <c r="E24" s="6">
        <f t="shared" si="2"/>
        <v>193100000</v>
      </c>
    </row>
    <row r="25" spans="1:5" x14ac:dyDescent="0.3">
      <c r="A25" s="6">
        <v>2</v>
      </c>
      <c r="B25" s="6">
        <f t="shared" ref="B25:E31" si="3">B12*100000000</f>
        <v>205300000</v>
      </c>
      <c r="C25" s="6">
        <f t="shared" si="3"/>
        <v>188600000</v>
      </c>
      <c r="D25" s="6">
        <f t="shared" si="3"/>
        <v>183400000</v>
      </c>
      <c r="E25" s="6">
        <f t="shared" si="3"/>
        <v>173800000</v>
      </c>
    </row>
    <row r="26" spans="1:5" x14ac:dyDescent="0.3">
      <c r="A26" s="6">
        <v>3</v>
      </c>
      <c r="B26" s="6">
        <f t="shared" si="3"/>
        <v>183400000</v>
      </c>
      <c r="C26" s="6">
        <f t="shared" si="3"/>
        <v>154300000</v>
      </c>
      <c r="D26" s="6">
        <f t="shared" si="3"/>
        <v>163500000</v>
      </c>
      <c r="E26" s="6">
        <f t="shared" si="3"/>
        <v>207200000</v>
      </c>
    </row>
    <row r="27" spans="1:5" x14ac:dyDescent="0.3">
      <c r="A27" s="6">
        <v>4</v>
      </c>
      <c r="B27" s="6">
        <f t="shared" si="3"/>
        <v>195200000</v>
      </c>
      <c r="C27" s="6">
        <f t="shared" si="3"/>
        <v>145000000</v>
      </c>
      <c r="D27" s="6">
        <f t="shared" si="3"/>
        <v>157800000</v>
      </c>
      <c r="E27" s="6">
        <f t="shared" si="3"/>
        <v>186600000</v>
      </c>
    </row>
    <row r="28" spans="1:5" x14ac:dyDescent="0.3">
      <c r="A28" s="6">
        <v>5</v>
      </c>
      <c r="B28" s="6">
        <f t="shared" si="3"/>
        <v>178100000</v>
      </c>
      <c r="C28" s="6">
        <f t="shared" si="3"/>
        <v>149700000</v>
      </c>
      <c r="D28" s="6">
        <f t="shared" si="3"/>
        <v>193300000</v>
      </c>
      <c r="E28" s="6">
        <f t="shared" si="3"/>
        <v>172800000</v>
      </c>
    </row>
    <row r="29" spans="1:5" x14ac:dyDescent="0.3">
      <c r="A29" s="6">
        <v>6</v>
      </c>
      <c r="B29" s="6">
        <f t="shared" si="3"/>
        <v>182200000</v>
      </c>
      <c r="C29" s="6">
        <f t="shared" si="3"/>
        <v>157600000</v>
      </c>
      <c r="D29" s="6">
        <f t="shared" si="3"/>
        <v>211700000</v>
      </c>
      <c r="E29" s="6">
        <f t="shared" si="3"/>
        <v>181400000</v>
      </c>
    </row>
    <row r="30" spans="1:5" x14ac:dyDescent="0.3">
      <c r="A30" s="6">
        <v>7</v>
      </c>
      <c r="B30" s="6">
        <f t="shared" si="3"/>
        <v>164200000</v>
      </c>
      <c r="C30" s="6">
        <f t="shared" si="3"/>
        <v>188900000</v>
      </c>
      <c r="D30" s="6">
        <f t="shared" si="3"/>
        <v>171200000</v>
      </c>
      <c r="E30" s="6">
        <f t="shared" si="3"/>
        <v>165600000</v>
      </c>
    </row>
    <row r="31" spans="1:5" x14ac:dyDescent="0.3">
      <c r="A31" s="6">
        <v>8</v>
      </c>
      <c r="B31" s="6">
        <f t="shared" si="3"/>
        <v>191900000</v>
      </c>
      <c r="C31" s="6">
        <f t="shared" si="3"/>
        <v>157700000</v>
      </c>
      <c r="D31" s="6">
        <f t="shared" si="3"/>
        <v>172100000</v>
      </c>
      <c r="E31" s="6">
        <f t="shared" si="3"/>
        <v>179400000</v>
      </c>
    </row>
    <row r="32" spans="1:5" x14ac:dyDescent="0.3">
      <c r="A32" s="6" t="s">
        <v>10</v>
      </c>
      <c r="B32" s="6">
        <f>AVERAGE(B24:B31)</f>
        <v>183687500</v>
      </c>
      <c r="C32" s="6">
        <f t="shared" ref="C32:E32" si="4">AVERAGE(C24:C31)</f>
        <v>160650000</v>
      </c>
      <c r="D32" s="6">
        <f t="shared" si="4"/>
        <v>179275000</v>
      </c>
      <c r="E32" s="6">
        <f t="shared" si="4"/>
        <v>182487500</v>
      </c>
    </row>
    <row r="33" spans="1:6" x14ac:dyDescent="0.3">
      <c r="A33" s="6" t="s">
        <v>11</v>
      </c>
      <c r="B33" s="6">
        <f>STDEV(B24:B31)</f>
        <v>13576496.234301396</v>
      </c>
      <c r="C33" s="6">
        <f t="shared" ref="C33:E33" si="5">STDEV(C24:C31)</f>
        <v>18126460.532287363</v>
      </c>
      <c r="D33" s="6">
        <f t="shared" si="5"/>
        <v>17302002.3614114</v>
      </c>
      <c r="E33" s="6">
        <f t="shared" si="5"/>
        <v>13122873.977470463</v>
      </c>
      <c r="F33" s="2"/>
    </row>
    <row r="56" spans="3:4" ht="16.2" x14ac:dyDescent="0.3">
      <c r="C56" s="19" t="s">
        <v>132</v>
      </c>
      <c r="D56" s="28" t="s">
        <v>136</v>
      </c>
    </row>
    <row r="57" spans="3:4" ht="16.2" x14ac:dyDescent="0.3">
      <c r="C57" s="19" t="s">
        <v>137</v>
      </c>
      <c r="D57" s="28" t="s">
        <v>138</v>
      </c>
    </row>
    <row r="58" spans="3:4" ht="16.2" x14ac:dyDescent="0.3">
      <c r="C58" s="19" t="s">
        <v>134</v>
      </c>
      <c r="D58" s="28" t="s">
        <v>139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"/>
  <sheetViews>
    <sheetView topLeftCell="A18" zoomScale="90" zoomScaleNormal="90" workbookViewId="0">
      <selection activeCell="G22" sqref="G22"/>
    </sheetView>
  </sheetViews>
  <sheetFormatPr defaultColWidth="10.88671875" defaultRowHeight="14.4" x14ac:dyDescent="0.3"/>
  <cols>
    <col min="1" max="7" width="13.6640625" style="2" customWidth="1"/>
    <col min="8" max="8" width="10.88671875" style="2"/>
    <col min="9" max="16" width="15.33203125" style="2" customWidth="1"/>
    <col min="17" max="17" width="14.44140625" style="2" customWidth="1"/>
    <col min="18" max="18" width="13.44140625" style="2" customWidth="1"/>
    <col min="19" max="19" width="3.88671875" style="2" customWidth="1"/>
    <col min="20" max="20" width="16.44140625" style="2" customWidth="1"/>
    <col min="21" max="21" width="12" style="2" customWidth="1"/>
    <col min="22" max="22" width="3.6640625" style="2" customWidth="1"/>
    <col min="23" max="23" width="10.88671875" style="2"/>
    <col min="24" max="24" width="42.33203125" style="2" customWidth="1"/>
    <col min="25" max="25" width="10.88671875" style="2"/>
    <col min="30" max="16384" width="10.88671875" style="2"/>
  </cols>
  <sheetData>
    <row r="1" spans="1:18" x14ac:dyDescent="0.3">
      <c r="A1" s="1" t="s">
        <v>75</v>
      </c>
      <c r="B1" s="1"/>
      <c r="C1" s="1"/>
      <c r="E1" s="22"/>
      <c r="F1" s="22"/>
      <c r="G1" s="22"/>
    </row>
    <row r="3" spans="1:18" x14ac:dyDescent="0.3">
      <c r="A3" s="2" t="s">
        <v>0</v>
      </c>
    </row>
    <row r="4" spans="1:18" x14ac:dyDescent="0.3">
      <c r="A4" s="2" t="s">
        <v>1</v>
      </c>
    </row>
    <row r="5" spans="1:18" x14ac:dyDescent="0.3">
      <c r="A5" s="2" t="s">
        <v>2</v>
      </c>
    </row>
    <row r="6" spans="1:18" x14ac:dyDescent="0.3">
      <c r="A6" s="2" t="s">
        <v>3</v>
      </c>
    </row>
    <row r="7" spans="1:18" x14ac:dyDescent="0.3">
      <c r="A7" s="2" t="s">
        <v>4</v>
      </c>
    </row>
    <row r="8" spans="1:18" x14ac:dyDescent="0.3">
      <c r="H8" s="5"/>
    </row>
    <row r="9" spans="1:18" x14ac:dyDescent="0.3">
      <c r="A9" s="3"/>
      <c r="B9" s="3"/>
      <c r="C9" s="3"/>
    </row>
    <row r="10" spans="1:18" ht="16.8" x14ac:dyDescent="0.3">
      <c r="A10" s="6" t="s">
        <v>5</v>
      </c>
      <c r="B10" s="6" t="s">
        <v>74</v>
      </c>
      <c r="C10" s="6" t="s">
        <v>76</v>
      </c>
      <c r="D10" s="6" t="s">
        <v>77</v>
      </c>
      <c r="E10" s="6" t="s">
        <v>78</v>
      </c>
      <c r="F10" s="15"/>
      <c r="H10" s="6" t="s">
        <v>9</v>
      </c>
      <c r="I10" s="6" t="s">
        <v>74</v>
      </c>
      <c r="J10" s="6" t="s">
        <v>74</v>
      </c>
      <c r="K10" s="7" t="s">
        <v>132</v>
      </c>
      <c r="L10" s="7" t="s">
        <v>132</v>
      </c>
      <c r="M10" s="7" t="s">
        <v>142</v>
      </c>
      <c r="N10" s="7" t="s">
        <v>142</v>
      </c>
      <c r="O10" s="7" t="s">
        <v>141</v>
      </c>
      <c r="P10" s="7" t="s">
        <v>141</v>
      </c>
      <c r="Q10" s="13"/>
      <c r="R10" s="13"/>
    </row>
    <row r="11" spans="1:18" x14ac:dyDescent="0.3">
      <c r="A11" s="6"/>
      <c r="B11" s="6" t="s">
        <v>79</v>
      </c>
      <c r="C11" s="6" t="s">
        <v>80</v>
      </c>
      <c r="D11" s="6" t="s">
        <v>81</v>
      </c>
      <c r="E11" s="6" t="s">
        <v>82</v>
      </c>
      <c r="F11" s="15"/>
      <c r="H11" s="6"/>
      <c r="I11" s="6"/>
      <c r="J11" s="6"/>
      <c r="K11" s="6"/>
      <c r="L11" s="6"/>
      <c r="M11" s="6"/>
      <c r="N11" s="12"/>
      <c r="O11" s="6"/>
      <c r="P11" s="6"/>
    </row>
    <row r="12" spans="1:18" x14ac:dyDescent="0.3">
      <c r="A12" s="6">
        <v>1</v>
      </c>
      <c r="B12" s="6">
        <v>2.1019999999999999</v>
      </c>
      <c r="C12" s="6">
        <v>2.4209999999999998</v>
      </c>
      <c r="D12" s="6">
        <v>1.7190000000000001</v>
      </c>
      <c r="E12" s="6">
        <v>2.2400000000000002</v>
      </c>
      <c r="F12" s="15"/>
      <c r="H12" s="6">
        <v>1</v>
      </c>
      <c r="I12" s="6">
        <v>169200000</v>
      </c>
      <c r="J12" s="6">
        <v>178100000</v>
      </c>
      <c r="K12" s="6">
        <v>143400000</v>
      </c>
      <c r="L12" s="6">
        <v>149700000</v>
      </c>
      <c r="M12" s="6">
        <v>181200000</v>
      </c>
      <c r="N12" s="12">
        <v>193300000</v>
      </c>
      <c r="O12" s="6">
        <v>193100000</v>
      </c>
      <c r="P12" s="6">
        <v>172800000</v>
      </c>
    </row>
    <row r="13" spans="1:18" x14ac:dyDescent="0.3">
      <c r="A13" s="6">
        <v>2</v>
      </c>
      <c r="B13" s="6">
        <v>1.6220000000000001</v>
      </c>
      <c r="C13" s="6">
        <v>1.9970000000000001</v>
      </c>
      <c r="D13" s="6">
        <v>1.657</v>
      </c>
      <c r="E13" s="6">
        <v>1.9870000000000001</v>
      </c>
      <c r="F13" s="15"/>
      <c r="H13" s="6">
        <v>2</v>
      </c>
      <c r="I13" s="6">
        <v>205300000</v>
      </c>
      <c r="J13" s="6">
        <v>182200000</v>
      </c>
      <c r="K13" s="6">
        <v>188600000</v>
      </c>
      <c r="L13" s="6">
        <v>157600000</v>
      </c>
      <c r="M13" s="6">
        <v>183400000</v>
      </c>
      <c r="N13" s="12">
        <v>211700000</v>
      </c>
      <c r="O13" s="6">
        <v>173800000</v>
      </c>
      <c r="P13" s="6">
        <v>181400000</v>
      </c>
    </row>
    <row r="14" spans="1:18" x14ac:dyDescent="0.3">
      <c r="A14" s="6">
        <v>3</v>
      </c>
      <c r="B14" s="6">
        <v>1.91</v>
      </c>
      <c r="C14" s="6">
        <v>1.863</v>
      </c>
      <c r="D14" s="6">
        <v>1.272</v>
      </c>
      <c r="E14" s="6">
        <v>1.833</v>
      </c>
      <c r="F14" s="15"/>
      <c r="H14" s="6">
        <v>3</v>
      </c>
      <c r="I14" s="6">
        <v>183400000</v>
      </c>
      <c r="J14" s="6">
        <v>164200000</v>
      </c>
      <c r="K14" s="6">
        <v>154300000</v>
      </c>
      <c r="L14" s="6">
        <v>188900000</v>
      </c>
      <c r="M14" s="6">
        <v>163500000</v>
      </c>
      <c r="N14" s="12">
        <v>171200000</v>
      </c>
      <c r="O14" s="6">
        <v>207200000</v>
      </c>
      <c r="P14" s="6">
        <v>165600000</v>
      </c>
    </row>
    <row r="15" spans="1:18" x14ac:dyDescent="0.3">
      <c r="A15" s="6">
        <v>4</v>
      </c>
      <c r="B15" s="6">
        <v>1.359</v>
      </c>
      <c r="C15" s="6">
        <v>2.2050000000000001</v>
      </c>
      <c r="D15" s="6">
        <v>1.218</v>
      </c>
      <c r="E15" s="6">
        <v>1.6240000000000001</v>
      </c>
      <c r="F15" s="15"/>
      <c r="H15" s="6">
        <v>4</v>
      </c>
      <c r="I15" s="6">
        <v>195200000</v>
      </c>
      <c r="J15" s="6">
        <v>191900000</v>
      </c>
      <c r="K15" s="6">
        <v>145000000</v>
      </c>
      <c r="L15" s="6">
        <v>157700000</v>
      </c>
      <c r="M15" s="6">
        <v>157800000</v>
      </c>
      <c r="N15" s="12">
        <v>172100000</v>
      </c>
      <c r="O15" s="6">
        <v>186600000</v>
      </c>
      <c r="P15" s="6">
        <v>179400000</v>
      </c>
    </row>
    <row r="16" spans="1:18" x14ac:dyDescent="0.3">
      <c r="A16" s="6" t="s">
        <v>10</v>
      </c>
      <c r="B16" s="6">
        <f>AVERAGE(B12:B15)</f>
        <v>1.7482500000000001</v>
      </c>
      <c r="C16" s="6">
        <f>AVERAGE(C12:C15)</f>
        <v>2.1215000000000002</v>
      </c>
      <c r="D16" s="6">
        <f>AVERAGE(D12:D15)</f>
        <v>1.4665000000000001</v>
      </c>
      <c r="E16" s="6">
        <f>AVERAGE(E12:E15)</f>
        <v>1.9210000000000003</v>
      </c>
      <c r="F16" s="15"/>
      <c r="H16" s="6" t="s">
        <v>10</v>
      </c>
      <c r="I16" s="6">
        <f t="shared" ref="I16:N16" si="0">AVERAGE(I12:I15)</f>
        <v>188275000</v>
      </c>
      <c r="J16" s="6">
        <f t="shared" si="0"/>
        <v>179100000</v>
      </c>
      <c r="K16" s="6">
        <f t="shared" si="0"/>
        <v>157825000</v>
      </c>
      <c r="L16" s="6">
        <f t="shared" si="0"/>
        <v>163475000</v>
      </c>
      <c r="M16" s="6">
        <f t="shared" si="0"/>
        <v>171475000</v>
      </c>
      <c r="N16" s="6">
        <f t="shared" si="0"/>
        <v>187075000</v>
      </c>
      <c r="O16" s="6">
        <f t="shared" ref="O16:P16" si="1">AVERAGE(O12:O15)</f>
        <v>190175000</v>
      </c>
      <c r="P16" s="6">
        <f t="shared" si="1"/>
        <v>174800000</v>
      </c>
    </row>
    <row r="17" spans="1:19" x14ac:dyDescent="0.3">
      <c r="A17" s="6" t="s">
        <v>11</v>
      </c>
      <c r="B17" s="6">
        <f>STDEV(B12:B15)</f>
        <v>0.32596357158430994</v>
      </c>
      <c r="C17" s="6">
        <f>STDEV(C12:C15)</f>
        <v>0.24426420122482123</v>
      </c>
      <c r="D17" s="6">
        <f>STDEV(D12:D15)</f>
        <v>0.25795929911518861</v>
      </c>
      <c r="E17" s="6">
        <f>STDEV(E12:E15)</f>
        <v>0.25953162941473085</v>
      </c>
      <c r="F17" s="15"/>
      <c r="H17" s="6" t="s">
        <v>11</v>
      </c>
      <c r="I17" s="6">
        <f t="shared" ref="I17:N17" si="2">STDEV(I12:I15)</f>
        <v>15550214.36079473</v>
      </c>
      <c r="J17" s="6">
        <f t="shared" si="2"/>
        <v>11495796.333152972</v>
      </c>
      <c r="K17" s="6">
        <f t="shared" si="2"/>
        <v>21071999.588711716</v>
      </c>
      <c r="L17" s="6">
        <f t="shared" si="2"/>
        <v>17359411.472358927</v>
      </c>
      <c r="M17" s="6">
        <f t="shared" si="2"/>
        <v>12746077.828100691</v>
      </c>
      <c r="N17" s="6">
        <f t="shared" si="2"/>
        <v>19333972.690577589</v>
      </c>
      <c r="O17" s="6">
        <f t="shared" ref="O17:P17" si="3">STDEV(O12:O15)</f>
        <v>13896372.428323396</v>
      </c>
      <c r="P17" s="6">
        <f t="shared" si="3"/>
        <v>7149825.1726877913</v>
      </c>
    </row>
    <row r="19" spans="1:19" x14ac:dyDescent="0.3">
      <c r="H19" s="2" t="s">
        <v>12</v>
      </c>
    </row>
    <row r="20" spans="1:19" x14ac:dyDescent="0.3">
      <c r="A20" s="3"/>
      <c r="B20" s="3"/>
      <c r="C20" s="3"/>
      <c r="H20" s="6" t="s">
        <v>9</v>
      </c>
      <c r="I20" s="6" t="s">
        <v>74</v>
      </c>
      <c r="J20" s="6" t="s">
        <v>74</v>
      </c>
      <c r="K20" s="7" t="s">
        <v>132</v>
      </c>
      <c r="L20" s="7" t="s">
        <v>132</v>
      </c>
      <c r="M20" s="7" t="s">
        <v>142</v>
      </c>
      <c r="N20" s="7" t="s">
        <v>142</v>
      </c>
      <c r="O20" s="7" t="s">
        <v>141</v>
      </c>
      <c r="P20" s="7" t="s">
        <v>141</v>
      </c>
      <c r="Q20" s="13"/>
      <c r="R20" s="13"/>
    </row>
    <row r="21" spans="1:19" x14ac:dyDescent="0.3">
      <c r="A21" s="6" t="s">
        <v>9</v>
      </c>
      <c r="B21" s="6" t="s">
        <v>74</v>
      </c>
      <c r="C21" s="6" t="s">
        <v>76</v>
      </c>
      <c r="D21" s="6" t="s">
        <v>77</v>
      </c>
      <c r="E21" s="6" t="s">
        <v>78</v>
      </c>
      <c r="F21" s="15"/>
      <c r="H21" s="6"/>
      <c r="I21" s="6"/>
      <c r="J21" s="6"/>
      <c r="K21" s="6"/>
      <c r="L21" s="6"/>
      <c r="M21" s="6"/>
      <c r="N21" s="12"/>
      <c r="O21" s="6"/>
      <c r="P21" s="6"/>
    </row>
    <row r="22" spans="1:19" x14ac:dyDescent="0.3">
      <c r="A22" s="6"/>
      <c r="B22" s="6" t="s">
        <v>79</v>
      </c>
      <c r="C22" s="6" t="s">
        <v>80</v>
      </c>
      <c r="D22" s="6" t="s">
        <v>81</v>
      </c>
      <c r="E22" s="6" t="s">
        <v>82</v>
      </c>
      <c r="F22" s="15"/>
      <c r="H22" s="6">
        <v>1</v>
      </c>
      <c r="I22" s="6">
        <f t="shared" ref="I22:N23" si="4">I12/(($I$16+$J$16)/2)</f>
        <v>0.92112963593058861</v>
      </c>
      <c r="J22" s="6">
        <f t="shared" si="4"/>
        <v>0.96958149030282414</v>
      </c>
      <c r="K22" s="6">
        <f t="shared" si="4"/>
        <v>0.78067369853691737</v>
      </c>
      <c r="L22" s="6">
        <f t="shared" si="4"/>
        <v>0.81497107859816265</v>
      </c>
      <c r="M22" s="6">
        <f t="shared" si="4"/>
        <v>0.98645797890438924</v>
      </c>
      <c r="N22" s="12">
        <f t="shared" si="4"/>
        <v>1.052330724736305</v>
      </c>
      <c r="O22" s="6">
        <f t="shared" ref="O22:P22" si="5">O12/(($I$16+$J$16)/2)</f>
        <v>1.0512419190200748</v>
      </c>
      <c r="P22" s="6">
        <f t="shared" si="5"/>
        <v>0.94072813882272877</v>
      </c>
    </row>
    <row r="23" spans="1:19" x14ac:dyDescent="0.3">
      <c r="A23" s="6"/>
      <c r="B23" s="6"/>
      <c r="C23" s="6"/>
      <c r="D23" s="6"/>
      <c r="E23" s="6"/>
      <c r="F23" s="15"/>
      <c r="H23" s="6">
        <v>2</v>
      </c>
      <c r="I23" s="6">
        <f t="shared" si="4"/>
        <v>1.1176590677101055</v>
      </c>
      <c r="J23" s="6">
        <f t="shared" si="4"/>
        <v>0.99190200748553925</v>
      </c>
      <c r="K23" s="6">
        <f t="shared" si="4"/>
        <v>1.0267437904048997</v>
      </c>
      <c r="L23" s="6">
        <f t="shared" si="4"/>
        <v>0.85797890438924806</v>
      </c>
      <c r="M23" s="6">
        <f t="shared" si="4"/>
        <v>0.99843484178291941</v>
      </c>
      <c r="N23" s="6">
        <f t="shared" si="4"/>
        <v>1.1525008506294658</v>
      </c>
      <c r="O23" s="6">
        <f t="shared" ref="O23:P23" si="6">O13/(($I$16+$J$16)/2)</f>
        <v>0.94617216740387888</v>
      </c>
      <c r="P23" s="6">
        <f t="shared" si="6"/>
        <v>0.98754678462061929</v>
      </c>
    </row>
    <row r="24" spans="1:19" x14ac:dyDescent="0.3">
      <c r="A24" s="6">
        <v>1</v>
      </c>
      <c r="B24" s="6">
        <f t="shared" ref="B24:E25" si="7">B12*100000000</f>
        <v>210200000</v>
      </c>
      <c r="C24" s="6">
        <f t="shared" si="7"/>
        <v>242099999.99999997</v>
      </c>
      <c r="D24" s="6">
        <f t="shared" si="7"/>
        <v>171900000</v>
      </c>
      <c r="E24" s="6">
        <f t="shared" si="7"/>
        <v>224000000.00000003</v>
      </c>
      <c r="F24" s="15"/>
      <c r="H24" s="6">
        <v>3</v>
      </c>
      <c r="I24" s="6">
        <f>I14/(($I$16+$J$16)/2)</f>
        <v>0.99843484178291941</v>
      </c>
      <c r="J24" s="6">
        <f t="shared" ref="J24:N24" si="8">J14/(($I$16+$J$16)/2)</f>
        <v>0.89390949302483835</v>
      </c>
      <c r="K24" s="6">
        <f t="shared" si="8"/>
        <v>0.84001361007145292</v>
      </c>
      <c r="L24" s="6">
        <f t="shared" si="8"/>
        <v>1.0283769989792446</v>
      </c>
      <c r="M24" s="6">
        <f t="shared" si="8"/>
        <v>0.89009867301803336</v>
      </c>
      <c r="N24" s="6">
        <f t="shared" si="8"/>
        <v>0.93201769309288873</v>
      </c>
      <c r="O24" s="6">
        <f t="shared" ref="O24:P24" si="9">O14/(($I$16+$J$16)/2)</f>
        <v>1.1280027220142905</v>
      </c>
      <c r="P24" s="6">
        <f t="shared" si="9"/>
        <v>0.90153113303844845</v>
      </c>
    </row>
    <row r="25" spans="1:19" x14ac:dyDescent="0.3">
      <c r="A25" s="6">
        <v>2</v>
      </c>
      <c r="B25" s="6">
        <f t="shared" si="7"/>
        <v>162200000</v>
      </c>
      <c r="C25" s="6">
        <f t="shared" si="7"/>
        <v>199700000</v>
      </c>
      <c r="D25" s="6">
        <f t="shared" si="7"/>
        <v>165700000</v>
      </c>
      <c r="E25" s="6">
        <f t="shared" si="7"/>
        <v>198700000</v>
      </c>
      <c r="F25" s="15"/>
      <c r="H25" s="6">
        <v>4</v>
      </c>
      <c r="I25" s="6">
        <f>I15/(($I$16+$J$16)/2)</f>
        <v>1.06267437904049</v>
      </c>
      <c r="J25" s="6">
        <f t="shared" ref="J25:P25" si="10">J15/(($I$16+$J$16)/2)</f>
        <v>1.0447090847226947</v>
      </c>
      <c r="K25" s="6">
        <f t="shared" si="10"/>
        <v>0.7893841442667574</v>
      </c>
      <c r="L25" s="6">
        <f t="shared" si="10"/>
        <v>0.85852330724736303</v>
      </c>
      <c r="M25" s="6">
        <f t="shared" si="10"/>
        <v>0.859067710105478</v>
      </c>
      <c r="N25" s="12">
        <f t="shared" si="10"/>
        <v>0.93691731881592377</v>
      </c>
      <c r="O25" s="6">
        <f t="shared" si="10"/>
        <v>1.0158557332425995</v>
      </c>
      <c r="P25" s="6">
        <f t="shared" si="10"/>
        <v>0.97665872745831916</v>
      </c>
    </row>
    <row r="26" spans="1:19" x14ac:dyDescent="0.3">
      <c r="A26" s="6">
        <v>3</v>
      </c>
      <c r="B26" s="6">
        <f>B14*100000000</f>
        <v>191000000</v>
      </c>
      <c r="C26" s="6">
        <f t="shared" ref="C26:E26" si="11">C14*100000000</f>
        <v>186300000</v>
      </c>
      <c r="D26" s="6">
        <f t="shared" si="11"/>
        <v>127200000</v>
      </c>
      <c r="E26" s="6">
        <f t="shared" si="11"/>
        <v>183300000</v>
      </c>
      <c r="F26" s="15"/>
      <c r="H26" s="6"/>
      <c r="I26" s="6"/>
      <c r="J26" s="6"/>
      <c r="K26" s="6"/>
      <c r="L26" s="6"/>
      <c r="M26" s="6"/>
      <c r="N26" s="12"/>
      <c r="O26" s="6"/>
      <c r="P26" s="6"/>
    </row>
    <row r="27" spans="1:19" x14ac:dyDescent="0.3">
      <c r="A27" s="6">
        <v>4</v>
      </c>
      <c r="B27" s="6">
        <f>B15*100000000</f>
        <v>135900000</v>
      </c>
      <c r="C27" s="6">
        <f>C15*100000000</f>
        <v>220500000</v>
      </c>
      <c r="D27" s="6">
        <f>D15*100000000</f>
        <v>121800000</v>
      </c>
      <c r="E27" s="6">
        <f>E15*100000000</f>
        <v>162400000</v>
      </c>
      <c r="F27" s="15"/>
      <c r="H27" s="6" t="s">
        <v>10</v>
      </c>
      <c r="I27" s="6">
        <f t="shared" ref="I27:N27" si="12">AVERAGE(I22:I25)</f>
        <v>1.024974481116026</v>
      </c>
      <c r="J27" s="6">
        <f t="shared" si="12"/>
        <v>0.97502551888397404</v>
      </c>
      <c r="K27" s="6">
        <f t="shared" si="12"/>
        <v>0.85920381082000685</v>
      </c>
      <c r="L27" s="6">
        <f t="shared" si="12"/>
        <v>0.88996257230350462</v>
      </c>
      <c r="M27" s="6">
        <f t="shared" si="12"/>
        <v>0.933514800952705</v>
      </c>
      <c r="N27" s="12">
        <f t="shared" si="12"/>
        <v>1.0184416468186459</v>
      </c>
      <c r="O27" s="6">
        <f t="shared" ref="O27:P27" si="13">AVERAGE(O22:O25)</f>
        <v>1.035318135420211</v>
      </c>
      <c r="P27" s="6">
        <f t="shared" si="13"/>
        <v>0.95161619598502889</v>
      </c>
    </row>
    <row r="28" spans="1:19" x14ac:dyDescent="0.3">
      <c r="A28" s="6" t="s">
        <v>10</v>
      </c>
      <c r="B28" s="6">
        <f>AVERAGE(B24:B27)</f>
        <v>174825000</v>
      </c>
      <c r="C28" s="6">
        <f>AVERAGE(C24:C27)</f>
        <v>212150000</v>
      </c>
      <c r="D28" s="6">
        <f>AVERAGE(D24:D27)</f>
        <v>146650000</v>
      </c>
      <c r="E28" s="6">
        <f>AVERAGE(E24:E27)</f>
        <v>192100000</v>
      </c>
      <c r="F28" s="15"/>
      <c r="H28" s="6" t="s">
        <v>11</v>
      </c>
      <c r="I28" s="6">
        <f t="shared" ref="I28:N28" si="14">STDEV(I22:I25)</f>
        <v>8.4655811423176491E-2</v>
      </c>
      <c r="J28" s="6">
        <f t="shared" si="14"/>
        <v>6.2583443800764721E-2</v>
      </c>
      <c r="K28" s="6">
        <f t="shared" si="14"/>
        <v>0.11471656802292825</v>
      </c>
      <c r="L28" s="6">
        <f t="shared" si="14"/>
        <v>9.4505132207466064E-2</v>
      </c>
      <c r="M28" s="6">
        <f t="shared" si="14"/>
        <v>6.9390011993743159E-2</v>
      </c>
      <c r="N28" s="12">
        <f t="shared" si="14"/>
        <v>0.10525469991467898</v>
      </c>
      <c r="O28" s="6">
        <f t="shared" ref="O28:P28" si="15">STDEV(O22:O25)</f>
        <v>7.5652248674098088E-2</v>
      </c>
      <c r="P28" s="6">
        <f t="shared" si="15"/>
        <v>3.8923852590338447E-2</v>
      </c>
      <c r="S28" s="8"/>
    </row>
    <row r="29" spans="1:19" x14ac:dyDescent="0.3">
      <c r="A29" s="6" t="s">
        <v>11</v>
      </c>
      <c r="B29" s="6">
        <f>STDEV(B24:B27)</f>
        <v>32596357.158431064</v>
      </c>
      <c r="C29" s="6">
        <f>STDEV(C24:C27)</f>
        <v>24426420.122482117</v>
      </c>
      <c r="D29" s="6">
        <f>STDEV(D24:D27)</f>
        <v>25795929.911518987</v>
      </c>
      <c r="E29" s="6">
        <f>STDEV(E24:E27)</f>
        <v>25953162.941473369</v>
      </c>
      <c r="F29" s="15"/>
    </row>
    <row r="32" spans="1:19" x14ac:dyDescent="0.3">
      <c r="H32" s="5" t="s">
        <v>13</v>
      </c>
    </row>
    <row r="34" spans="8:18" x14ac:dyDescent="0.3">
      <c r="H34" s="6" t="s">
        <v>9</v>
      </c>
      <c r="I34" s="6" t="s">
        <v>74</v>
      </c>
      <c r="J34" s="7" t="s">
        <v>132</v>
      </c>
      <c r="K34" s="7" t="s">
        <v>142</v>
      </c>
      <c r="L34" s="7" t="s">
        <v>141</v>
      </c>
      <c r="M34" s="13"/>
      <c r="R34" s="1"/>
    </row>
    <row r="35" spans="8:18" x14ac:dyDescent="0.3">
      <c r="H35" s="6"/>
      <c r="I35" s="6"/>
      <c r="J35" s="6"/>
      <c r="K35" s="12"/>
      <c r="L35" s="6"/>
    </row>
    <row r="36" spans="8:18" x14ac:dyDescent="0.3">
      <c r="H36" s="6" t="s">
        <v>14</v>
      </c>
      <c r="I36" s="6">
        <f>I16</f>
        <v>188275000</v>
      </c>
      <c r="J36" s="6">
        <f>K16</f>
        <v>157825000</v>
      </c>
      <c r="K36" s="12">
        <f>M16</f>
        <v>171475000</v>
      </c>
      <c r="L36" s="6">
        <v>190175000</v>
      </c>
    </row>
    <row r="37" spans="8:18" x14ac:dyDescent="0.3">
      <c r="H37" s="6" t="s">
        <v>15</v>
      </c>
      <c r="I37" s="6">
        <f>J16</f>
        <v>179100000</v>
      </c>
      <c r="J37" s="6">
        <f>L16</f>
        <v>163475000</v>
      </c>
      <c r="K37" s="12">
        <f>N16</f>
        <v>187075000</v>
      </c>
      <c r="L37" s="6">
        <v>174800000</v>
      </c>
    </row>
    <row r="38" spans="8:18" x14ac:dyDescent="0.3">
      <c r="H38" s="6"/>
      <c r="I38" s="6"/>
      <c r="J38" s="6"/>
      <c r="K38" s="12"/>
      <c r="L38" s="6"/>
    </row>
    <row r="39" spans="8:18" x14ac:dyDescent="0.3">
      <c r="H39" s="6" t="s">
        <v>10</v>
      </c>
      <c r="I39" s="6">
        <f>AVERAGE(I36:I37)</f>
        <v>183687500</v>
      </c>
      <c r="J39" s="6">
        <f t="shared" ref="J39:L39" si="16">AVERAGE(J36:J37)</f>
        <v>160650000</v>
      </c>
      <c r="K39" s="12">
        <f t="shared" si="16"/>
        <v>179275000</v>
      </c>
      <c r="L39" s="6">
        <f t="shared" si="16"/>
        <v>182487500</v>
      </c>
    </row>
    <row r="40" spans="8:18" x14ac:dyDescent="0.3">
      <c r="H40" s="6" t="s">
        <v>11</v>
      </c>
      <c r="I40" s="6">
        <f>STDEV(I36:I37)</f>
        <v>6487704.7173865736</v>
      </c>
      <c r="J40" s="6">
        <f t="shared" ref="J40:L40" si="17">STDEV(J36:J37)</f>
        <v>3995153.3137039933</v>
      </c>
      <c r="K40" s="12">
        <f t="shared" si="17"/>
        <v>11030865.786510142</v>
      </c>
      <c r="L40" s="6">
        <f t="shared" si="17"/>
        <v>10871766.760743169</v>
      </c>
    </row>
    <row r="43" spans="8:18" x14ac:dyDescent="0.3">
      <c r="H43" s="6" t="s">
        <v>9</v>
      </c>
      <c r="I43" s="6" t="s">
        <v>74</v>
      </c>
      <c r="J43" s="7" t="s">
        <v>132</v>
      </c>
      <c r="K43" s="7" t="s">
        <v>142</v>
      </c>
      <c r="L43" s="7" t="s">
        <v>141</v>
      </c>
      <c r="M43" s="13"/>
    </row>
    <row r="44" spans="8:18" x14ac:dyDescent="0.3">
      <c r="H44" s="6"/>
      <c r="I44" s="6"/>
      <c r="J44" s="6"/>
      <c r="K44" s="12"/>
      <c r="L44" s="6"/>
    </row>
    <row r="45" spans="8:18" x14ac:dyDescent="0.3">
      <c r="H45" s="6" t="s">
        <v>14</v>
      </c>
      <c r="I45" s="6">
        <f>I27</f>
        <v>1.024974481116026</v>
      </c>
      <c r="J45" s="6">
        <f>K27</f>
        <v>0.85920381082000685</v>
      </c>
      <c r="K45" s="12">
        <f>M27</f>
        <v>0.933514800952705</v>
      </c>
      <c r="L45" s="6">
        <v>1.035318135420211</v>
      </c>
    </row>
    <row r="46" spans="8:18" x14ac:dyDescent="0.3">
      <c r="H46" s="6" t="s">
        <v>15</v>
      </c>
      <c r="I46" s="6">
        <f>J27</f>
        <v>0.97502551888397404</v>
      </c>
      <c r="J46" s="6">
        <f>L27</f>
        <v>0.88996257230350462</v>
      </c>
      <c r="K46" s="12">
        <f>N27</f>
        <v>1.0184416468186459</v>
      </c>
      <c r="L46" s="6">
        <v>0.95161619598502889</v>
      </c>
    </row>
    <row r="47" spans="8:18" x14ac:dyDescent="0.3">
      <c r="H47" s="6"/>
      <c r="I47" s="6"/>
      <c r="J47" s="6"/>
      <c r="K47" s="12"/>
      <c r="L47" s="6"/>
    </row>
    <row r="48" spans="8:18" x14ac:dyDescent="0.3">
      <c r="H48" s="6" t="s">
        <v>10</v>
      </c>
      <c r="I48" s="6">
        <f>AVERAGE(I45:I46)</f>
        <v>1</v>
      </c>
      <c r="J48" s="6">
        <f t="shared" ref="J48:L48" si="18">AVERAGE(J45:J46)</f>
        <v>0.87458319156175568</v>
      </c>
      <c r="K48" s="12">
        <f t="shared" si="18"/>
        <v>0.97597822388567546</v>
      </c>
      <c r="L48" s="6">
        <f t="shared" si="18"/>
        <v>0.99346716570261995</v>
      </c>
    </row>
    <row r="49" spans="2:24" ht="16.2" x14ac:dyDescent="0.3">
      <c r="B49" s="2" t="s">
        <v>80</v>
      </c>
      <c r="C49" s="28" t="s">
        <v>83</v>
      </c>
      <c r="H49" s="6" t="s">
        <v>11</v>
      </c>
      <c r="I49" s="6">
        <f>STDEV(I45:I46)</f>
        <v>3.5319249907514665E-2</v>
      </c>
      <c r="J49" s="6">
        <f t="shared" ref="J49:L49" si="19">STDEV(J45:J46)</f>
        <v>2.174972882588086E-2</v>
      </c>
      <c r="K49" s="12">
        <f t="shared" si="19"/>
        <v>6.0052348616591519E-2</v>
      </c>
      <c r="L49" s="6">
        <f t="shared" si="19"/>
        <v>5.9186208973082972E-2</v>
      </c>
    </row>
    <row r="50" spans="2:24" ht="16.2" x14ac:dyDescent="0.3">
      <c r="B50" s="2" t="s">
        <v>81</v>
      </c>
      <c r="C50" s="28" t="s">
        <v>84</v>
      </c>
    </row>
    <row r="51" spans="2:24" ht="16.2" x14ac:dyDescent="0.3">
      <c r="B51" s="2" t="s">
        <v>82</v>
      </c>
      <c r="C51" s="28" t="s">
        <v>85</v>
      </c>
      <c r="H51" s="1" t="s">
        <v>16</v>
      </c>
    </row>
    <row r="52" spans="2:24" x14ac:dyDescent="0.3">
      <c r="H52" s="9" t="s">
        <v>17</v>
      </c>
      <c r="K52" s="2" t="s">
        <v>18</v>
      </c>
    </row>
    <row r="54" spans="2:24" x14ac:dyDescent="0.3">
      <c r="H54" s="2" t="s">
        <v>6</v>
      </c>
      <c r="I54" s="2" t="s">
        <v>19</v>
      </c>
      <c r="J54" s="2" t="s">
        <v>7</v>
      </c>
      <c r="K54" s="2" t="s">
        <v>20</v>
      </c>
      <c r="L54" s="2" t="s">
        <v>21</v>
      </c>
    </row>
    <row r="55" spans="2:24" x14ac:dyDescent="0.3">
      <c r="I55" s="2" t="s">
        <v>19</v>
      </c>
      <c r="J55" s="2" t="s">
        <v>8</v>
      </c>
      <c r="K55" s="2" t="s">
        <v>22</v>
      </c>
    </row>
    <row r="57" spans="2:24" x14ac:dyDescent="0.3">
      <c r="H57" s="2" t="s">
        <v>7</v>
      </c>
      <c r="I57" s="2" t="s">
        <v>19</v>
      </c>
      <c r="J57" s="2" t="s">
        <v>8</v>
      </c>
      <c r="K57" s="2" t="s">
        <v>23</v>
      </c>
      <c r="L57" s="2" t="s">
        <v>24</v>
      </c>
    </row>
    <row r="62" spans="2:24" ht="28.2" x14ac:dyDescent="0.3">
      <c r="H62" s="2" t="s">
        <v>25</v>
      </c>
      <c r="J62" s="2" t="s">
        <v>6</v>
      </c>
      <c r="K62" s="10" t="s">
        <v>26</v>
      </c>
      <c r="X62" s="10"/>
    </row>
    <row r="63" spans="2:24" ht="28.2" x14ac:dyDescent="0.3">
      <c r="J63" s="2" t="s">
        <v>7</v>
      </c>
      <c r="K63" s="10" t="s">
        <v>27</v>
      </c>
      <c r="X63" s="10"/>
    </row>
    <row r="64" spans="2:24" ht="28.2" x14ac:dyDescent="0.3">
      <c r="J64" s="2" t="s">
        <v>8</v>
      </c>
      <c r="K64" s="10" t="s">
        <v>28</v>
      </c>
    </row>
  </sheetData>
  <phoneticPr fontId="19" type="noConversion"/>
  <hyperlinks>
    <hyperlink ref="H52" r:id="rId1" xr:uid="{00000000-0004-0000-0000-000000000000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8842-40E7-410C-A852-1CC844A2594A}">
  <dimension ref="A2:AB60"/>
  <sheetViews>
    <sheetView tabSelected="1" topLeftCell="A25" zoomScale="90" zoomScaleNormal="90" workbookViewId="0">
      <selection activeCell="I42" sqref="I42"/>
    </sheetView>
  </sheetViews>
  <sheetFormatPr defaultColWidth="10.88671875" defaultRowHeight="14.4" x14ac:dyDescent="0.3"/>
  <cols>
    <col min="1" max="1" width="7.44140625" style="2" customWidth="1"/>
    <col min="2" max="2" width="10.88671875" style="2"/>
    <col min="3" max="8" width="15.33203125" style="2" customWidth="1"/>
    <col min="9" max="9" width="16.5546875" style="2" customWidth="1"/>
    <col min="10" max="10" width="17.44140625" style="2" customWidth="1"/>
    <col min="11" max="11" width="14.44140625" style="2" customWidth="1"/>
    <col min="12" max="12" width="14.6640625" style="2" customWidth="1"/>
    <col min="13" max="13" width="15" style="2" customWidth="1"/>
    <col min="14" max="14" width="16.44140625" style="2" customWidth="1"/>
    <col min="15" max="15" width="15.109375" style="2" customWidth="1"/>
    <col min="16" max="16" width="15.21875" style="2" customWidth="1"/>
    <col min="17" max="17" width="20" style="2" customWidth="1"/>
    <col min="22" max="16384" width="10.88671875" style="2"/>
  </cols>
  <sheetData>
    <row r="2" spans="1:16" x14ac:dyDescent="0.3">
      <c r="A2" s="14"/>
      <c r="B2" s="6" t="s">
        <v>9</v>
      </c>
      <c r="C2" s="6" t="s">
        <v>108</v>
      </c>
      <c r="D2" s="6" t="s">
        <v>97</v>
      </c>
      <c r="E2" s="6" t="s">
        <v>143</v>
      </c>
      <c r="F2" s="6" t="s">
        <v>144</v>
      </c>
      <c r="G2" s="6" t="s">
        <v>145</v>
      </c>
      <c r="H2" s="6" t="s">
        <v>146</v>
      </c>
      <c r="I2" s="12" t="s">
        <v>147</v>
      </c>
      <c r="J2" s="12" t="s">
        <v>148</v>
      </c>
      <c r="K2" s="12" t="s">
        <v>149</v>
      </c>
      <c r="L2" s="12" t="s">
        <v>150</v>
      </c>
      <c r="M2" s="6" t="s">
        <v>151</v>
      </c>
      <c r="N2" s="6" t="s">
        <v>152</v>
      </c>
      <c r="O2" s="6" t="s">
        <v>153</v>
      </c>
      <c r="P2" s="6" t="s">
        <v>154</v>
      </c>
    </row>
    <row r="3" spans="1:16" x14ac:dyDescent="0.3">
      <c r="A3" s="15"/>
      <c r="B3" s="6">
        <v>1</v>
      </c>
      <c r="C3" s="6">
        <v>274000000</v>
      </c>
      <c r="D3" s="6">
        <v>248900000</v>
      </c>
      <c r="E3" s="6">
        <v>193100000</v>
      </c>
      <c r="F3" s="6">
        <v>183200000</v>
      </c>
      <c r="G3" s="6">
        <v>179800000</v>
      </c>
      <c r="H3" s="12">
        <v>136500000</v>
      </c>
      <c r="I3" s="12">
        <v>249100000</v>
      </c>
      <c r="J3" s="12">
        <v>208700000</v>
      </c>
      <c r="K3" s="12">
        <v>251000000</v>
      </c>
      <c r="L3" s="12">
        <v>210000000</v>
      </c>
      <c r="M3" s="6">
        <v>207800000</v>
      </c>
      <c r="N3" s="6">
        <v>245300000</v>
      </c>
      <c r="O3" s="6">
        <v>258800000</v>
      </c>
      <c r="P3" s="6">
        <v>261100000</v>
      </c>
    </row>
    <row r="4" spans="1:16" x14ac:dyDescent="0.3">
      <c r="A4" s="15"/>
      <c r="B4" s="6">
        <v>2</v>
      </c>
      <c r="C4" s="6">
        <v>268400000</v>
      </c>
      <c r="D4" s="6">
        <v>230900000</v>
      </c>
      <c r="E4" s="6">
        <v>203100000</v>
      </c>
      <c r="F4" s="6">
        <v>166900000</v>
      </c>
      <c r="G4" s="6">
        <v>136900000</v>
      </c>
      <c r="H4" s="12">
        <v>138900000</v>
      </c>
      <c r="I4" s="12">
        <v>267300000</v>
      </c>
      <c r="J4" s="12">
        <v>258400000</v>
      </c>
      <c r="K4" s="12">
        <v>280500000</v>
      </c>
      <c r="L4" s="12">
        <v>263900000</v>
      </c>
      <c r="M4" s="6">
        <v>243800000</v>
      </c>
      <c r="N4" s="6">
        <v>259500000</v>
      </c>
      <c r="O4" s="6">
        <v>207500000</v>
      </c>
      <c r="P4" s="6">
        <v>211400000</v>
      </c>
    </row>
    <row r="5" spans="1:16" x14ac:dyDescent="0.3">
      <c r="A5" s="15"/>
      <c r="B5" s="6">
        <v>3</v>
      </c>
      <c r="C5" s="6">
        <v>260600000</v>
      </c>
      <c r="D5" s="6">
        <v>256800000</v>
      </c>
      <c r="E5" s="6">
        <v>199500000</v>
      </c>
      <c r="F5" s="6">
        <v>193800000</v>
      </c>
      <c r="G5" s="6">
        <v>209700000</v>
      </c>
      <c r="H5" s="12">
        <v>151000000</v>
      </c>
      <c r="I5" s="12">
        <v>206600000</v>
      </c>
      <c r="J5" s="12">
        <v>232800000</v>
      </c>
      <c r="K5" s="12">
        <v>269400000</v>
      </c>
      <c r="L5" s="12">
        <v>249000000</v>
      </c>
      <c r="M5" s="6">
        <v>262800000</v>
      </c>
      <c r="N5" s="6">
        <v>297500000</v>
      </c>
      <c r="O5" s="6">
        <v>221700000</v>
      </c>
      <c r="P5" s="6">
        <v>224800000</v>
      </c>
    </row>
    <row r="6" spans="1:16" x14ac:dyDescent="0.3">
      <c r="A6" s="15"/>
      <c r="B6" s="6">
        <v>4</v>
      </c>
      <c r="C6" s="6">
        <v>249700000</v>
      </c>
      <c r="D6" s="6">
        <v>269000000</v>
      </c>
      <c r="E6" s="6">
        <v>203900000</v>
      </c>
      <c r="F6" s="6">
        <v>219900000</v>
      </c>
      <c r="G6" s="6">
        <v>210300000</v>
      </c>
      <c r="H6" s="6">
        <v>206600000</v>
      </c>
      <c r="I6" s="6">
        <v>224800000</v>
      </c>
      <c r="J6" s="6">
        <v>243300000</v>
      </c>
      <c r="K6" s="6">
        <v>221900000</v>
      </c>
      <c r="L6" s="6">
        <v>236800000</v>
      </c>
      <c r="M6" s="6">
        <v>237100000</v>
      </c>
      <c r="N6" s="6">
        <v>209100000</v>
      </c>
      <c r="O6" s="6">
        <v>234400000</v>
      </c>
      <c r="P6" s="6">
        <v>280300000</v>
      </c>
    </row>
    <row r="7" spans="1:16" x14ac:dyDescent="0.3">
      <c r="A7" s="15"/>
      <c r="B7" s="6" t="s">
        <v>10</v>
      </c>
      <c r="C7" s="6">
        <f>AVERAGE(C3:C6)</f>
        <v>263175000</v>
      </c>
      <c r="D7" s="6">
        <f t="shared" ref="D7:H7" si="0">AVERAGE(D3:D6)</f>
        <v>251400000</v>
      </c>
      <c r="E7" s="6">
        <f t="shared" si="0"/>
        <v>199900000</v>
      </c>
      <c r="F7" s="6">
        <f t="shared" si="0"/>
        <v>190950000</v>
      </c>
      <c r="G7" s="6">
        <f t="shared" si="0"/>
        <v>184175000</v>
      </c>
      <c r="H7" s="6">
        <f t="shared" si="0"/>
        <v>158250000</v>
      </c>
      <c r="I7" s="6">
        <f t="shared" ref="I7:K7" si="1">AVERAGE(I3:I6)</f>
        <v>236950000</v>
      </c>
      <c r="J7" s="6">
        <f t="shared" si="1"/>
        <v>235800000</v>
      </c>
      <c r="K7" s="6">
        <f t="shared" si="1"/>
        <v>255700000</v>
      </c>
      <c r="L7" s="6">
        <f t="shared" ref="L7:M7" si="2">AVERAGE(L3:L6)</f>
        <v>239925000</v>
      </c>
      <c r="M7" s="6">
        <f t="shared" si="2"/>
        <v>237875000</v>
      </c>
      <c r="N7" s="6">
        <f t="shared" ref="N7:P7" si="3">AVERAGE(N3:N6)</f>
        <v>252850000</v>
      </c>
      <c r="O7" s="6">
        <f t="shared" si="3"/>
        <v>230600000</v>
      </c>
      <c r="P7" s="6">
        <f t="shared" si="3"/>
        <v>244400000</v>
      </c>
    </row>
    <row r="8" spans="1:16" x14ac:dyDescent="0.3">
      <c r="A8" s="15"/>
      <c r="B8" s="6" t="s">
        <v>11</v>
      </c>
      <c r="C8" s="6">
        <f>STDEV(C3:C6)</f>
        <v>10530709.061280409</v>
      </c>
      <c r="D8" s="6">
        <f t="shared" ref="D8:H8" si="4">STDEV(D3:D6)</f>
        <v>15973102.391207539</v>
      </c>
      <c r="E8" s="6">
        <f t="shared" si="4"/>
        <v>4920704.5565989157</v>
      </c>
      <c r="F8" s="6">
        <f t="shared" si="4"/>
        <v>22246273.096109081</v>
      </c>
      <c r="G8" s="6">
        <f t="shared" si="4"/>
        <v>34583751.001493946</v>
      </c>
      <c r="H8" s="6">
        <f t="shared" si="4"/>
        <v>32852042.047134098</v>
      </c>
      <c r="I8" s="6">
        <f t="shared" ref="I8:K8" si="5">STDEV(I3:I6)</f>
        <v>26692633.190951142</v>
      </c>
      <c r="J8" s="6">
        <f t="shared" si="5"/>
        <v>20899920.255031276</v>
      </c>
      <c r="K8" s="6">
        <f t="shared" si="5"/>
        <v>25607681.139324844</v>
      </c>
      <c r="L8" s="6">
        <f t="shared" ref="L8:M8" si="6">STDEV(L3:L6)</f>
        <v>22821243.758101061</v>
      </c>
      <c r="M8" s="6">
        <f t="shared" si="6"/>
        <v>22814231.669435345</v>
      </c>
      <c r="N8" s="6">
        <f t="shared" ref="N8:P8" si="7">STDEV(N3:N6)</f>
        <v>36555482.944878913</v>
      </c>
      <c r="O8" s="6">
        <f t="shared" si="7"/>
        <v>21775368.347439423</v>
      </c>
      <c r="P8" s="6">
        <f t="shared" si="7"/>
        <v>31837399.391281944</v>
      </c>
    </row>
    <row r="9" spans="1:16" x14ac:dyDescent="0.3">
      <c r="A9" s="15"/>
    </row>
    <row r="10" spans="1:16" x14ac:dyDescent="0.3">
      <c r="A10" s="15"/>
      <c r="B10" s="2" t="s">
        <v>155</v>
      </c>
      <c r="I10" s="13"/>
      <c r="J10" s="13"/>
      <c r="K10" s="13"/>
      <c r="L10" s="13"/>
    </row>
    <row r="11" spans="1:16" x14ac:dyDescent="0.3">
      <c r="A11" s="14"/>
      <c r="B11" s="6" t="s">
        <v>9</v>
      </c>
      <c r="C11" s="6" t="s">
        <v>108</v>
      </c>
      <c r="D11" s="6" t="s">
        <v>97</v>
      </c>
      <c r="E11" s="6" t="s">
        <v>143</v>
      </c>
      <c r="F11" s="6" t="s">
        <v>144</v>
      </c>
      <c r="G11" s="6" t="s">
        <v>145</v>
      </c>
      <c r="H11" s="6" t="s">
        <v>146</v>
      </c>
      <c r="I11" s="12" t="s">
        <v>147</v>
      </c>
      <c r="J11" s="12" t="s">
        <v>148</v>
      </c>
      <c r="K11" s="12" t="s">
        <v>149</v>
      </c>
      <c r="L11" s="12" t="s">
        <v>150</v>
      </c>
      <c r="M11" s="6" t="s">
        <v>151</v>
      </c>
      <c r="N11" s="6" t="s">
        <v>152</v>
      </c>
      <c r="O11" s="6" t="s">
        <v>153</v>
      </c>
      <c r="P11" s="6" t="s">
        <v>154</v>
      </c>
    </row>
    <row r="12" spans="1:16" x14ac:dyDescent="0.3">
      <c r="A12" s="15"/>
      <c r="B12" s="6"/>
      <c r="C12" s="6"/>
      <c r="D12" s="6"/>
      <c r="E12" s="6"/>
      <c r="F12" s="6"/>
      <c r="G12" s="6"/>
      <c r="H12" s="12"/>
      <c r="I12" s="12"/>
      <c r="J12" s="12"/>
      <c r="K12" s="12"/>
      <c r="L12" s="12"/>
      <c r="M12" s="12"/>
      <c r="N12" s="12"/>
      <c r="O12" s="12"/>
      <c r="P12" s="6"/>
    </row>
    <row r="13" spans="1:16" x14ac:dyDescent="0.3">
      <c r="A13" s="15"/>
      <c r="B13" s="6">
        <v>1</v>
      </c>
      <c r="C13" s="6">
        <f t="shared" ref="C13:H16" si="8">C3/(($C$7+$D$7)/2)</f>
        <v>1.0649565175144537</v>
      </c>
      <c r="D13" s="6">
        <f t="shared" si="8"/>
        <v>0.96740028178593984</v>
      </c>
      <c r="E13" s="6">
        <f t="shared" si="8"/>
        <v>0.75052227566438323</v>
      </c>
      <c r="F13" s="6">
        <f t="shared" si="8"/>
        <v>0.71204391973959091</v>
      </c>
      <c r="G13" s="6">
        <f t="shared" si="8"/>
        <v>0.69882913083612686</v>
      </c>
      <c r="H13" s="12">
        <f t="shared" si="8"/>
        <v>0.53053490744789389</v>
      </c>
      <c r="I13" s="12">
        <f t="shared" ref="I13:P13" si="9">I3/(($C$7+$D$7)/2)</f>
        <v>0.96817762230967308</v>
      </c>
      <c r="J13" s="12">
        <f t="shared" si="9"/>
        <v>0.81115483651557108</v>
      </c>
      <c r="K13" s="12">
        <f t="shared" si="9"/>
        <v>0.97556235728513818</v>
      </c>
      <c r="L13" s="12">
        <f t="shared" si="9"/>
        <v>0.81620754991983679</v>
      </c>
      <c r="M13" s="12">
        <f t="shared" si="9"/>
        <v>0.80765680415877183</v>
      </c>
      <c r="N13" s="12">
        <f t="shared" si="9"/>
        <v>0.95340815235874266</v>
      </c>
      <c r="O13" s="12">
        <f t="shared" si="9"/>
        <v>1.005878637710732</v>
      </c>
      <c r="P13" s="6">
        <f t="shared" si="9"/>
        <v>1.0148180537336637</v>
      </c>
    </row>
    <row r="14" spans="1:16" x14ac:dyDescent="0.3">
      <c r="A14" s="15"/>
      <c r="B14" s="6">
        <v>2</v>
      </c>
      <c r="C14" s="6">
        <f t="shared" si="8"/>
        <v>1.0431909828499246</v>
      </c>
      <c r="D14" s="6">
        <f t="shared" si="8"/>
        <v>0.8974396346499538</v>
      </c>
      <c r="E14" s="6">
        <f t="shared" si="8"/>
        <v>0.78938930185104217</v>
      </c>
      <c r="F14" s="6">
        <f t="shared" si="8"/>
        <v>0.64869066705533696</v>
      </c>
      <c r="G14" s="6">
        <f t="shared" si="8"/>
        <v>0.53208958849536026</v>
      </c>
      <c r="H14" s="12">
        <f t="shared" si="8"/>
        <v>0.53986299373269198</v>
      </c>
      <c r="I14" s="12">
        <f t="shared" ref="I14:P14" si="10">I4/(($C$7+$D$7)/2)</f>
        <v>1.0389156099693921</v>
      </c>
      <c r="J14" s="12">
        <f t="shared" si="10"/>
        <v>1.0043239566632658</v>
      </c>
      <c r="K14" s="12">
        <f t="shared" si="10"/>
        <v>1.0902200845357819</v>
      </c>
      <c r="L14" s="12">
        <f t="shared" si="10"/>
        <v>1.0257008210659282</v>
      </c>
      <c r="M14" s="12">
        <f t="shared" si="10"/>
        <v>0.94757809843074381</v>
      </c>
      <c r="N14" s="12">
        <f t="shared" si="10"/>
        <v>1.0085993295437983</v>
      </c>
      <c r="O14" s="12">
        <f t="shared" si="10"/>
        <v>0.80649079337317209</v>
      </c>
      <c r="P14" s="6">
        <f t="shared" si="10"/>
        <v>0.82164893358596902</v>
      </c>
    </row>
    <row r="15" spans="1:16" x14ac:dyDescent="0.3">
      <c r="A15" s="15"/>
      <c r="B15" s="6">
        <v>3</v>
      </c>
      <c r="C15" s="6">
        <f t="shared" si="8"/>
        <v>1.0128747024243308</v>
      </c>
      <c r="D15" s="6">
        <f t="shared" si="8"/>
        <v>0.99810523247340033</v>
      </c>
      <c r="E15" s="6">
        <f t="shared" si="8"/>
        <v>0.77539717242384487</v>
      </c>
      <c r="F15" s="6">
        <f t="shared" si="8"/>
        <v>0.75324296749744934</v>
      </c>
      <c r="G15" s="6">
        <f t="shared" si="8"/>
        <v>0.81504153913423694</v>
      </c>
      <c r="H15" s="12">
        <f t="shared" si="8"/>
        <v>0.58689209541854925</v>
      </c>
      <c r="I15" s="12">
        <f t="shared" ref="I15:P15" si="11">I5/(($C$7+$D$7)/2)</f>
        <v>0.80299276101637274</v>
      </c>
      <c r="J15" s="12">
        <f t="shared" si="11"/>
        <v>0.90482436962541901</v>
      </c>
      <c r="K15" s="12">
        <f t="shared" si="11"/>
        <v>1.0470776854685906</v>
      </c>
      <c r="L15" s="12">
        <f t="shared" si="11"/>
        <v>0.96778895204780646</v>
      </c>
      <c r="M15" s="12">
        <f t="shared" si="11"/>
        <v>1.0214254481853957</v>
      </c>
      <c r="N15" s="12">
        <f t="shared" si="11"/>
        <v>1.1562940290531021</v>
      </c>
      <c r="O15" s="12">
        <f t="shared" si="11"/>
        <v>0.86168197055822771</v>
      </c>
      <c r="P15" s="6">
        <f t="shared" si="11"/>
        <v>0.87373074867609191</v>
      </c>
    </row>
    <row r="16" spans="1:16" x14ac:dyDescent="0.3">
      <c r="A16" s="15"/>
      <c r="B16" s="6">
        <v>4</v>
      </c>
      <c r="C16" s="6">
        <f t="shared" si="8"/>
        <v>0.97050964388087257</v>
      </c>
      <c r="D16" s="6">
        <f t="shared" si="8"/>
        <v>1.0455230044211243</v>
      </c>
      <c r="E16" s="6">
        <f t="shared" si="8"/>
        <v>0.79249866394597479</v>
      </c>
      <c r="F16" s="6">
        <f t="shared" si="8"/>
        <v>0.85468590584462911</v>
      </c>
      <c r="G16" s="6">
        <f t="shared" si="8"/>
        <v>0.81737356070543654</v>
      </c>
      <c r="H16" s="6">
        <f t="shared" si="8"/>
        <v>0.80299276101637274</v>
      </c>
      <c r="I16" s="6">
        <f t="shared" ref="I16:P16" si="12">I6/(($C$7+$D$7)/2)</f>
        <v>0.87373074867609191</v>
      </c>
      <c r="J16" s="6">
        <f t="shared" si="12"/>
        <v>0.94563474712141082</v>
      </c>
      <c r="K16" s="6">
        <f t="shared" si="12"/>
        <v>0.86245931108196083</v>
      </c>
      <c r="L16" s="6">
        <f t="shared" si="12"/>
        <v>0.92037118010008256</v>
      </c>
      <c r="M16" s="6">
        <f t="shared" si="12"/>
        <v>0.92153719088568231</v>
      </c>
      <c r="N16" s="6">
        <f t="shared" si="12"/>
        <v>0.81270951756303744</v>
      </c>
      <c r="O16" s="6">
        <f t="shared" si="12"/>
        <v>0.91104309381528448</v>
      </c>
      <c r="P16" s="6">
        <f t="shared" si="12"/>
        <v>1.0894427440120489</v>
      </c>
    </row>
    <row r="17" spans="1:16" x14ac:dyDescent="0.3">
      <c r="A17" s="15"/>
      <c r="B17" s="6" t="s">
        <v>10</v>
      </c>
      <c r="C17" s="6">
        <f t="shared" ref="C17:H17" si="13">AVERAGE(C13:C16)</f>
        <v>1.0228829616673953</v>
      </c>
      <c r="D17" s="6">
        <f t="shared" si="13"/>
        <v>0.97711703833260466</v>
      </c>
      <c r="E17" s="6">
        <f t="shared" si="13"/>
        <v>0.77695185347131124</v>
      </c>
      <c r="F17" s="6">
        <f t="shared" si="13"/>
        <v>0.74216586503425153</v>
      </c>
      <c r="G17" s="6">
        <f t="shared" si="13"/>
        <v>0.71583345479279026</v>
      </c>
      <c r="H17" s="6">
        <f t="shared" si="13"/>
        <v>0.61507068940387699</v>
      </c>
      <c r="I17" s="6">
        <f t="shared" ref="I17:P17" si="14">AVERAGE(I13:I16)</f>
        <v>0.92095418549288244</v>
      </c>
      <c r="J17" s="6">
        <f t="shared" si="14"/>
        <v>0.9164844774814167</v>
      </c>
      <c r="K17" s="6">
        <f t="shared" si="14"/>
        <v>0.99382985959286785</v>
      </c>
      <c r="L17" s="6">
        <f t="shared" si="14"/>
        <v>0.9325171257834135</v>
      </c>
      <c r="M17" s="6">
        <f t="shared" si="14"/>
        <v>0.92454938541514842</v>
      </c>
      <c r="N17" s="6">
        <f t="shared" si="14"/>
        <v>0.98275275712967014</v>
      </c>
      <c r="O17" s="6">
        <f t="shared" si="14"/>
        <v>0.89627362386435405</v>
      </c>
      <c r="P17" s="6">
        <f t="shared" si="14"/>
        <v>0.94991012000194341</v>
      </c>
    </row>
    <row r="18" spans="1:16" x14ac:dyDescent="0.3">
      <c r="A18" s="29"/>
      <c r="B18" s="6" t="s">
        <v>11</v>
      </c>
      <c r="C18" s="6">
        <f t="shared" ref="C18:H18" si="15">STDEV(C13:C16)</f>
        <v>4.0929734484887188E-2</v>
      </c>
      <c r="D18" s="6">
        <f t="shared" si="15"/>
        <v>6.2082698892124769E-2</v>
      </c>
      <c r="E18" s="6">
        <f t="shared" si="15"/>
        <v>1.9125315285814178E-2</v>
      </c>
      <c r="F18" s="6">
        <f t="shared" si="15"/>
        <v>8.6464647898203989E-2</v>
      </c>
      <c r="G18" s="6">
        <f t="shared" si="15"/>
        <v>0.13441675558079486</v>
      </c>
      <c r="H18" s="6">
        <f t="shared" si="15"/>
        <v>0.12768611785311781</v>
      </c>
      <c r="I18" s="6">
        <f t="shared" ref="I18:P18" si="16">STDEV(I13:I16)</f>
        <v>0.10374632732235782</v>
      </c>
      <c r="J18" s="6">
        <f t="shared" si="16"/>
        <v>8.1231774785138336E-2</v>
      </c>
      <c r="K18" s="6">
        <f t="shared" si="16"/>
        <v>9.9529441342174965E-2</v>
      </c>
      <c r="L18" s="6">
        <f t="shared" si="16"/>
        <v>8.869938787582396E-2</v>
      </c>
      <c r="M18" s="6">
        <f t="shared" si="16"/>
        <v>8.8672133972444611E-2</v>
      </c>
      <c r="N18" s="6">
        <f t="shared" si="16"/>
        <v>0.14208029128845678</v>
      </c>
      <c r="O18" s="6">
        <f t="shared" si="16"/>
        <v>8.4634381178407048E-2</v>
      </c>
      <c r="P18" s="6">
        <f t="shared" si="16"/>
        <v>0.12374250358560723</v>
      </c>
    </row>
    <row r="20" spans="1:16" x14ac:dyDescent="0.3">
      <c r="B20" s="5" t="s">
        <v>13</v>
      </c>
    </row>
    <row r="22" spans="1:16" x14ac:dyDescent="0.3">
      <c r="B22" s="6" t="s">
        <v>9</v>
      </c>
      <c r="C22" s="6" t="s">
        <v>74</v>
      </c>
      <c r="D22" s="6" t="s">
        <v>156</v>
      </c>
      <c r="E22" s="12" t="s">
        <v>157</v>
      </c>
      <c r="F22" s="12" t="s">
        <v>141</v>
      </c>
      <c r="G22" s="6" t="s">
        <v>121</v>
      </c>
      <c r="L22" s="1"/>
    </row>
    <row r="23" spans="1:16" x14ac:dyDescent="0.3">
      <c r="B23" s="6" t="s">
        <v>14</v>
      </c>
      <c r="C23" s="6">
        <f>C7</f>
        <v>263175000</v>
      </c>
      <c r="D23" s="6">
        <v>199900000</v>
      </c>
      <c r="E23" s="12">
        <v>236950000</v>
      </c>
      <c r="F23" s="12">
        <v>255700000</v>
      </c>
      <c r="G23" s="6">
        <v>237875000</v>
      </c>
    </row>
    <row r="24" spans="1:16" x14ac:dyDescent="0.3">
      <c r="B24" s="6" t="s">
        <v>15</v>
      </c>
      <c r="C24" s="6">
        <v>251400000</v>
      </c>
      <c r="D24" s="6">
        <v>190950000</v>
      </c>
      <c r="E24" s="12">
        <v>235800000</v>
      </c>
      <c r="F24" s="12">
        <v>239925000</v>
      </c>
      <c r="G24" s="6">
        <v>252850000</v>
      </c>
    </row>
    <row r="25" spans="1:16" x14ac:dyDescent="0.3">
      <c r="B25" s="6" t="s">
        <v>158</v>
      </c>
      <c r="C25" s="6">
        <v>188275000</v>
      </c>
      <c r="D25" s="6">
        <v>184175000</v>
      </c>
      <c r="E25" s="12">
        <v>171475000</v>
      </c>
      <c r="F25" s="12">
        <v>190175000</v>
      </c>
      <c r="G25" s="6">
        <v>230600000</v>
      </c>
    </row>
    <row r="26" spans="1:16" x14ac:dyDescent="0.3">
      <c r="B26" s="6" t="s">
        <v>159</v>
      </c>
      <c r="C26" s="6">
        <v>179100000</v>
      </c>
      <c r="D26" s="6">
        <v>158250000</v>
      </c>
      <c r="E26" s="12">
        <v>187075000</v>
      </c>
      <c r="F26" s="12">
        <v>174800000</v>
      </c>
      <c r="G26" s="6">
        <v>244400000</v>
      </c>
    </row>
    <row r="27" spans="1:16" x14ac:dyDescent="0.3">
      <c r="B27" s="6" t="s">
        <v>160</v>
      </c>
      <c r="C27" s="6">
        <v>241425000</v>
      </c>
      <c r="D27" s="6">
        <v>157825000</v>
      </c>
      <c r="E27" s="12"/>
      <c r="F27" s="12"/>
      <c r="G27" s="6">
        <v>271825000</v>
      </c>
    </row>
    <row r="28" spans="1:16" x14ac:dyDescent="0.3">
      <c r="B28" s="6" t="s">
        <v>161</v>
      </c>
      <c r="C28" s="6">
        <v>273300000</v>
      </c>
      <c r="D28" s="6">
        <v>163475000</v>
      </c>
      <c r="E28" s="12"/>
      <c r="F28" s="12"/>
      <c r="G28" s="6">
        <v>261750000</v>
      </c>
    </row>
    <row r="29" spans="1:16" x14ac:dyDescent="0.3">
      <c r="B29" s="6"/>
      <c r="C29" s="6"/>
      <c r="D29" s="6"/>
      <c r="E29" s="12"/>
      <c r="F29" s="12"/>
      <c r="G29" s="6"/>
    </row>
    <row r="30" spans="1:16" x14ac:dyDescent="0.3">
      <c r="B30" s="6" t="s">
        <v>10</v>
      </c>
      <c r="C30" s="6">
        <f>AVERAGE(C23:C28)</f>
        <v>232779166.66666666</v>
      </c>
      <c r="D30" s="6">
        <f t="shared" ref="D30:G30" si="17">AVERAGE(D23:D28)</f>
        <v>175762500</v>
      </c>
      <c r="E30" s="6">
        <f t="shared" si="17"/>
        <v>207825000</v>
      </c>
      <c r="F30" s="6">
        <f t="shared" si="17"/>
        <v>215150000</v>
      </c>
      <c r="G30" s="6">
        <f t="shared" si="17"/>
        <v>249883333.33333334</v>
      </c>
    </row>
    <row r="31" spans="1:16" x14ac:dyDescent="0.3">
      <c r="B31" s="6" t="s">
        <v>11</v>
      </c>
      <c r="C31" s="6">
        <f>STDEV(C23:C28)</f>
        <v>39621721.999007925</v>
      </c>
      <c r="D31" s="6">
        <f t="shared" ref="D31:G31" si="18">STDEV(D23:D28)</f>
        <v>18239920.161557727</v>
      </c>
      <c r="E31" s="6">
        <f t="shared" si="18"/>
        <v>33579513.844009116</v>
      </c>
      <c r="F31" s="6">
        <f t="shared" si="18"/>
        <v>38772740.639096774</v>
      </c>
      <c r="G31" s="6">
        <f t="shared" si="18"/>
        <v>15343855.990808394</v>
      </c>
    </row>
    <row r="34" spans="1:28" x14ac:dyDescent="0.3">
      <c r="B34" s="6" t="s">
        <v>9</v>
      </c>
      <c r="C34" s="6" t="s">
        <v>74</v>
      </c>
      <c r="D34" s="6" t="s">
        <v>156</v>
      </c>
      <c r="E34" s="12" t="s">
        <v>157</v>
      </c>
      <c r="F34" s="12" t="s">
        <v>141</v>
      </c>
      <c r="G34" s="6" t="s">
        <v>121</v>
      </c>
    </row>
    <row r="35" spans="1:28" x14ac:dyDescent="0.3">
      <c r="B35" s="6" t="s">
        <v>14</v>
      </c>
      <c r="C35" s="6">
        <v>1.0228829616673953</v>
      </c>
      <c r="D35" s="6">
        <v>0.77695185347131124</v>
      </c>
      <c r="E35" s="12">
        <v>0.92095418549288244</v>
      </c>
      <c r="F35" s="6">
        <v>0.99382985959286785</v>
      </c>
      <c r="G35" s="6">
        <v>0.92454938541514842</v>
      </c>
    </row>
    <row r="36" spans="1:28" x14ac:dyDescent="0.3">
      <c r="B36" s="6" t="s">
        <v>15</v>
      </c>
      <c r="C36" s="6">
        <v>0.97711703833260466</v>
      </c>
      <c r="D36" s="6">
        <v>0.74216586503425153</v>
      </c>
      <c r="E36" s="12">
        <v>0.9164844774814167</v>
      </c>
      <c r="F36" s="6">
        <v>0.9325171257834135</v>
      </c>
      <c r="G36" s="6">
        <v>0.98275275712967014</v>
      </c>
    </row>
    <row r="37" spans="1:28" x14ac:dyDescent="0.3">
      <c r="B37" s="6" t="s">
        <v>158</v>
      </c>
      <c r="C37" s="6">
        <v>1.024974481116026</v>
      </c>
      <c r="D37" s="6">
        <v>0.71583345479279026</v>
      </c>
      <c r="E37" s="12">
        <v>0.933514800952705</v>
      </c>
      <c r="F37" s="6">
        <v>1.035318135420211</v>
      </c>
      <c r="G37" s="6">
        <v>0.89627362386435405</v>
      </c>
    </row>
    <row r="38" spans="1:28" x14ac:dyDescent="0.3">
      <c r="B38" s="6" t="s">
        <v>159</v>
      </c>
      <c r="C38" s="6">
        <v>0.97502551888397404</v>
      </c>
      <c r="D38" s="6">
        <v>0.61507068940387699</v>
      </c>
      <c r="E38" s="12">
        <v>1.0184416468186459</v>
      </c>
      <c r="F38" s="6">
        <v>0.95161619598502889</v>
      </c>
      <c r="G38" s="6">
        <v>0.94991012000194341</v>
      </c>
    </row>
    <row r="39" spans="1:28" x14ac:dyDescent="0.3">
      <c r="B39" s="6" t="s">
        <v>160</v>
      </c>
      <c r="C39" s="6">
        <v>0.93807372869007732</v>
      </c>
      <c r="D39" s="6">
        <v>0.85920381082000685</v>
      </c>
      <c r="E39" s="12"/>
      <c r="F39" s="6"/>
      <c r="G39" s="6">
        <v>1.0561950556122202</v>
      </c>
    </row>
    <row r="40" spans="1:28" x14ac:dyDescent="0.3">
      <c r="B40" s="6" t="s">
        <v>161</v>
      </c>
      <c r="C40" s="6">
        <v>1.0619262713099227</v>
      </c>
      <c r="D40" s="6">
        <v>0.88996257230350462</v>
      </c>
      <c r="E40" s="12"/>
      <c r="F40" s="6"/>
      <c r="G40" s="6">
        <v>1.0170479382194375</v>
      </c>
    </row>
    <row r="41" spans="1:28" x14ac:dyDescent="0.3">
      <c r="B41" s="6"/>
      <c r="C41" s="6"/>
      <c r="D41" s="6"/>
      <c r="E41" s="12"/>
      <c r="F41" s="6"/>
      <c r="G41" s="6"/>
    </row>
    <row r="42" spans="1:28" x14ac:dyDescent="0.3">
      <c r="B42" s="6" t="s">
        <v>10</v>
      </c>
      <c r="C42" s="6">
        <f>AVERAGE(C35:C40)</f>
        <v>1</v>
      </c>
      <c r="D42" s="6">
        <f t="shared" ref="D42:G42" si="19">AVERAGE(D35:D40)</f>
        <v>0.7665313743042903</v>
      </c>
      <c r="E42" s="6">
        <f t="shared" si="19"/>
        <v>0.94734877768641246</v>
      </c>
      <c r="F42" s="6">
        <f t="shared" si="19"/>
        <v>0.97832032919538037</v>
      </c>
      <c r="G42" s="6">
        <f t="shared" si="19"/>
        <v>0.97112148004046228</v>
      </c>
    </row>
    <row r="43" spans="1:28" x14ac:dyDescent="0.3">
      <c r="B43" s="6" t="s">
        <v>11</v>
      </c>
      <c r="C43" s="6">
        <f>STDEV(C35:C40)</f>
        <v>4.4641763943806582E-2</v>
      </c>
      <c r="D43" s="6">
        <f t="shared" ref="D43:G43" si="20">STDEV(D35:D40)</f>
        <v>0.10003631707598555</v>
      </c>
      <c r="E43" s="6">
        <f t="shared" si="20"/>
        <v>4.7940429972791881E-2</v>
      </c>
      <c r="F43" s="6">
        <f>STDEV(F35:F40)</f>
        <v>4.5826992122213084E-2</v>
      </c>
      <c r="G43" s="6">
        <f t="shared" si="20"/>
        <v>5.9503147471015247E-2</v>
      </c>
    </row>
    <row r="45" spans="1:28" x14ac:dyDescent="0.3">
      <c r="C45" s="2" t="s">
        <v>41</v>
      </c>
      <c r="D45" s="2" t="s">
        <v>41</v>
      </c>
      <c r="E45" s="2" t="s">
        <v>163</v>
      </c>
      <c r="F45" s="2" t="s">
        <v>163</v>
      </c>
      <c r="G45" s="2" t="s">
        <v>41</v>
      </c>
    </row>
    <row r="47" spans="1:28" x14ac:dyDescent="0.3">
      <c r="B47" s="1" t="s">
        <v>16</v>
      </c>
      <c r="F47"/>
    </row>
    <row r="48" spans="1:28" customFormat="1" x14ac:dyDescent="0.3">
      <c r="A48" s="2"/>
      <c r="B48" s="9" t="s">
        <v>17</v>
      </c>
      <c r="C48" s="2"/>
      <c r="D48" s="2"/>
      <c r="E48" s="2" t="s">
        <v>18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V48" s="2"/>
      <c r="W48" s="2"/>
      <c r="X48" s="2"/>
      <c r="Y48" s="2"/>
      <c r="Z48" s="2"/>
      <c r="AA48" s="2"/>
      <c r="AB48" s="2"/>
    </row>
    <row r="49" spans="1:28" customFormat="1" x14ac:dyDescent="0.3">
      <c r="A49" s="2"/>
      <c r="B49" s="2"/>
      <c r="C49" s="2"/>
      <c r="D49" s="2"/>
      <c r="E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V49" s="2"/>
      <c r="W49" s="2"/>
      <c r="X49" s="2"/>
      <c r="Y49" s="2"/>
      <c r="Z49" s="2"/>
      <c r="AA49" s="2"/>
      <c r="AB49" s="2"/>
    </row>
    <row r="50" spans="1:28" customFormat="1" x14ac:dyDescent="0.3">
      <c r="A50" s="2"/>
      <c r="B50" s="2" t="s">
        <v>6</v>
      </c>
      <c r="C50" s="2" t="s">
        <v>19</v>
      </c>
      <c r="D50" s="2" t="s">
        <v>7</v>
      </c>
      <c r="E50" s="16" t="s">
        <v>39</v>
      </c>
      <c r="F50" s="2" t="s">
        <v>64</v>
      </c>
      <c r="G50" s="2" t="s">
        <v>24</v>
      </c>
      <c r="H50" s="2"/>
      <c r="I50" s="2"/>
      <c r="J50" s="2"/>
      <c r="K50" s="2"/>
      <c r="L50" s="2"/>
      <c r="M50" s="2"/>
      <c r="N50" s="2"/>
      <c r="O50" s="2"/>
      <c r="P50" s="2"/>
      <c r="Q50" s="2"/>
      <c r="V50" s="2"/>
      <c r="W50" s="2"/>
      <c r="X50" s="2"/>
      <c r="Y50" s="2"/>
      <c r="Z50" s="2"/>
      <c r="AA50" s="2"/>
      <c r="AB50" s="2"/>
    </row>
    <row r="51" spans="1:28" customFormat="1" x14ac:dyDescent="0.3">
      <c r="A51" s="2"/>
      <c r="B51" s="2"/>
      <c r="C51" s="2" t="s">
        <v>19</v>
      </c>
      <c r="D51" s="2" t="s">
        <v>8</v>
      </c>
      <c r="E51" s="16" t="s">
        <v>40</v>
      </c>
      <c r="F51" s="2" t="s">
        <v>65</v>
      </c>
      <c r="G51" s="2" t="s">
        <v>21</v>
      </c>
      <c r="I51" s="2"/>
      <c r="J51" s="2"/>
      <c r="K51" s="2"/>
      <c r="L51" s="2"/>
      <c r="M51" s="2"/>
      <c r="N51" s="2"/>
      <c r="O51" s="2"/>
      <c r="P51" s="2"/>
      <c r="Q51" s="2"/>
      <c r="V51" s="2"/>
      <c r="W51" s="2"/>
      <c r="X51" s="2"/>
      <c r="Y51" s="2"/>
      <c r="Z51" s="2"/>
      <c r="AA51" s="2"/>
      <c r="AB51" s="2"/>
    </row>
    <row r="53" spans="1:28" customFormat="1" x14ac:dyDescent="0.3">
      <c r="A53" s="2"/>
      <c r="B53" s="2" t="s">
        <v>7</v>
      </c>
      <c r="C53" s="2" t="s">
        <v>19</v>
      </c>
      <c r="D53" s="2" t="s">
        <v>8</v>
      </c>
      <c r="E53" s="2" t="s">
        <v>60</v>
      </c>
      <c r="F53" s="2" t="s">
        <v>66</v>
      </c>
      <c r="G53" s="2" t="s">
        <v>24</v>
      </c>
      <c r="H53" s="2"/>
      <c r="I53" s="2"/>
      <c r="J53" s="2"/>
      <c r="K53" s="2"/>
      <c r="L53" s="2"/>
      <c r="M53" s="2"/>
      <c r="N53" s="2"/>
      <c r="O53" s="2"/>
      <c r="P53" s="2"/>
      <c r="Q53" s="2"/>
      <c r="V53" s="2"/>
      <c r="W53" s="2"/>
      <c r="X53" s="2"/>
      <c r="Y53" s="2"/>
      <c r="Z53" s="2"/>
      <c r="AA53" s="2"/>
      <c r="AB53" s="2"/>
    </row>
    <row r="56" spans="1:28" customFormat="1" x14ac:dyDescent="0.3">
      <c r="A56" s="2"/>
      <c r="B56" s="2"/>
      <c r="C56" s="2"/>
      <c r="D56" s="2"/>
      <c r="E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V56" s="2"/>
      <c r="W56" s="2"/>
      <c r="X56" s="2"/>
      <c r="Y56" s="2"/>
      <c r="Z56" s="2"/>
      <c r="AA56" s="2"/>
      <c r="AB56" s="2"/>
    </row>
    <row r="57" spans="1:28" customFormat="1" x14ac:dyDescent="0.3">
      <c r="A57" s="2"/>
      <c r="B57" s="2"/>
      <c r="C57" s="2"/>
      <c r="D57" s="2"/>
      <c r="E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V57" s="2"/>
      <c r="W57" s="2"/>
      <c r="X57" s="2"/>
      <c r="Y57" s="2"/>
      <c r="Z57" s="2"/>
      <c r="AA57" s="2"/>
      <c r="AB57" s="2"/>
    </row>
    <row r="58" spans="1:28" customFormat="1" ht="28.2" x14ac:dyDescent="0.3">
      <c r="A58" s="2"/>
      <c r="B58" s="2" t="s">
        <v>25</v>
      </c>
      <c r="C58" s="2"/>
      <c r="D58" s="2" t="s">
        <v>6</v>
      </c>
      <c r="E58" s="10" t="s">
        <v>61</v>
      </c>
      <c r="H58" s="2"/>
      <c r="I58" s="2"/>
      <c r="J58" s="2"/>
      <c r="K58" s="2"/>
      <c r="L58" s="2"/>
      <c r="M58" s="2"/>
      <c r="N58" s="2"/>
      <c r="O58" s="2"/>
      <c r="P58" s="2"/>
      <c r="Q58" s="10"/>
      <c r="V58" s="2"/>
      <c r="W58" s="2"/>
      <c r="X58" s="2"/>
      <c r="Y58" s="2"/>
      <c r="Z58" s="2"/>
      <c r="AA58" s="2"/>
      <c r="AB58" s="2"/>
    </row>
    <row r="59" spans="1:28" customFormat="1" ht="28.2" x14ac:dyDescent="0.3">
      <c r="A59" s="2"/>
      <c r="B59" s="2"/>
      <c r="C59" s="2"/>
      <c r="D59" s="2" t="s">
        <v>7</v>
      </c>
      <c r="E59" s="10" t="s">
        <v>62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10"/>
      <c r="V59" s="2"/>
      <c r="W59" s="2"/>
      <c r="X59" s="2"/>
      <c r="Y59" s="2"/>
      <c r="Z59" s="2"/>
      <c r="AA59" s="2"/>
      <c r="AB59" s="2"/>
    </row>
    <row r="60" spans="1:28" customFormat="1" ht="28.2" x14ac:dyDescent="0.3">
      <c r="A60" s="2"/>
      <c r="B60" s="2"/>
      <c r="C60" s="2"/>
      <c r="D60" s="2" t="s">
        <v>8</v>
      </c>
      <c r="E60" s="10" t="s">
        <v>63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V60" s="2"/>
      <c r="W60" s="2"/>
      <c r="X60" s="2"/>
      <c r="Y60" s="2"/>
      <c r="Z60" s="2"/>
      <c r="AA60" s="2"/>
      <c r="AB60" s="2"/>
    </row>
  </sheetData>
  <phoneticPr fontId="19" type="noConversion"/>
  <hyperlinks>
    <hyperlink ref="B48" r:id="rId1" xr:uid="{3C35B481-769D-4A9C-A2FA-210DC845D742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CFBB-5FA3-47D9-B0F3-D303842273E1}">
  <dimension ref="A1:B27"/>
  <sheetViews>
    <sheetView workbookViewId="0">
      <selection activeCell="B27" sqref="A1:B27"/>
    </sheetView>
  </sheetViews>
  <sheetFormatPr defaultRowHeight="14.4" x14ac:dyDescent="0.3"/>
  <cols>
    <col min="1" max="1" width="13.33203125" bestFit="1" customWidth="1"/>
    <col min="2" max="2" width="9.6640625" bestFit="1" customWidth="1"/>
  </cols>
  <sheetData>
    <row r="1" spans="1:2" x14ac:dyDescent="0.3">
      <c r="A1" s="35" t="s">
        <v>164</v>
      </c>
      <c r="B1" s="35" t="s">
        <v>165</v>
      </c>
    </row>
    <row r="2" spans="1:2" x14ac:dyDescent="0.3">
      <c r="A2" s="6" t="s">
        <v>74</v>
      </c>
      <c r="B2">
        <v>1.0228829616673953</v>
      </c>
    </row>
    <row r="3" spans="1:2" x14ac:dyDescent="0.3">
      <c r="A3" s="6" t="s">
        <v>74</v>
      </c>
      <c r="B3">
        <v>0.97711703833260466</v>
      </c>
    </row>
    <row r="4" spans="1:2" x14ac:dyDescent="0.3">
      <c r="A4" s="6" t="s">
        <v>74</v>
      </c>
      <c r="B4">
        <v>1.024974481116026</v>
      </c>
    </row>
    <row r="5" spans="1:2" x14ac:dyDescent="0.3">
      <c r="A5" s="6" t="s">
        <v>74</v>
      </c>
      <c r="B5">
        <v>0.97502551888397404</v>
      </c>
    </row>
    <row r="6" spans="1:2" x14ac:dyDescent="0.3">
      <c r="A6" s="6" t="s">
        <v>74</v>
      </c>
      <c r="B6">
        <v>0.93807372869007732</v>
      </c>
    </row>
    <row r="7" spans="1:2" x14ac:dyDescent="0.3">
      <c r="A7" s="6" t="s">
        <v>74</v>
      </c>
      <c r="B7">
        <v>1.0619262713099227</v>
      </c>
    </row>
    <row r="8" spans="1:2" x14ac:dyDescent="0.3">
      <c r="A8" s="6" t="s">
        <v>132</v>
      </c>
      <c r="B8">
        <v>0.77695185347131124</v>
      </c>
    </row>
    <row r="9" spans="1:2" x14ac:dyDescent="0.3">
      <c r="A9" s="6" t="s">
        <v>132</v>
      </c>
      <c r="B9">
        <v>0.74216586503425153</v>
      </c>
    </row>
    <row r="10" spans="1:2" x14ac:dyDescent="0.3">
      <c r="A10" s="6" t="s">
        <v>132</v>
      </c>
      <c r="B10">
        <v>0.71583345479279026</v>
      </c>
    </row>
    <row r="11" spans="1:2" x14ac:dyDescent="0.3">
      <c r="A11" s="6" t="s">
        <v>132</v>
      </c>
      <c r="B11">
        <v>0.61507068940387699</v>
      </c>
    </row>
    <row r="12" spans="1:2" x14ac:dyDescent="0.3">
      <c r="A12" s="6" t="s">
        <v>132</v>
      </c>
      <c r="B12">
        <v>0.85920381082000685</v>
      </c>
    </row>
    <row r="13" spans="1:2" x14ac:dyDescent="0.3">
      <c r="A13" s="6" t="s">
        <v>132</v>
      </c>
      <c r="B13">
        <v>0.88996257230350462</v>
      </c>
    </row>
    <row r="14" spans="1:2" x14ac:dyDescent="0.3">
      <c r="A14" s="12" t="s">
        <v>142</v>
      </c>
      <c r="B14">
        <v>0.92095418549288244</v>
      </c>
    </row>
    <row r="15" spans="1:2" x14ac:dyDescent="0.3">
      <c r="A15" s="12" t="s">
        <v>142</v>
      </c>
      <c r="B15">
        <v>0.9164844774814167</v>
      </c>
    </row>
    <row r="16" spans="1:2" x14ac:dyDescent="0.3">
      <c r="A16" s="12" t="s">
        <v>142</v>
      </c>
      <c r="B16">
        <v>0.933514800952705</v>
      </c>
    </row>
    <row r="17" spans="1:2" x14ac:dyDescent="0.3">
      <c r="A17" s="12" t="s">
        <v>142</v>
      </c>
      <c r="B17">
        <v>1.0184416468186459</v>
      </c>
    </row>
    <row r="18" spans="1:2" x14ac:dyDescent="0.3">
      <c r="A18" s="12" t="s">
        <v>166</v>
      </c>
      <c r="B18">
        <v>0.99382985959286785</v>
      </c>
    </row>
    <row r="19" spans="1:2" x14ac:dyDescent="0.3">
      <c r="A19" s="12" t="s">
        <v>166</v>
      </c>
      <c r="B19">
        <v>0.9325171257834135</v>
      </c>
    </row>
    <row r="20" spans="1:2" x14ac:dyDescent="0.3">
      <c r="A20" s="12" t="s">
        <v>166</v>
      </c>
      <c r="B20">
        <v>1.035318135420211</v>
      </c>
    </row>
    <row r="21" spans="1:2" x14ac:dyDescent="0.3">
      <c r="A21" s="12" t="s">
        <v>166</v>
      </c>
      <c r="B21">
        <v>0.95161619598502889</v>
      </c>
    </row>
    <row r="22" spans="1:2" x14ac:dyDescent="0.3">
      <c r="A22" s="6" t="s">
        <v>121</v>
      </c>
      <c r="B22">
        <v>0.92454938541514842</v>
      </c>
    </row>
    <row r="23" spans="1:2" x14ac:dyDescent="0.3">
      <c r="A23" s="6" t="s">
        <v>121</v>
      </c>
      <c r="B23">
        <v>0.98275275712967014</v>
      </c>
    </row>
    <row r="24" spans="1:2" x14ac:dyDescent="0.3">
      <c r="A24" s="6" t="s">
        <v>121</v>
      </c>
      <c r="B24">
        <v>0.89627362386435405</v>
      </c>
    </row>
    <row r="25" spans="1:2" x14ac:dyDescent="0.3">
      <c r="A25" s="6" t="s">
        <v>121</v>
      </c>
      <c r="B25">
        <v>0.94991012000194341</v>
      </c>
    </row>
    <row r="26" spans="1:2" x14ac:dyDescent="0.3">
      <c r="A26" s="6" t="s">
        <v>121</v>
      </c>
      <c r="B26">
        <v>1.0561950556122202</v>
      </c>
    </row>
    <row r="27" spans="1:2" x14ac:dyDescent="0.3">
      <c r="A27" s="6" t="s">
        <v>121</v>
      </c>
      <c r="B27">
        <v>1.0170479382194375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08340</vt:lpstr>
      <vt:lpstr>NEW</vt:lpstr>
      <vt:lpstr>New Comb.</vt:lpstr>
      <vt:lpstr>Rep 3</vt:lpstr>
      <vt:lpstr>Auswertung</vt:lpstr>
      <vt:lpstr>LLM1 ALL</vt:lpstr>
      <vt:lpstr>LLM1 comb.</vt:lpstr>
      <vt:lpstr>Llm1 norm.</vt:lpstr>
      <vt:lpstr>LLM1 new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Starke, Jessica</dc:creator>
  <cp:lastModifiedBy>Chavez Rodriguez, Luciana</cp:lastModifiedBy>
  <cp:lastPrinted>2021-11-01T12:28:19Z</cp:lastPrinted>
  <dcterms:created xsi:type="dcterms:W3CDTF">2021-10-05T10:43:57Z</dcterms:created>
  <dcterms:modified xsi:type="dcterms:W3CDTF">2025-03-26T21:59:18Z</dcterms:modified>
</cp:coreProperties>
</file>