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luciana_chavezrodriguez_wur_nl/Documents/UCI_projects/Project_8 (Reviews)/Family/Pere/"/>
    </mc:Choice>
  </mc:AlternateContent>
  <xr:revisionPtr revIDLastSave="985" documentId="8_{A07DA67C-5A85-4537-9969-16A86AA12AE4}" xr6:coauthVersionLast="47" xr6:coauthVersionMax="47" xr10:uidLastSave="{7FF279CE-A2CF-4D79-A57C-848E6E95383B}"/>
  <bookViews>
    <workbookView xWindow="-108" yWindow="-108" windowWidth="23256" windowHeight="12456" activeTab="3" xr2:uid="{C62B4086-5300-4F68-8614-876ED42C4AAD}"/>
  </bookViews>
  <sheets>
    <sheet name="Results Inner Circle" sheetId="1" r:id="rId1"/>
    <sheet name="Results Three Circles" sheetId="2" r:id="rId2"/>
    <sheet name="Normalization - Both Exp.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3" l="1"/>
  <c r="U7" i="3"/>
  <c r="U6" i="3"/>
  <c r="U5" i="3"/>
  <c r="U4" i="3"/>
  <c r="U3" i="3"/>
  <c r="U2" i="3"/>
  <c r="Z3" i="3"/>
  <c r="Z2" i="3"/>
  <c r="Q3" i="3"/>
  <c r="Q4" i="3"/>
  <c r="Q5" i="3"/>
  <c r="Q6" i="3"/>
  <c r="Q2" i="3"/>
  <c r="P3" i="3"/>
  <c r="P4" i="3"/>
  <c r="P5" i="3"/>
  <c r="P6" i="3"/>
  <c r="P2" i="3"/>
  <c r="F34" i="3"/>
  <c r="E34" i="3"/>
  <c r="U31" i="3" s="1"/>
  <c r="F33" i="3"/>
  <c r="E33" i="3"/>
  <c r="U28" i="3" s="1"/>
  <c r="F32" i="3"/>
  <c r="E32" i="3"/>
  <c r="U19" i="3" s="1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1" i="3"/>
  <c r="E21" i="3"/>
  <c r="U30" i="3" s="1"/>
  <c r="F20" i="3"/>
  <c r="E20" i="3"/>
  <c r="U29" i="3" s="1"/>
  <c r="F19" i="3"/>
  <c r="E19" i="3"/>
  <c r="U27" i="3" s="1"/>
  <c r="F18" i="3"/>
  <c r="E18" i="3"/>
  <c r="F17" i="3"/>
  <c r="E17" i="3"/>
  <c r="F16" i="3"/>
  <c r="E16" i="3"/>
  <c r="F15" i="3"/>
  <c r="E15" i="3"/>
  <c r="U21" i="3" s="1"/>
  <c r="F14" i="3"/>
  <c r="E14" i="3"/>
  <c r="F13" i="3"/>
  <c r="E13" i="3"/>
  <c r="F12" i="3"/>
  <c r="E12" i="3"/>
  <c r="U17" i="3" s="1"/>
  <c r="F11" i="3"/>
  <c r="E11" i="3"/>
  <c r="U15" i="3" s="1"/>
  <c r="F10" i="3"/>
  <c r="E10" i="3"/>
  <c r="U14" i="3" s="1"/>
  <c r="F9" i="3"/>
  <c r="E9" i="3"/>
  <c r="U12" i="3" s="1"/>
  <c r="F8" i="3"/>
  <c r="E8" i="3"/>
  <c r="F7" i="3"/>
  <c r="E7" i="3"/>
  <c r="F6" i="3"/>
  <c r="E6" i="3"/>
  <c r="F5" i="3"/>
  <c r="E5" i="3"/>
  <c r="F4" i="3"/>
  <c r="E4" i="3"/>
  <c r="F3" i="3"/>
  <c r="E3" i="3"/>
  <c r="F2" i="3"/>
  <c r="E2" i="3"/>
  <c r="V15" i="2"/>
  <c r="V3" i="2"/>
  <c r="V4" i="2"/>
  <c r="V5" i="2"/>
  <c r="V6" i="2"/>
  <c r="V7" i="2"/>
  <c r="V8" i="2"/>
  <c r="V9" i="2"/>
  <c r="V10" i="2"/>
  <c r="V11" i="2"/>
  <c r="V12" i="2"/>
  <c r="V13" i="2"/>
  <c r="V14" i="2"/>
  <c r="V16" i="2"/>
  <c r="V17" i="2"/>
  <c r="V18" i="2"/>
  <c r="V19" i="2"/>
  <c r="V20" i="2"/>
  <c r="V21" i="2"/>
  <c r="V2" i="2"/>
  <c r="U15" i="2"/>
  <c r="U3" i="2"/>
  <c r="U4" i="2"/>
  <c r="U5" i="2"/>
  <c r="U6" i="2"/>
  <c r="U7" i="2"/>
  <c r="U8" i="2"/>
  <c r="U9" i="2"/>
  <c r="U10" i="2"/>
  <c r="U11" i="2"/>
  <c r="U12" i="2"/>
  <c r="U13" i="2"/>
  <c r="U14" i="2"/>
  <c r="U16" i="2"/>
  <c r="U17" i="2"/>
  <c r="U18" i="2"/>
  <c r="U19" i="2"/>
  <c r="U20" i="2"/>
  <c r="U21" i="2"/>
  <c r="U2" i="2"/>
  <c r="N6" i="2"/>
  <c r="N7" i="2"/>
  <c r="N8" i="2"/>
  <c r="N9" i="2"/>
  <c r="N10" i="2"/>
  <c r="N11" i="2"/>
  <c r="N20" i="2"/>
  <c r="N21" i="2"/>
  <c r="N25" i="2"/>
  <c r="N26" i="2"/>
  <c r="N27" i="2"/>
  <c r="N28" i="2"/>
  <c r="N29" i="2"/>
  <c r="N30" i="2"/>
  <c r="N31" i="2"/>
  <c r="N34" i="2"/>
  <c r="N36" i="2"/>
  <c r="N37" i="2"/>
  <c r="N38" i="2"/>
  <c r="N39" i="2"/>
  <c r="N40" i="2"/>
  <c r="N41" i="2"/>
  <c r="N46" i="2"/>
  <c r="N47" i="2"/>
  <c r="N48" i="2"/>
  <c r="N49" i="2"/>
  <c r="N50" i="2"/>
  <c r="N51" i="2"/>
  <c r="N59" i="2"/>
  <c r="N60" i="2"/>
  <c r="N2" i="2"/>
  <c r="L49" i="2"/>
  <c r="L50" i="2"/>
  <c r="L51" i="2"/>
  <c r="L52" i="2"/>
  <c r="N52" i="2" s="1"/>
  <c r="L53" i="2"/>
  <c r="N53" i="2" s="1"/>
  <c r="L54" i="2"/>
  <c r="N54" i="2" s="1"/>
  <c r="L55" i="2"/>
  <c r="N55" i="2" s="1"/>
  <c r="L56" i="2"/>
  <c r="N56" i="2" s="1"/>
  <c r="L57" i="2"/>
  <c r="N57" i="2" s="1"/>
  <c r="L58" i="2"/>
  <c r="N58" i="2" s="1"/>
  <c r="L59" i="2"/>
  <c r="L60" i="2"/>
  <c r="L38" i="2"/>
  <c r="L39" i="2"/>
  <c r="L40" i="2"/>
  <c r="L41" i="2"/>
  <c r="L42" i="2"/>
  <c r="N42" i="2" s="1"/>
  <c r="L43" i="2"/>
  <c r="N43" i="2" s="1"/>
  <c r="L44" i="2"/>
  <c r="N44" i="2" s="1"/>
  <c r="L45" i="2"/>
  <c r="N45" i="2" s="1"/>
  <c r="L46" i="2"/>
  <c r="L47" i="2"/>
  <c r="L48" i="2"/>
  <c r="L26" i="2"/>
  <c r="L27" i="2"/>
  <c r="L28" i="2"/>
  <c r="L29" i="2"/>
  <c r="L30" i="2"/>
  <c r="L31" i="2"/>
  <c r="L32" i="2"/>
  <c r="N32" i="2" s="1"/>
  <c r="L33" i="2"/>
  <c r="N33" i="2" s="1"/>
  <c r="L34" i="2"/>
  <c r="L35" i="2"/>
  <c r="N35" i="2" s="1"/>
  <c r="L36" i="2"/>
  <c r="L37" i="2"/>
  <c r="L20" i="2"/>
  <c r="L21" i="2"/>
  <c r="L22" i="2"/>
  <c r="N22" i="2" s="1"/>
  <c r="L23" i="2"/>
  <c r="N23" i="2" s="1"/>
  <c r="L24" i="2"/>
  <c r="N24" i="2" s="1"/>
  <c r="L25" i="2"/>
  <c r="L14" i="2"/>
  <c r="N14" i="2" s="1"/>
  <c r="L15" i="2"/>
  <c r="N15" i="2" s="1"/>
  <c r="L16" i="2"/>
  <c r="N16" i="2" s="1"/>
  <c r="L17" i="2"/>
  <c r="N17" i="2" s="1"/>
  <c r="L18" i="2"/>
  <c r="N18" i="2" s="1"/>
  <c r="L19" i="2"/>
  <c r="N19" i="2" s="1"/>
  <c r="L3" i="2"/>
  <c r="N3" i="2" s="1"/>
  <c r="L4" i="2"/>
  <c r="N4" i="2" s="1"/>
  <c r="L5" i="2"/>
  <c r="N5" i="2" s="1"/>
  <c r="L6" i="2"/>
  <c r="L7" i="2"/>
  <c r="L8" i="2"/>
  <c r="L9" i="2"/>
  <c r="L10" i="2"/>
  <c r="L11" i="2"/>
  <c r="L12" i="2"/>
  <c r="N12" i="2" s="1"/>
  <c r="L13" i="2"/>
  <c r="N13" i="2" s="1"/>
  <c r="L2" i="2"/>
  <c r="U18" i="3" l="1"/>
  <c r="U20" i="3"/>
  <c r="U10" i="3"/>
  <c r="U13" i="3"/>
  <c r="U8" i="3"/>
  <c r="U23" i="3"/>
  <c r="U22" i="3"/>
  <c r="U9" i="3"/>
  <c r="U24" i="3"/>
  <c r="U25" i="3"/>
  <c r="U11" i="3"/>
  <c r="U26" i="3"/>
  <c r="U16" i="3"/>
  <c r="Z4" i="3" s="1"/>
  <c r="Y3" i="3" l="1"/>
  <c r="Z6" i="3"/>
  <c r="Y6" i="3"/>
  <c r="Z5" i="3"/>
  <c r="Y5" i="3"/>
  <c r="Y4" i="3"/>
</calcChain>
</file>

<file path=xl/sharedStrings.xml><?xml version="1.0" encoding="utf-8"?>
<sst xmlns="http://schemas.openxmlformats.org/spreadsheetml/2006/main" count="489" uniqueCount="336">
  <si>
    <t xml:space="preserve"> </t>
  </si>
  <si>
    <t>Area</t>
  </si>
  <si>
    <t>Mean</t>
  </si>
  <si>
    <t>Min</t>
  </si>
  <si>
    <t>Max</t>
  </si>
  <si>
    <t>WTa 1</t>
  </si>
  <si>
    <t>WTa 2</t>
  </si>
  <si>
    <t>WTa 3</t>
  </si>
  <si>
    <t>WTb 1</t>
  </si>
  <si>
    <t>WTb 2</t>
  </si>
  <si>
    <t>WTb 3</t>
  </si>
  <si>
    <t>WTc 1</t>
  </si>
  <si>
    <t>WTc 2</t>
  </si>
  <si>
    <t>WTc 3</t>
  </si>
  <si>
    <t>WTd 1</t>
  </si>
  <si>
    <t>WTd 2</t>
  </si>
  <si>
    <t>WTd 3</t>
  </si>
  <si>
    <t>ΔLLM1 Ha 1</t>
  </si>
  <si>
    <t>ΔLLM1 Ha 2</t>
  </si>
  <si>
    <t>ΔLLM1 Ha 3</t>
  </si>
  <si>
    <t>ΔLLM1 Hb 1</t>
  </si>
  <si>
    <t>ΔLLM1 Hb 2</t>
  </si>
  <si>
    <t>ΔLLM1 Hb 3</t>
  </si>
  <si>
    <t>ΔLLM1 Ja 1</t>
  </si>
  <si>
    <t>ΔLLM1 Ja 2</t>
  </si>
  <si>
    <t>ΔLLM1 Ja 3</t>
  </si>
  <si>
    <t>ΔLLM1 Jb 1</t>
  </si>
  <si>
    <t>ΔLLM1 Jb 2</t>
  </si>
  <si>
    <t>ΔLLM1 Jb 3</t>
  </si>
  <si>
    <t>LLM1-NoGFP 3a 1</t>
  </si>
  <si>
    <t>LLM1-NoGFP 3a 2</t>
  </si>
  <si>
    <t>LLM1-NoGFP 3a 3</t>
  </si>
  <si>
    <t>LLM1-NoGFP 3b 1</t>
  </si>
  <si>
    <t>LLM1-NoGFP 3b 2</t>
  </si>
  <si>
    <t>LLM1-NoGFP 3b 3</t>
  </si>
  <si>
    <t>LLM1-NoGFP 9a 1</t>
  </si>
  <si>
    <t>LLM1-NoGFP 9a 2</t>
  </si>
  <si>
    <t>LLM1-NoGFP 9a 3</t>
  </si>
  <si>
    <t>LLM1-NoGFP 9b 1</t>
  </si>
  <si>
    <t>LLM1-NoGFP 9b 2</t>
  </si>
  <si>
    <t>LLM1-NoGFP 9b 3</t>
  </si>
  <si>
    <t>LLM1+GFP-C 6a 1</t>
  </si>
  <si>
    <t>LLM1+GFP-C 6a 2</t>
  </si>
  <si>
    <t>LLM1+GFP-C 6a 3</t>
  </si>
  <si>
    <t>LLM1+GFP-C 6b 1</t>
  </si>
  <si>
    <t>LLM1+GFP-C 6b 3</t>
  </si>
  <si>
    <t>LLM1+GFP-C 8a 1</t>
  </si>
  <si>
    <t>LLM1+GFP-C 8a 2</t>
  </si>
  <si>
    <t>LLM1+GFP-C 8a 3</t>
  </si>
  <si>
    <t>LLM1+GFP-C 8b 1</t>
  </si>
  <si>
    <t>LLM1+GFP-C 8b 2</t>
  </si>
  <si>
    <t>LLM1+GFP-C 8b 3</t>
  </si>
  <si>
    <t>oeLLM1 1a-a 1</t>
  </si>
  <si>
    <t>oeLLM1 1a-a 2</t>
  </si>
  <si>
    <t>oeLLM1 1a-a 3</t>
  </si>
  <si>
    <t>oeLLM1 1a-b 1</t>
  </si>
  <si>
    <t>oeLLM1 1a-b 2</t>
  </si>
  <si>
    <t>oeLLM1 1a-b 3</t>
  </si>
  <si>
    <t>oeLLM1 2a-a 1</t>
  </si>
  <si>
    <t>oeLLM1 2a-a 2</t>
  </si>
  <si>
    <t>oeLLM1 2a-a 3</t>
  </si>
  <si>
    <t>oeLLM1 2a-b 1</t>
  </si>
  <si>
    <t>oeLLM1 2a-b 2</t>
  </si>
  <si>
    <t>oeLLM1 2a-b 3</t>
  </si>
  <si>
    <t>WTa 1 1</t>
  </si>
  <si>
    <t>WTa 1 2</t>
  </si>
  <si>
    <t>WTa 1 3</t>
  </si>
  <si>
    <t>WTa 2 1</t>
  </si>
  <si>
    <t>WTa 2 2</t>
  </si>
  <si>
    <t>WTa 2 3</t>
  </si>
  <si>
    <t>WTa 3 1</t>
  </si>
  <si>
    <t>WTa 3 2</t>
  </si>
  <si>
    <t>WTa 3 3</t>
  </si>
  <si>
    <t>WTb 1 1</t>
  </si>
  <si>
    <t>WTb 1 2</t>
  </si>
  <si>
    <t>WTb 1 3</t>
  </si>
  <si>
    <t>WTb 2 1</t>
  </si>
  <si>
    <t>WTb 2 2</t>
  </si>
  <si>
    <t>WTb 2 3</t>
  </si>
  <si>
    <t>WTb 3 1</t>
  </si>
  <si>
    <t>WTb 3 2</t>
  </si>
  <si>
    <t>WTb 3 3</t>
  </si>
  <si>
    <t>WTc 1 1</t>
  </si>
  <si>
    <t>WTc 1 2</t>
  </si>
  <si>
    <t>WTc 1 3</t>
  </si>
  <si>
    <t>WTc 2 1</t>
  </si>
  <si>
    <t>WTc 2 2</t>
  </si>
  <si>
    <t>WTc 2 3</t>
  </si>
  <si>
    <t>WTc 3 1</t>
  </si>
  <si>
    <t>WTc 3 2</t>
  </si>
  <si>
    <t>WTc 3 3</t>
  </si>
  <si>
    <t>WTd 1 1</t>
  </si>
  <si>
    <t>WTd 1 2</t>
  </si>
  <si>
    <t>WTd 1 3</t>
  </si>
  <si>
    <t>WTd 2 1</t>
  </si>
  <si>
    <t>WTd 2 2</t>
  </si>
  <si>
    <t>WTd 2 3</t>
  </si>
  <si>
    <t>WTd 3 1</t>
  </si>
  <si>
    <t>WTd 3 2</t>
  </si>
  <si>
    <t>WTd 3 3</t>
  </si>
  <si>
    <t>ΔLLM1 Ha 1 1</t>
  </si>
  <si>
    <t>ΔLLM1 Ha 1 2</t>
  </si>
  <si>
    <t>ΔLLM1 Ha 1 3</t>
  </si>
  <si>
    <t>ΔLLM1 Ha 2 1</t>
  </si>
  <si>
    <t>ΔLLM1 Ha 2 2</t>
  </si>
  <si>
    <t>ΔLLM1 Ha 2 3</t>
  </si>
  <si>
    <t>ΔLLM1 Ha 3 1</t>
  </si>
  <si>
    <t>ΔLLM1 Ha 3 2</t>
  </si>
  <si>
    <t>ΔLLM1 Ha 3 3</t>
  </si>
  <si>
    <t>ΔLLM1 Hb 1 1</t>
  </si>
  <si>
    <t>ΔLLM1 Hb 1 2</t>
  </si>
  <si>
    <t>ΔLLM1 Hb 1 3</t>
  </si>
  <si>
    <t>ΔLLM1 Hb 2 1</t>
  </si>
  <si>
    <t>ΔLLM1 Hb 2 2</t>
  </si>
  <si>
    <t>ΔLLM1 Hb 2 3</t>
  </si>
  <si>
    <t>ΔLLM1 Hb 3 1</t>
  </si>
  <si>
    <t>ΔLLM1 Hb 3 2</t>
  </si>
  <si>
    <t>ΔLLM1 Hb 3 3</t>
  </si>
  <si>
    <t>ΔLLM1 Ja 1 1</t>
  </si>
  <si>
    <t>ΔLLM1 Ja 1 2</t>
  </si>
  <si>
    <t>ΔLLM1 Ja 1 3</t>
  </si>
  <si>
    <t>ΔLLM1 Ja 2 1</t>
  </si>
  <si>
    <t>ΔLLM1 Ja 2 2</t>
  </si>
  <si>
    <t>ΔLLM1 Ja 2 3</t>
  </si>
  <si>
    <t>ΔLLM1 Ja 3 1</t>
  </si>
  <si>
    <t>ΔLLM1 Ja 3 2</t>
  </si>
  <si>
    <t>ΔLLM1 Ja 3 3</t>
  </si>
  <si>
    <t>ΔLLM1 Jb 1 1</t>
  </si>
  <si>
    <t>ΔLLM1 Jb 1 2</t>
  </si>
  <si>
    <t>ΔLLM1 Jb 1 3</t>
  </si>
  <si>
    <t>ΔLLM1 Jb 2 1</t>
  </si>
  <si>
    <t>ΔLLM1 Jb 2 2</t>
  </si>
  <si>
    <t>ΔLLM1 Jb 2 3</t>
  </si>
  <si>
    <t>ΔLLM1 Jb 3 1</t>
  </si>
  <si>
    <t>ΔLLM1 Jb 3 2</t>
  </si>
  <si>
    <t>ΔLLM1 Jb 3 3</t>
  </si>
  <si>
    <t>LLM1-NoGFP 3a 1 1</t>
  </si>
  <si>
    <t>LLM1-NoGFP 3a 1 2</t>
  </si>
  <si>
    <t>LLM1-NoGFP 3a 1 3</t>
  </si>
  <si>
    <t>LLM1-NoGFP 3a 2 1</t>
  </si>
  <si>
    <t>LLM1-NoGFP 3a 2 2</t>
  </si>
  <si>
    <t>LLM1-NoGFP 3a 2 3</t>
  </si>
  <si>
    <t>LLM1-NoGFP 3a 3 1</t>
  </si>
  <si>
    <t>LLM1-NoGFP 3a 3 2</t>
  </si>
  <si>
    <t>LLM1-NoGFP 3a 3 3</t>
  </si>
  <si>
    <t>LLM1-NoGFP 3b 1 1</t>
  </si>
  <si>
    <t>LLM1-NoGFP 3b 1 2</t>
  </si>
  <si>
    <t>LLM1-NoGFP 3b 1 3</t>
  </si>
  <si>
    <t>LLM1-NoGFP 3b 2 1</t>
  </si>
  <si>
    <t>LLM1-NoGFP 3b 2 2</t>
  </si>
  <si>
    <t>LLM1-NoGFP 3b 2 3</t>
  </si>
  <si>
    <t>LLM1-NoGFP 3b 3 1</t>
  </si>
  <si>
    <t>LLM1-NoGFP 3b 3 2</t>
  </si>
  <si>
    <t>LLM1-NoGFP 3b 3 3</t>
  </si>
  <si>
    <t>LLM1-NoGFP 9a 1 1</t>
  </si>
  <si>
    <t>LLM1-NoGFP 9a 1 2</t>
  </si>
  <si>
    <t>LLM1-NoGFP 9a 1 3</t>
  </si>
  <si>
    <t>LLM1-NoGFP 9a 2 1</t>
  </si>
  <si>
    <t>LLM1-NoGFP 9a 2 2</t>
  </si>
  <si>
    <t>LLM1-NoGFP 9a 2 3</t>
  </si>
  <si>
    <t>LLM1-NoGFP 9a 3 1</t>
  </si>
  <si>
    <t>LLM1-NoGFP 9a 3 2</t>
  </si>
  <si>
    <t>LLM1-NoGFP 9a 3 3</t>
  </si>
  <si>
    <t>LLM1-NoGFP 9b 1 1</t>
  </si>
  <si>
    <t>LLM1-NoGFP 9b 1 2</t>
  </si>
  <si>
    <t>LLM1-NoGFP 9b 1 3</t>
  </si>
  <si>
    <t>LLM1-NoGFP 9b 2 1</t>
  </si>
  <si>
    <t>LLM1-NoGFP 9b 2 2</t>
  </si>
  <si>
    <t>LLM1-NoGFP 9b 2 3</t>
  </si>
  <si>
    <t>LLM1-NoGFP 9b 3 1</t>
  </si>
  <si>
    <t>LLM1-NoGFP 9b 3 2</t>
  </si>
  <si>
    <t>LLM1-NoGFP 9b 3 3</t>
  </si>
  <si>
    <t>LLM1+GFP-C 6a 1 1</t>
  </si>
  <si>
    <t>LLM1+GFP-C 6a 1 2</t>
  </si>
  <si>
    <t>LLM1+GFP-C 6a 1 3</t>
  </si>
  <si>
    <t>LLM1+GFP-C 6a 2 1</t>
  </si>
  <si>
    <t>LLM1+GFP-C 6a 2 2</t>
  </si>
  <si>
    <t>LLM1+GFP-C 6a 2 3</t>
  </si>
  <si>
    <t>LLM1+GFP-C 6a 3 1</t>
  </si>
  <si>
    <t>LLM1+GFP-C 6a 3 2</t>
  </si>
  <si>
    <t>LLM1+GFP-C 6a 3 3</t>
  </si>
  <si>
    <t>LLM1+GFP-C 6b 1 1</t>
  </si>
  <si>
    <t>LLM1+GFP-C 6b 1 2</t>
  </si>
  <si>
    <t>LLM1+GFP-C 6b 1 3</t>
  </si>
  <si>
    <t>LLM1+GFP-C 6b 3 1</t>
  </si>
  <si>
    <t>LLM1+GFP-C 6b 3 2</t>
  </si>
  <si>
    <t>LLM1+GFP-C 6b 3 3</t>
  </si>
  <si>
    <t>LLM1+GFP-C 8a 1 1</t>
  </si>
  <si>
    <t>LLM1+GFP-C 8a 1 2</t>
  </si>
  <si>
    <t>LLM1+GFP-C 8a 1 3</t>
  </si>
  <si>
    <t>LLM1+GFP-C 8a 2 1</t>
  </si>
  <si>
    <t>LLM1+GFP-C 8a 2 2</t>
  </si>
  <si>
    <t>LLM1+GFP-C 8a 2 3</t>
  </si>
  <si>
    <t>LLM1+GFP-C 8a 3 1</t>
  </si>
  <si>
    <t>LLM1+GFP-C 8a 3 2</t>
  </si>
  <si>
    <t>LLM1+GFP-C 8a 3 3</t>
  </si>
  <si>
    <t>LLM1+GFP-C 8b 1 1</t>
  </si>
  <si>
    <t>LLM1+GFP-C 8b 1 2</t>
  </si>
  <si>
    <t>LLM1+GFP-C 8b 1 3</t>
  </si>
  <si>
    <t>LLM1+GFP-C 8b 2 1</t>
  </si>
  <si>
    <t>LLM1+GFP-C 8b 2 2</t>
  </si>
  <si>
    <t>LLM1+GFP-C 8b 2 3</t>
  </si>
  <si>
    <t>LLM1+GFP-C 8b 3 1</t>
  </si>
  <si>
    <t>LLM1+GFP-C 8b 3 2</t>
  </si>
  <si>
    <t>LLM1+GFP-C 8b 3 3</t>
  </si>
  <si>
    <t>oeLLM1 1a-a 1 1</t>
  </si>
  <si>
    <t>oeLLM1 1a-a 1 2</t>
  </si>
  <si>
    <t>oeLLM1 1a-a 1 3</t>
  </si>
  <si>
    <t>oeLLM1 1a-a 2 1</t>
  </si>
  <si>
    <t>oeLLM1 1a-a 2 2</t>
  </si>
  <si>
    <t>oeLLM1 1a-a 2 3</t>
  </si>
  <si>
    <t>oeLLM1 1a-a 3 1</t>
  </si>
  <si>
    <t>oeLLM1 1a-a 3 2</t>
  </si>
  <si>
    <t>oeLLM1 1a-a 3 3</t>
  </si>
  <si>
    <t>oeLLM1 1a-b 1 1</t>
  </si>
  <si>
    <t>oeLLM1 1a-b 1 2</t>
  </si>
  <si>
    <t>oeLLM1 1a-b 1 3</t>
  </si>
  <si>
    <t>oeLLM1 1a-b 2 1</t>
  </si>
  <si>
    <t>oeLLM1 1a-b 2 2</t>
  </si>
  <si>
    <t>oeLLM1 1a-b 2 3</t>
  </si>
  <si>
    <t>oeLLM1 1a-b 3 1</t>
  </si>
  <si>
    <t>oeLLM1 1a-b 3 2</t>
  </si>
  <si>
    <t>oeLLM1 1a-b 3 3</t>
  </si>
  <si>
    <t>oeLLM1 2a-a 1 1</t>
  </si>
  <si>
    <t>oeLLM1 2a-a 1 2</t>
  </si>
  <si>
    <t>oeLLM1 2a-a 1 3</t>
  </si>
  <si>
    <t>oeLLM1 2a-a 2 1</t>
  </si>
  <si>
    <t>oeLLM1 2a-a 2 2</t>
  </si>
  <si>
    <t>oeLLM1 2a-a 2 3</t>
  </si>
  <si>
    <t>oeLLM1 2a-a 3 1</t>
  </si>
  <si>
    <t>oeLLM1 2a-a 3 2</t>
  </si>
  <si>
    <t>oeLLM1 2a-a 3 3</t>
  </si>
  <si>
    <t>oeLLM1 2a-b 1 1</t>
  </si>
  <si>
    <t>oeLLM1 2a-b 1 2</t>
  </si>
  <si>
    <t>oeLLM1 2a-b 1 3</t>
  </si>
  <si>
    <t>oeLLM1 2a-b 2 1</t>
  </si>
  <si>
    <t>oeLLM1 2a-b 2 2</t>
  </si>
  <si>
    <t>oeLLM1 2a-b 2 3</t>
  </si>
  <si>
    <t>oeLLM1 2a-b 3 1</t>
  </si>
  <si>
    <t>oeLLM1 2a-b 3 2</t>
  </si>
  <si>
    <t>oeLLM1 2a-b 3 3</t>
  </si>
  <si>
    <t>Technical Rep</t>
  </si>
  <si>
    <t>Bright 1</t>
  </si>
  <si>
    <t>Bright 2</t>
  </si>
  <si>
    <t>Bright 3</t>
  </si>
  <si>
    <t>Average</t>
  </si>
  <si>
    <t>Inner Circle</t>
  </si>
  <si>
    <t xml:space="preserve">Normalization </t>
  </si>
  <si>
    <t xml:space="preserve">WTa 1 </t>
  </si>
  <si>
    <t xml:space="preserve">WTb 1 </t>
  </si>
  <si>
    <t xml:space="preserve">WTc 1 </t>
  </si>
  <si>
    <t xml:space="preserve">WTd 1 </t>
  </si>
  <si>
    <t xml:space="preserve">ΔLLM1 Ha 1 </t>
  </si>
  <si>
    <t xml:space="preserve">ΔLLM1 Hb 1 </t>
  </si>
  <si>
    <t xml:space="preserve">ΔLLM1 Ja 1 </t>
  </si>
  <si>
    <t xml:space="preserve">ΔLLM1 Jb 1 </t>
  </si>
  <si>
    <t xml:space="preserve">LLM1-NoGFP 3a 1 </t>
  </si>
  <si>
    <t xml:space="preserve">LLM1-NoGFP 3b 1 </t>
  </si>
  <si>
    <t xml:space="preserve">LLM1-NoGFP 9a 1 </t>
  </si>
  <si>
    <t xml:space="preserve">LLM1-NoGFP 9b 1 </t>
  </si>
  <si>
    <t xml:space="preserve">LLM1+GFP-C 6a 1 </t>
  </si>
  <si>
    <t xml:space="preserve">LLM1+GFP-C 6b 1 </t>
  </si>
  <si>
    <t xml:space="preserve">LLM1+GFP-C 8a 1 </t>
  </si>
  <si>
    <t xml:space="preserve">LLM1+GFP-C 8b 1 </t>
  </si>
  <si>
    <t xml:space="preserve">oeLLM1 1a-a 1 </t>
  </si>
  <si>
    <t xml:space="preserve">oeLLM1 1a-b 1 </t>
  </si>
  <si>
    <t xml:space="preserve">oeLLM1 2a-a 1 </t>
  </si>
  <si>
    <t xml:space="preserve">oeLLM1 2b-a 1 </t>
  </si>
  <si>
    <t>oeLLM1 2b-a 2</t>
  </si>
  <si>
    <t>oeLLM1 2b-a 3</t>
  </si>
  <si>
    <t>Biological Rep</t>
  </si>
  <si>
    <t>Background Mean</t>
  </si>
  <si>
    <t>SD</t>
  </si>
  <si>
    <t xml:space="preserve">WTa  </t>
  </si>
  <si>
    <t>WTb</t>
  </si>
  <si>
    <t>WTc</t>
  </si>
  <si>
    <t>WTd</t>
  </si>
  <si>
    <t xml:space="preserve">ΔLLM1 Ha </t>
  </si>
  <si>
    <t>ΔLLM1 Hb</t>
  </si>
  <si>
    <t xml:space="preserve">ΔLLM1 Ja </t>
  </si>
  <si>
    <t>ΔLLM1 Jb</t>
  </si>
  <si>
    <t xml:space="preserve">LLM1-NoGFP 3a  </t>
  </si>
  <si>
    <t xml:space="preserve">LLM1-NoGFP 3b  </t>
  </si>
  <si>
    <t xml:space="preserve">LLM1-NoGFP 9a  </t>
  </si>
  <si>
    <t xml:space="preserve">LLM1-NoGFP 9b  </t>
  </si>
  <si>
    <t>LLM1+GFP-C 6a</t>
  </si>
  <si>
    <t>LLM1+GFP-C 6b</t>
  </si>
  <si>
    <t>LLM1+GFP-C 8a</t>
  </si>
  <si>
    <t>LLM1+GFP-C 8b</t>
  </si>
  <si>
    <t>oeLLM1 1a-a</t>
  </si>
  <si>
    <t>oeLLM1 1a-b</t>
  </si>
  <si>
    <t>oeLLM1 2a-a</t>
  </si>
  <si>
    <t>oeLLM1 2a-b</t>
  </si>
  <si>
    <t>Strain</t>
  </si>
  <si>
    <r>
      <rPr>
        <sz val="11"/>
        <color theme="1"/>
        <rFont val="Aptos Narrow"/>
        <family val="2"/>
      </rPr>
      <t>Δ</t>
    </r>
    <r>
      <rPr>
        <sz val="11"/>
        <color theme="1"/>
        <rFont val="Aptos Narrow"/>
        <family val="2"/>
        <scheme val="minor"/>
      </rPr>
      <t xml:space="preserve">LLM1 cH </t>
    </r>
  </si>
  <si>
    <r>
      <rPr>
        <sz val="11"/>
        <color theme="1"/>
        <rFont val="Aptos Narrow"/>
        <family val="2"/>
      </rPr>
      <t>Δ</t>
    </r>
    <r>
      <rPr>
        <sz val="11"/>
        <color theme="1"/>
        <rFont val="Aptos Narrow"/>
        <family val="2"/>
        <scheme val="minor"/>
      </rPr>
      <t xml:space="preserve">LLM1 cJ </t>
    </r>
  </si>
  <si>
    <t xml:space="preserve">LLM1+GFP-C c6 </t>
  </si>
  <si>
    <t>LLM1+GFP-C c8</t>
  </si>
  <si>
    <t>LLM1-NoGFP c3</t>
  </si>
  <si>
    <t>LLM1-NoGFP c9</t>
  </si>
  <si>
    <t>oeLLM1 1a</t>
  </si>
  <si>
    <t>oeLLM1 2a</t>
  </si>
  <si>
    <t>WT</t>
  </si>
  <si>
    <r>
      <rPr>
        <sz val="11"/>
        <color theme="1"/>
        <rFont val="Aptos Narrow"/>
        <family val="2"/>
      </rPr>
      <t>Δ</t>
    </r>
    <r>
      <rPr>
        <sz val="11"/>
        <color theme="1"/>
        <rFont val="Aptos Narrow"/>
        <family val="2"/>
        <scheme val="minor"/>
      </rPr>
      <t xml:space="preserve">LLM1 </t>
    </r>
  </si>
  <si>
    <t>LLM1+GFP-C</t>
  </si>
  <si>
    <t>LLM1-NoGFP</t>
  </si>
  <si>
    <t>oeLLM1</t>
  </si>
  <si>
    <t>Normalized (Rel to WT)</t>
  </si>
  <si>
    <t>WTf</t>
  </si>
  <si>
    <t>WTe</t>
  </si>
  <si>
    <t>ΔLLM1 Hc</t>
  </si>
  <si>
    <t>ΔLLM1 Ja</t>
  </si>
  <si>
    <t>ΔLLM1 Jc</t>
  </si>
  <si>
    <t xml:space="preserve">LLM1-NoGFP 3c  </t>
  </si>
  <si>
    <t xml:space="preserve">LLM1-NoGFP 9c  </t>
  </si>
  <si>
    <t>LLM1+GFP-C 6c</t>
  </si>
  <si>
    <t>oeLLM1 1a-c</t>
  </si>
  <si>
    <t>oeLLM1 2a-c</t>
  </si>
  <si>
    <t>LLM1+GFP-C 8c</t>
  </si>
  <si>
    <t>Average (Rel to WT)</t>
  </si>
  <si>
    <t>Independent Two-Sample T-Test Calculator</t>
  </si>
  <si>
    <t>ΔLLM1</t>
  </si>
  <si>
    <t>Normalized</t>
  </si>
  <si>
    <t>Absolute</t>
  </si>
  <si>
    <t>Biological.Rep</t>
  </si>
  <si>
    <t>variable</t>
  </si>
  <si>
    <t>a</t>
  </si>
  <si>
    <t>b</t>
  </si>
  <si>
    <t>c</t>
  </si>
  <si>
    <t>d</t>
  </si>
  <si>
    <t>e</t>
  </si>
  <si>
    <t>alpha 0.05</t>
  </si>
  <si>
    <t>Normality of residuals</t>
  </si>
  <si>
    <t>Homogeneity of variances</t>
  </si>
  <si>
    <t>Anova</t>
  </si>
  <si>
    <t>Tukey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</si>
</sst>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4">
    <xf numFmtId="0" fontId="0" fillId="0" borderId="0" xfId="0"/>
    <xf numFmtId="0" fontId="19" fillId="0" borderId="0" xfId="0" applyFont="1"/>
    <xf numFmtId="4" fontId="0" fillId="0" borderId="0" xfId="0" applyNumberFormat="1"/>
    <xf numFmtId="164" fontId="0" fillId="0" borderId="0" xfId="0" applyNumberFormat="1"/>
    <xf numFmtId="0" fontId="16" fillId="0" borderId="0" xfId="0" applyFon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/>
    </xf>
    <xf numFmtId="165" fontId="0" fillId="33" borderId="0" xfId="0" applyNumberFormat="1" applyFill="1"/>
    <xf numFmtId="0" fontId="20" fillId="0" borderId="0" xfId="42"/>
    <xf numFmtId="0" fontId="16" fillId="0" borderId="0" xfId="0" applyFont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DE" b="1"/>
              <a:t>CDM-Darkness</a:t>
            </a:r>
            <a:endParaRPr lang="es-PE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'Normalization - Both Exp.'!$Z$2:$Z$6</c:f>
                <c:numCache>
                  <c:formatCode>General</c:formatCode>
                  <c:ptCount val="5"/>
                  <c:pt idx="0">
                    <c:v>0.22204099926864276</c:v>
                  </c:pt>
                  <c:pt idx="1">
                    <c:v>0.14694009557392632</c:v>
                  </c:pt>
                  <c:pt idx="2">
                    <c:v>0.29378815681476261</c:v>
                  </c:pt>
                  <c:pt idx="3">
                    <c:v>0.34205728373834565</c:v>
                  </c:pt>
                  <c:pt idx="4">
                    <c:v>0.1416599378457632</c:v>
                  </c:pt>
                </c:numCache>
              </c:numRef>
            </c:plus>
            <c:minus>
              <c:numRef>
                <c:f>'Normalization - Both Exp.'!$Z$2:$Z$6</c:f>
                <c:numCache>
                  <c:formatCode>General</c:formatCode>
                  <c:ptCount val="5"/>
                  <c:pt idx="0">
                    <c:v>0.22204099926864276</c:v>
                  </c:pt>
                  <c:pt idx="1">
                    <c:v>0.14694009557392632</c:v>
                  </c:pt>
                  <c:pt idx="2">
                    <c:v>0.29378815681476261</c:v>
                  </c:pt>
                  <c:pt idx="3">
                    <c:v>0.34205728373834565</c:v>
                  </c:pt>
                  <c:pt idx="4">
                    <c:v>0.1416599378457632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'Normalization - Both Exp.'!$X$2:$X$6</c:f>
              <c:strCache>
                <c:ptCount val="5"/>
                <c:pt idx="0">
                  <c:v>WT</c:v>
                </c:pt>
                <c:pt idx="1">
                  <c:v>ΔLLM1 </c:v>
                </c:pt>
                <c:pt idx="2">
                  <c:v>LLM1-NoGFP</c:v>
                </c:pt>
                <c:pt idx="3">
                  <c:v>LLM1+GFP-C</c:v>
                </c:pt>
                <c:pt idx="4">
                  <c:v>oeLLM1</c:v>
                </c:pt>
              </c:strCache>
            </c:strRef>
          </c:cat>
          <c:val>
            <c:numRef>
              <c:f>'Normalization - Both Exp.'!$Y$2:$Y$6</c:f>
              <c:numCache>
                <c:formatCode>0.000</c:formatCode>
                <c:ptCount val="5"/>
                <c:pt idx="0">
                  <c:v>1</c:v>
                </c:pt>
                <c:pt idx="1">
                  <c:v>0.44424347829147592</c:v>
                </c:pt>
                <c:pt idx="2">
                  <c:v>1.0447475019897408</c:v>
                </c:pt>
                <c:pt idx="3">
                  <c:v>1.0137537402509296</c:v>
                </c:pt>
                <c:pt idx="4">
                  <c:v>0.46536970903806535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CC-4E8B-BE99-CF2384CCA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1219920"/>
        <c:axId val="1281216560"/>
      </c:barChart>
      <c:catAx>
        <c:axId val="128121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81216560"/>
        <c:crosses val="autoZero"/>
        <c:auto val="1"/>
        <c:lblAlgn val="ctr"/>
        <c:lblOffset val="100"/>
        <c:noMultiLvlLbl val="0"/>
      </c:catAx>
      <c:valAx>
        <c:axId val="128121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8121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182880</xdr:colOff>
      <xdr:row>9</xdr:row>
      <xdr:rowOff>38100</xdr:rowOff>
    </xdr:from>
    <xdr:to>
      <xdr:col>28</xdr:col>
      <xdr:colOff>121920</xdr:colOff>
      <xdr:row>33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13DF5-584C-803C-2C54-949D22130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0.15973</cdr:x>
      <cdr:y>0.27148</cdr:y>
    </cdr:from>
    <cdr:to>
      <cdr:x>0.35883</cdr:x>
      <cdr:y>0.29038</cdr:y>
    </cdr:to>
    <cdr:sp macro="" textlink="">
      <cdr:nvSpPr>
        <cdr:cNvPr id="2" name="Left Brace 1">
          <a:extLst xmlns:a="http://schemas.openxmlformats.org/drawingml/2006/main">
            <a:ext uri="{FF2B5EF4-FFF2-40B4-BE49-F238E27FC236}">
              <a16:creationId xmlns:a16="http://schemas.microsoft.com/office/drawing/2014/main" id="{4BC07DEF-2171-6F50-C12E-30DBF58079E7}"/>
            </a:ext>
          </a:extLst>
        </cdr:cNvPr>
        <cdr:cNvSpPr/>
      </cdr:nvSpPr>
      <cdr:spPr>
        <a:xfrm xmlns:a="http://schemas.openxmlformats.org/drawingml/2006/main" rot="5400000">
          <a:off x="1714500" y="571500"/>
          <a:ext cx="83820" cy="1348740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0.31496</cdr:x>
      <cdr:y>0.20619</cdr:y>
    </cdr:from>
    <cdr:to>
      <cdr:x>0.51406</cdr:x>
      <cdr:y>0.22509</cdr:y>
    </cdr:to>
    <cdr:sp macro="" textlink="">
      <cdr:nvSpPr>
        <cdr:cNvPr id="3" name="Left Brace 2">
          <a:extLst xmlns:a="http://schemas.openxmlformats.org/drawingml/2006/main">
            <a:ext uri="{FF2B5EF4-FFF2-40B4-BE49-F238E27FC236}">
              <a16:creationId xmlns:a16="http://schemas.microsoft.com/office/drawing/2014/main" id="{6E485AE3-366D-D0CA-19EF-F75E7967A9BF}"/>
            </a:ext>
          </a:extLst>
        </cdr:cNvPr>
        <cdr:cNvSpPr/>
      </cdr:nvSpPr>
      <cdr:spPr>
        <a:xfrm xmlns:a="http://schemas.openxmlformats.org/drawingml/2006/main" rot="5400000">
          <a:off x="2766060" y="281940"/>
          <a:ext cx="83820" cy="1348740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0.34533</cdr:x>
      <cdr:y>0.1512</cdr:y>
    </cdr:from>
    <cdr:to>
      <cdr:x>0.69966</cdr:x>
      <cdr:y>0.17354</cdr:y>
    </cdr:to>
    <cdr:sp macro="" textlink="">
      <cdr:nvSpPr>
        <cdr:cNvPr id="4" name="Left Brace 3">
          <a:extLst xmlns:a="http://schemas.openxmlformats.org/drawingml/2006/main">
            <a:ext uri="{FF2B5EF4-FFF2-40B4-BE49-F238E27FC236}">
              <a16:creationId xmlns:a16="http://schemas.microsoft.com/office/drawing/2014/main" id="{1C110676-C9FB-A0E2-B1CB-5CE4F18ECEA1}"/>
            </a:ext>
          </a:extLst>
        </cdr:cNvPr>
        <cdr:cNvSpPr/>
      </cdr:nvSpPr>
      <cdr:spPr>
        <a:xfrm xmlns:a="http://schemas.openxmlformats.org/drawingml/2006/main" rot="5400000">
          <a:off x="3489960" y="-480060"/>
          <a:ext cx="99060" cy="2400300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0.16535</cdr:x>
      <cdr:y>0.12027</cdr:y>
    </cdr:from>
    <cdr:to>
      <cdr:x>0.86839</cdr:x>
      <cdr:y>0.13058</cdr:y>
    </cdr:to>
    <cdr:sp macro="" textlink="">
      <cdr:nvSpPr>
        <cdr:cNvPr id="5" name="Left Brace 4">
          <a:extLst xmlns:a="http://schemas.openxmlformats.org/drawingml/2006/main">
            <a:ext uri="{FF2B5EF4-FFF2-40B4-BE49-F238E27FC236}">
              <a16:creationId xmlns:a16="http://schemas.microsoft.com/office/drawing/2014/main" id="{774E1F1A-DACB-D644-2CD0-2D5A0C3CA9BC}"/>
            </a:ext>
          </a:extLst>
        </cdr:cNvPr>
        <cdr:cNvSpPr/>
      </cdr:nvSpPr>
      <cdr:spPr>
        <a:xfrm xmlns:a="http://schemas.openxmlformats.org/drawingml/2006/main" rot="5400000">
          <a:off x="3478530" y="-1824990"/>
          <a:ext cx="45719" cy="4762500"/>
        </a:xfrm>
        <a:prstGeom xmlns:a="http://schemas.openxmlformats.org/drawingml/2006/main" prst="leftBrac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</xdr:colOff>
      <xdr:row>2</xdr:row>
      <xdr:rowOff>15240</xdr:rowOff>
    </xdr:from>
    <xdr:to>
      <xdr:col>16</xdr:col>
      <xdr:colOff>549650</xdr:colOff>
      <xdr:row>21</xdr:row>
      <xdr:rowOff>84315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2ED182-4911-BD72-B233-71D7A9A8F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70960" y="563880"/>
          <a:ext cx="7240010" cy="354379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304800</xdr:colOff>
      <xdr:row>26</xdr:row>
      <xdr:rowOff>121920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221F5FCB-CD9E-3170-F782-50F72A14E797}"/>
            </a:ext>
          </a:extLst>
        </xdr:cNvPr>
        <xdr:cNvSpPr>
          <a:spLocks noChangeAspect="1" noChangeArrowheads="1"/>
        </xdr:cNvSpPr>
      </xdr:nvSpPr>
      <xdr:spPr bwMode="auto">
        <a:xfrm>
          <a:off x="3855720" y="475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30480</xdr:colOff>
      <xdr:row>26</xdr:row>
      <xdr:rowOff>30480</xdr:rowOff>
    </xdr:from>
    <xdr:to>
      <xdr:col>15</xdr:col>
      <xdr:colOff>450489</xdr:colOff>
      <xdr:row>51</xdr:row>
      <xdr:rowOff>116855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906018-3112-EB7B-8A06-5B9966F05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86200" y="4968240"/>
          <a:ext cx="6516009" cy="4658375"/>
        </a:xfrm>
        <a:prstGeom prst="rect">
          <a:avLst/>
        </a:prstGeom>
      </xdr:spPr>
    </xdr:pic>
    <xdr:clientData/>
  </xdr:twoCellAnchor>
  <xdr:twoCellAnchor editAs="oneCell">
    <xdr:from>
      <xdr:col>4</xdr:col>
      <xdr:colOff>586740</xdr:colOff>
      <xdr:row>56</xdr:row>
      <xdr:rowOff>22860</xdr:rowOff>
    </xdr:from>
    <xdr:to>
      <xdr:col>15</xdr:col>
      <xdr:colOff>397149</xdr:colOff>
      <xdr:row>81</xdr:row>
      <xdr:rowOff>109235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DCCFA5-E006-A84F-DD49-784C9B01B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32860" y="10447020"/>
          <a:ext cx="6516009" cy="465837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83</xdr:row>
      <xdr:rowOff>22860</xdr:rowOff>
    </xdr:from>
    <xdr:to>
      <xdr:col>16</xdr:col>
      <xdr:colOff>380083</xdr:colOff>
      <xdr:row>90</xdr:row>
      <xdr:rowOff>152597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A622BC8-A437-37E7-67CA-4F89B6DA2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63340" y="15384780"/>
          <a:ext cx="7078063" cy="1409897"/>
        </a:xfrm>
        <a:prstGeom prst="rect">
          <a:avLst/>
        </a:prstGeom>
      </xdr:spPr>
    </xdr:pic>
    <xdr:clientData/>
  </xdr:twoCellAnchor>
  <xdr:twoCellAnchor editAs="oneCell">
    <xdr:from>
      <xdr:col>17</xdr:col>
      <xdr:colOff>68580</xdr:colOff>
      <xdr:row>3</xdr:row>
      <xdr:rowOff>0</xdr:rowOff>
    </xdr:from>
    <xdr:to>
      <xdr:col>29</xdr:col>
      <xdr:colOff>231549</xdr:colOff>
      <xdr:row>12</xdr:row>
      <xdr:rowOff>2135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83AA3BC-9655-4FB0-8092-6EB8983DD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39500" y="731520"/>
          <a:ext cx="7478169" cy="1648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icalcu.com/stat/two-sample-t-test-calculator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0053C-8BD4-4EC1-AD85-BAA2E33D805B}">
  <dimension ref="A1:E60"/>
  <sheetViews>
    <sheetView workbookViewId="0">
      <selection activeCell="C2" sqref="C2:C60"/>
    </sheetView>
  </sheetViews>
  <sheetFormatPr defaultRowHeight="14.4" x14ac:dyDescent="0.3"/>
  <cols>
    <col min="1" max="1" width="22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51286</v>
      </c>
      <c r="C2" s="3">
        <v>150.863</v>
      </c>
      <c r="D2">
        <v>122</v>
      </c>
      <c r="E2">
        <v>186</v>
      </c>
    </row>
    <row r="3" spans="1:5" x14ac:dyDescent="0.3">
      <c r="A3" t="s">
        <v>6</v>
      </c>
      <c r="B3">
        <v>51286</v>
      </c>
      <c r="C3" s="3">
        <v>199.90700000000001</v>
      </c>
      <c r="D3">
        <v>195</v>
      </c>
      <c r="E3">
        <v>204</v>
      </c>
    </row>
    <row r="4" spans="1:5" x14ac:dyDescent="0.3">
      <c r="A4" t="s">
        <v>7</v>
      </c>
      <c r="B4">
        <v>51286</v>
      </c>
      <c r="C4" s="3">
        <v>168.69</v>
      </c>
      <c r="D4">
        <v>149</v>
      </c>
      <c r="E4">
        <v>192</v>
      </c>
    </row>
    <row r="5" spans="1:5" x14ac:dyDescent="0.3">
      <c r="A5" t="s">
        <v>8</v>
      </c>
      <c r="B5">
        <v>51286</v>
      </c>
      <c r="C5" s="3">
        <v>173.761</v>
      </c>
      <c r="D5">
        <v>156</v>
      </c>
      <c r="E5">
        <v>192</v>
      </c>
    </row>
    <row r="6" spans="1:5" x14ac:dyDescent="0.3">
      <c r="A6" t="s">
        <v>9</v>
      </c>
      <c r="B6">
        <v>51286</v>
      </c>
      <c r="C6" s="3">
        <v>162.90299999999999</v>
      </c>
      <c r="D6">
        <v>136</v>
      </c>
      <c r="E6">
        <v>190</v>
      </c>
    </row>
    <row r="7" spans="1:5" x14ac:dyDescent="0.3">
      <c r="A7" t="s">
        <v>10</v>
      </c>
      <c r="B7">
        <v>51286</v>
      </c>
      <c r="C7" s="3">
        <v>164.73400000000001</v>
      </c>
      <c r="D7">
        <v>141</v>
      </c>
      <c r="E7">
        <v>192</v>
      </c>
    </row>
    <row r="8" spans="1:5" x14ac:dyDescent="0.3">
      <c r="A8" t="s">
        <v>11</v>
      </c>
      <c r="B8">
        <v>51286</v>
      </c>
      <c r="C8" s="3">
        <v>160.828</v>
      </c>
      <c r="D8">
        <v>50</v>
      </c>
      <c r="E8">
        <v>190</v>
      </c>
    </row>
    <row r="9" spans="1:5" x14ac:dyDescent="0.3">
      <c r="A9" t="s">
        <v>12</v>
      </c>
      <c r="B9">
        <v>51286</v>
      </c>
      <c r="C9" s="3">
        <v>189.00899999999999</v>
      </c>
      <c r="D9">
        <v>173</v>
      </c>
      <c r="E9">
        <v>202</v>
      </c>
    </row>
    <row r="10" spans="1:5" x14ac:dyDescent="0.3">
      <c r="A10" t="s">
        <v>13</v>
      </c>
      <c r="B10">
        <v>51286</v>
      </c>
      <c r="C10" s="3">
        <v>181.31299999999999</v>
      </c>
      <c r="D10">
        <v>168</v>
      </c>
      <c r="E10">
        <v>197</v>
      </c>
    </row>
    <row r="11" spans="1:5" x14ac:dyDescent="0.3">
      <c r="A11" t="s">
        <v>14</v>
      </c>
      <c r="B11">
        <v>51286</v>
      </c>
      <c r="C11" s="3">
        <v>166.33099999999999</v>
      </c>
      <c r="D11">
        <v>145</v>
      </c>
      <c r="E11">
        <v>192</v>
      </c>
    </row>
    <row r="12" spans="1:5" x14ac:dyDescent="0.3">
      <c r="A12" t="s">
        <v>15</v>
      </c>
      <c r="B12">
        <v>51286</v>
      </c>
      <c r="C12" s="3">
        <v>173.61500000000001</v>
      </c>
      <c r="D12">
        <v>157</v>
      </c>
      <c r="E12">
        <v>192</v>
      </c>
    </row>
    <row r="13" spans="1:5" x14ac:dyDescent="0.3">
      <c r="A13" t="s">
        <v>16</v>
      </c>
      <c r="B13">
        <v>51286</v>
      </c>
      <c r="C13" s="3">
        <v>158.87899999999999</v>
      </c>
      <c r="D13">
        <v>135</v>
      </c>
      <c r="E13">
        <v>187</v>
      </c>
    </row>
    <row r="14" spans="1:5" x14ac:dyDescent="0.3">
      <c r="A14" s="1" t="s">
        <v>17</v>
      </c>
      <c r="B14">
        <v>51286</v>
      </c>
      <c r="C14" s="3">
        <v>199.964</v>
      </c>
      <c r="D14">
        <v>193</v>
      </c>
      <c r="E14">
        <v>206</v>
      </c>
    </row>
    <row r="15" spans="1:5" x14ac:dyDescent="0.3">
      <c r="A15" s="1" t="s">
        <v>18</v>
      </c>
      <c r="B15">
        <v>51286</v>
      </c>
      <c r="C15" s="3">
        <v>194.869</v>
      </c>
      <c r="D15">
        <v>186</v>
      </c>
      <c r="E15">
        <v>202</v>
      </c>
    </row>
    <row r="16" spans="1:5" x14ac:dyDescent="0.3">
      <c r="A16" s="1" t="s">
        <v>19</v>
      </c>
      <c r="B16">
        <v>51286</v>
      </c>
      <c r="C16" s="3">
        <v>194.75800000000001</v>
      </c>
      <c r="D16">
        <v>185</v>
      </c>
      <c r="E16">
        <v>204</v>
      </c>
    </row>
    <row r="17" spans="1:5" x14ac:dyDescent="0.3">
      <c r="A17" s="1" t="s">
        <v>20</v>
      </c>
      <c r="B17">
        <v>51286</v>
      </c>
      <c r="C17" s="3">
        <v>182.99100000000001</v>
      </c>
      <c r="D17">
        <v>168</v>
      </c>
      <c r="E17">
        <v>198</v>
      </c>
    </row>
    <row r="18" spans="1:5" x14ac:dyDescent="0.3">
      <c r="A18" s="1" t="s">
        <v>21</v>
      </c>
      <c r="B18">
        <v>51286</v>
      </c>
      <c r="C18" s="3">
        <v>180.58799999999999</v>
      </c>
      <c r="D18">
        <v>160</v>
      </c>
      <c r="E18">
        <v>196</v>
      </c>
    </row>
    <row r="19" spans="1:5" x14ac:dyDescent="0.3">
      <c r="A19" s="1" t="s">
        <v>22</v>
      </c>
      <c r="B19">
        <v>51286</v>
      </c>
      <c r="C19" s="3">
        <v>178.66499999999999</v>
      </c>
      <c r="D19">
        <v>147</v>
      </c>
      <c r="E19">
        <v>195</v>
      </c>
    </row>
    <row r="20" spans="1:5" x14ac:dyDescent="0.3">
      <c r="A20" s="1" t="s">
        <v>23</v>
      </c>
      <c r="B20">
        <v>51286</v>
      </c>
      <c r="C20" s="3">
        <v>195.89</v>
      </c>
      <c r="D20">
        <v>187</v>
      </c>
      <c r="E20">
        <v>203</v>
      </c>
    </row>
    <row r="21" spans="1:5" x14ac:dyDescent="0.3">
      <c r="A21" s="1" t="s">
        <v>24</v>
      </c>
      <c r="B21">
        <v>51286</v>
      </c>
      <c r="C21" s="3">
        <v>197.376</v>
      </c>
      <c r="D21">
        <v>192</v>
      </c>
      <c r="E21">
        <v>202</v>
      </c>
    </row>
    <row r="22" spans="1:5" x14ac:dyDescent="0.3">
      <c r="A22" s="1" t="s">
        <v>25</v>
      </c>
      <c r="B22">
        <v>51286</v>
      </c>
      <c r="C22" s="3">
        <v>200.16499999999999</v>
      </c>
      <c r="D22">
        <v>194</v>
      </c>
      <c r="E22">
        <v>205</v>
      </c>
    </row>
    <row r="23" spans="1:5" x14ac:dyDescent="0.3">
      <c r="A23" s="1" t="s">
        <v>26</v>
      </c>
      <c r="B23">
        <v>51286</v>
      </c>
      <c r="C23" s="3">
        <v>201.892</v>
      </c>
      <c r="D23">
        <v>192</v>
      </c>
      <c r="E23">
        <v>205</v>
      </c>
    </row>
    <row r="24" spans="1:5" x14ac:dyDescent="0.3">
      <c r="A24" s="1" t="s">
        <v>27</v>
      </c>
      <c r="B24">
        <v>51286</v>
      </c>
      <c r="C24" s="3">
        <v>182.66800000000001</v>
      </c>
      <c r="D24">
        <v>162</v>
      </c>
      <c r="E24">
        <v>199</v>
      </c>
    </row>
    <row r="25" spans="1:5" x14ac:dyDescent="0.3">
      <c r="A25" s="1" t="s">
        <v>28</v>
      </c>
      <c r="B25">
        <v>51286</v>
      </c>
      <c r="C25" s="3">
        <v>186.59899999999999</v>
      </c>
      <c r="D25">
        <v>176</v>
      </c>
      <c r="E25">
        <v>198</v>
      </c>
    </row>
    <row r="26" spans="1:5" x14ac:dyDescent="0.3">
      <c r="A26" t="s">
        <v>29</v>
      </c>
      <c r="B26">
        <v>51286</v>
      </c>
      <c r="C26" s="3">
        <v>159.16800000000001</v>
      </c>
      <c r="D26">
        <v>138</v>
      </c>
      <c r="E26">
        <v>185</v>
      </c>
    </row>
    <row r="27" spans="1:5" x14ac:dyDescent="0.3">
      <c r="A27" t="s">
        <v>30</v>
      </c>
      <c r="B27">
        <v>51286</v>
      </c>
      <c r="C27" s="3">
        <v>183.44499999999999</v>
      </c>
      <c r="D27">
        <v>166</v>
      </c>
      <c r="E27">
        <v>199</v>
      </c>
    </row>
    <row r="28" spans="1:5" x14ac:dyDescent="0.3">
      <c r="A28" t="s">
        <v>31</v>
      </c>
      <c r="B28">
        <v>51286</v>
      </c>
      <c r="C28" s="3">
        <v>163.506</v>
      </c>
      <c r="D28">
        <v>139</v>
      </c>
      <c r="E28">
        <v>193</v>
      </c>
    </row>
    <row r="29" spans="1:5" x14ac:dyDescent="0.3">
      <c r="A29" t="s">
        <v>32</v>
      </c>
      <c r="B29">
        <v>51286</v>
      </c>
      <c r="C29" s="3">
        <v>167.7</v>
      </c>
      <c r="D29">
        <v>153</v>
      </c>
      <c r="E29">
        <v>189</v>
      </c>
    </row>
    <row r="30" spans="1:5" x14ac:dyDescent="0.3">
      <c r="A30" t="s">
        <v>33</v>
      </c>
      <c r="B30">
        <v>51286</v>
      </c>
      <c r="C30" s="3">
        <v>198.059</v>
      </c>
      <c r="D30">
        <v>191</v>
      </c>
      <c r="E30">
        <v>203</v>
      </c>
    </row>
    <row r="31" spans="1:5" x14ac:dyDescent="0.3">
      <c r="A31" t="s">
        <v>34</v>
      </c>
      <c r="B31">
        <v>51286</v>
      </c>
      <c r="C31" s="3">
        <v>176.95500000000001</v>
      </c>
      <c r="D31">
        <v>158</v>
      </c>
      <c r="E31">
        <v>194</v>
      </c>
    </row>
    <row r="32" spans="1:5" x14ac:dyDescent="0.3">
      <c r="A32" t="s">
        <v>35</v>
      </c>
      <c r="B32">
        <v>51286</v>
      </c>
      <c r="C32" s="3">
        <v>162.54400000000001</v>
      </c>
      <c r="D32">
        <v>136</v>
      </c>
      <c r="E32">
        <v>188</v>
      </c>
    </row>
    <row r="33" spans="1:5" x14ac:dyDescent="0.3">
      <c r="A33" t="s">
        <v>36</v>
      </c>
      <c r="B33">
        <v>51286</v>
      </c>
      <c r="C33" s="3">
        <v>161.982</v>
      </c>
      <c r="D33">
        <v>136</v>
      </c>
      <c r="E33">
        <v>189</v>
      </c>
    </row>
    <row r="34" spans="1:5" x14ac:dyDescent="0.3">
      <c r="A34" t="s">
        <v>37</v>
      </c>
      <c r="B34">
        <v>51286</v>
      </c>
      <c r="C34" s="3">
        <v>169.71799999999999</v>
      </c>
      <c r="D34">
        <v>151</v>
      </c>
      <c r="E34">
        <v>192</v>
      </c>
    </row>
    <row r="35" spans="1:5" x14ac:dyDescent="0.3">
      <c r="A35" t="s">
        <v>38</v>
      </c>
      <c r="B35">
        <v>51286</v>
      </c>
      <c r="C35" s="3">
        <v>150.75200000000001</v>
      </c>
      <c r="D35">
        <v>125</v>
      </c>
      <c r="E35">
        <v>183</v>
      </c>
    </row>
    <row r="36" spans="1:5" x14ac:dyDescent="0.3">
      <c r="A36" t="s">
        <v>39</v>
      </c>
      <c r="B36">
        <v>51286</v>
      </c>
      <c r="C36" s="3">
        <v>169.667</v>
      </c>
      <c r="D36">
        <v>147</v>
      </c>
      <c r="E36">
        <v>193</v>
      </c>
    </row>
    <row r="37" spans="1:5" x14ac:dyDescent="0.3">
      <c r="A37" t="s">
        <v>40</v>
      </c>
      <c r="B37">
        <v>51286</v>
      </c>
      <c r="C37" s="3">
        <v>195.42400000000001</v>
      </c>
      <c r="D37">
        <v>186</v>
      </c>
      <c r="E37">
        <v>204</v>
      </c>
    </row>
    <row r="38" spans="1:5" x14ac:dyDescent="0.3">
      <c r="A38" t="s">
        <v>41</v>
      </c>
      <c r="B38">
        <v>51286</v>
      </c>
      <c r="C38" s="3">
        <v>183.608</v>
      </c>
      <c r="D38">
        <v>171</v>
      </c>
      <c r="E38">
        <v>199</v>
      </c>
    </row>
    <row r="39" spans="1:5" x14ac:dyDescent="0.3">
      <c r="A39" t="s">
        <v>42</v>
      </c>
      <c r="B39">
        <v>51286</v>
      </c>
      <c r="C39" s="3">
        <v>197.381</v>
      </c>
      <c r="D39">
        <v>190</v>
      </c>
      <c r="E39">
        <v>205</v>
      </c>
    </row>
    <row r="40" spans="1:5" x14ac:dyDescent="0.3">
      <c r="A40" t="s">
        <v>43</v>
      </c>
      <c r="B40">
        <v>51286</v>
      </c>
      <c r="C40" s="3">
        <v>192.22499999999999</v>
      </c>
      <c r="D40">
        <v>181</v>
      </c>
      <c r="E40">
        <v>201</v>
      </c>
    </row>
    <row r="41" spans="1:5" x14ac:dyDescent="0.3">
      <c r="A41" t="s">
        <v>44</v>
      </c>
      <c r="B41">
        <v>51286</v>
      </c>
      <c r="C41" s="3">
        <v>188.18700000000001</v>
      </c>
      <c r="D41">
        <v>177</v>
      </c>
      <c r="E41">
        <v>200</v>
      </c>
    </row>
    <row r="42" spans="1:5" x14ac:dyDescent="0.3">
      <c r="A42" t="s">
        <v>45</v>
      </c>
      <c r="B42">
        <v>51286</v>
      </c>
      <c r="C42" s="3">
        <v>152.13300000000001</v>
      </c>
      <c r="D42">
        <v>123</v>
      </c>
      <c r="E42">
        <v>184</v>
      </c>
    </row>
    <row r="43" spans="1:5" x14ac:dyDescent="0.3">
      <c r="A43" t="s">
        <v>46</v>
      </c>
      <c r="B43">
        <v>51286</v>
      </c>
      <c r="C43" s="3">
        <v>186.066</v>
      </c>
      <c r="D43">
        <v>174</v>
      </c>
      <c r="E43">
        <v>198</v>
      </c>
    </row>
    <row r="44" spans="1:5" x14ac:dyDescent="0.3">
      <c r="A44" t="s">
        <v>47</v>
      </c>
      <c r="B44">
        <v>51286</v>
      </c>
      <c r="C44" s="3">
        <v>152.66900000000001</v>
      </c>
      <c r="D44">
        <v>126</v>
      </c>
      <c r="E44">
        <v>184</v>
      </c>
    </row>
    <row r="45" spans="1:5" x14ac:dyDescent="0.3">
      <c r="A45" t="s">
        <v>48</v>
      </c>
      <c r="B45">
        <v>51286</v>
      </c>
      <c r="C45" s="3">
        <v>176.952</v>
      </c>
      <c r="D45">
        <v>158</v>
      </c>
      <c r="E45">
        <v>198</v>
      </c>
    </row>
    <row r="46" spans="1:5" x14ac:dyDescent="0.3">
      <c r="A46" t="s">
        <v>49</v>
      </c>
      <c r="B46">
        <v>51286</v>
      </c>
      <c r="C46" s="3">
        <v>169.07900000000001</v>
      </c>
      <c r="D46">
        <v>151</v>
      </c>
      <c r="E46">
        <v>191</v>
      </c>
    </row>
    <row r="47" spans="1:5" x14ac:dyDescent="0.3">
      <c r="A47" t="s">
        <v>50</v>
      </c>
      <c r="B47">
        <v>51286</v>
      </c>
      <c r="C47" s="3">
        <v>157.04599999999999</v>
      </c>
      <c r="D47">
        <v>135</v>
      </c>
      <c r="E47">
        <v>186</v>
      </c>
    </row>
    <row r="48" spans="1:5" x14ac:dyDescent="0.3">
      <c r="A48" t="s">
        <v>51</v>
      </c>
      <c r="B48">
        <v>51286</v>
      </c>
      <c r="C48" s="3">
        <v>158.77199999999999</v>
      </c>
      <c r="D48">
        <v>136</v>
      </c>
      <c r="E48">
        <v>185</v>
      </c>
    </row>
    <row r="49" spans="1:5" x14ac:dyDescent="0.3">
      <c r="A49" t="s">
        <v>52</v>
      </c>
      <c r="B49">
        <v>51286</v>
      </c>
      <c r="C49" s="3">
        <v>186.66200000000001</v>
      </c>
      <c r="D49">
        <v>174</v>
      </c>
      <c r="E49">
        <v>199</v>
      </c>
    </row>
    <row r="50" spans="1:5" x14ac:dyDescent="0.3">
      <c r="A50" t="s">
        <v>53</v>
      </c>
      <c r="B50">
        <v>51286</v>
      </c>
      <c r="C50" s="3">
        <v>179.78700000000001</v>
      </c>
      <c r="D50">
        <v>162</v>
      </c>
      <c r="E50">
        <v>200</v>
      </c>
    </row>
    <row r="51" spans="1:5" x14ac:dyDescent="0.3">
      <c r="A51" t="s">
        <v>54</v>
      </c>
      <c r="B51">
        <v>51286</v>
      </c>
      <c r="C51" s="3">
        <v>182.31399999999999</v>
      </c>
      <c r="D51">
        <v>167</v>
      </c>
      <c r="E51">
        <v>201</v>
      </c>
    </row>
    <row r="52" spans="1:5" x14ac:dyDescent="0.3">
      <c r="A52" t="s">
        <v>55</v>
      </c>
      <c r="B52">
        <v>51286</v>
      </c>
      <c r="C52" s="3">
        <v>194.65700000000001</v>
      </c>
      <c r="D52">
        <v>183</v>
      </c>
      <c r="E52">
        <v>202</v>
      </c>
    </row>
    <row r="53" spans="1:5" x14ac:dyDescent="0.3">
      <c r="A53" t="s">
        <v>56</v>
      </c>
      <c r="B53">
        <v>51286</v>
      </c>
      <c r="C53" s="3">
        <v>190.61</v>
      </c>
      <c r="D53">
        <v>178</v>
      </c>
      <c r="E53">
        <v>200</v>
      </c>
    </row>
    <row r="54" spans="1:5" x14ac:dyDescent="0.3">
      <c r="A54" t="s">
        <v>57</v>
      </c>
      <c r="B54">
        <v>51286</v>
      </c>
      <c r="C54" s="3">
        <v>198.85300000000001</v>
      </c>
      <c r="D54">
        <v>193</v>
      </c>
      <c r="E54">
        <v>206</v>
      </c>
    </row>
    <row r="55" spans="1:5" x14ac:dyDescent="0.3">
      <c r="A55" t="s">
        <v>58</v>
      </c>
      <c r="B55">
        <v>51286</v>
      </c>
      <c r="C55" s="3">
        <v>183.767</v>
      </c>
      <c r="D55">
        <v>168</v>
      </c>
      <c r="E55">
        <v>200</v>
      </c>
    </row>
    <row r="56" spans="1:5" x14ac:dyDescent="0.3">
      <c r="A56" t="s">
        <v>59</v>
      </c>
      <c r="B56">
        <v>51286</v>
      </c>
      <c r="C56" s="3">
        <v>183.38200000000001</v>
      </c>
      <c r="D56">
        <v>166</v>
      </c>
      <c r="E56">
        <v>200</v>
      </c>
    </row>
    <row r="57" spans="1:5" x14ac:dyDescent="0.3">
      <c r="A57" t="s">
        <v>60</v>
      </c>
      <c r="B57">
        <v>51286</v>
      </c>
      <c r="C57" s="3">
        <v>190.01900000000001</v>
      </c>
      <c r="D57">
        <v>179</v>
      </c>
      <c r="E57">
        <v>201</v>
      </c>
    </row>
    <row r="58" spans="1:5" x14ac:dyDescent="0.3">
      <c r="A58" t="s">
        <v>61</v>
      </c>
      <c r="B58">
        <v>51286</v>
      </c>
      <c r="C58" s="3">
        <v>184.08500000000001</v>
      </c>
      <c r="D58">
        <v>150</v>
      </c>
      <c r="E58">
        <v>203</v>
      </c>
    </row>
    <row r="59" spans="1:5" x14ac:dyDescent="0.3">
      <c r="A59" t="s">
        <v>62</v>
      </c>
      <c r="B59">
        <v>51286</v>
      </c>
      <c r="C59" s="3">
        <v>189.75</v>
      </c>
      <c r="D59">
        <v>179</v>
      </c>
      <c r="E59">
        <v>200</v>
      </c>
    </row>
    <row r="60" spans="1:5" x14ac:dyDescent="0.3">
      <c r="A60" t="s">
        <v>63</v>
      </c>
      <c r="B60">
        <v>51286</v>
      </c>
      <c r="C60" s="3">
        <v>191.48099999999999</v>
      </c>
      <c r="D60">
        <v>183</v>
      </c>
      <c r="E60">
        <v>202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97E3-C2DC-43E9-BC67-A3F5929100C2}">
  <dimension ref="A1:V178"/>
  <sheetViews>
    <sheetView workbookViewId="0">
      <selection activeCell="Q1" sqref="Q1:V21"/>
    </sheetView>
  </sheetViews>
  <sheetFormatPr defaultRowHeight="14.4" x14ac:dyDescent="0.3"/>
  <cols>
    <col min="1" max="1" width="19" customWidth="1"/>
    <col min="8" max="8" width="16.44140625" customWidth="1"/>
    <col min="9" max="9" width="8.88671875" customWidth="1"/>
    <col min="13" max="13" width="11.44140625" customWidth="1"/>
    <col min="14" max="14" width="13.88671875" customWidth="1"/>
    <col min="17" max="17" width="15.44140625" customWidth="1"/>
    <col min="18" max="20" width="9.21875" bestFit="1" customWidth="1"/>
    <col min="21" max="21" width="16.441406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H1" s="4" t="s">
        <v>241</v>
      </c>
      <c r="I1" s="4" t="s">
        <v>242</v>
      </c>
      <c r="J1" s="4" t="s">
        <v>243</v>
      </c>
      <c r="K1" s="4" t="s">
        <v>244</v>
      </c>
      <c r="L1" s="4" t="s">
        <v>245</v>
      </c>
      <c r="M1" s="4" t="s">
        <v>246</v>
      </c>
      <c r="N1" s="4" t="s">
        <v>247</v>
      </c>
      <c r="Q1" s="4" t="s">
        <v>270</v>
      </c>
      <c r="R1" s="4">
        <v>1</v>
      </c>
      <c r="S1" s="4">
        <v>2</v>
      </c>
      <c r="T1" s="4">
        <v>3</v>
      </c>
      <c r="U1" s="4" t="s">
        <v>271</v>
      </c>
      <c r="V1" s="4" t="s">
        <v>272</v>
      </c>
    </row>
    <row r="2" spans="1:22" x14ac:dyDescent="0.3">
      <c r="A2" t="s">
        <v>64</v>
      </c>
      <c r="B2">
        <v>33644</v>
      </c>
      <c r="C2" s="3">
        <v>209.47200000000001</v>
      </c>
      <c r="D2">
        <v>206</v>
      </c>
      <c r="E2">
        <v>212</v>
      </c>
      <c r="H2" t="s">
        <v>248</v>
      </c>
      <c r="I2" s="3">
        <v>209.47200000000001</v>
      </c>
      <c r="J2" s="3">
        <v>206.11199999999999</v>
      </c>
      <c r="K2" s="3">
        <v>210.42</v>
      </c>
      <c r="L2" s="3">
        <f>AVERAGE(I2:K2)</f>
        <v>208.66800000000001</v>
      </c>
      <c r="M2" s="3">
        <v>150.863</v>
      </c>
      <c r="N2" s="3">
        <f>M2-L2</f>
        <v>-57.805000000000007</v>
      </c>
      <c r="Q2" t="s">
        <v>273</v>
      </c>
      <c r="R2" s="2">
        <v>-57.805000000000007</v>
      </c>
      <c r="S2" s="2">
        <v>-9.3163333333333185</v>
      </c>
      <c r="T2" s="2">
        <v>-40.101333333333343</v>
      </c>
      <c r="U2" s="2">
        <f>AVERAGE(R2:T2)</f>
        <v>-35.74088888888889</v>
      </c>
      <c r="V2" s="5">
        <f>_xlfn.STDEV.P(R2:T2)</f>
        <v>20.034101021218685</v>
      </c>
    </row>
    <row r="3" spans="1:22" x14ac:dyDescent="0.3">
      <c r="A3" t="s">
        <v>65</v>
      </c>
      <c r="B3">
        <v>33644</v>
      </c>
      <c r="C3" s="3">
        <v>206.11199999999999</v>
      </c>
      <c r="D3">
        <v>202</v>
      </c>
      <c r="E3">
        <v>214</v>
      </c>
      <c r="H3" t="s">
        <v>6</v>
      </c>
      <c r="I3">
        <v>210.04900000000001</v>
      </c>
      <c r="J3">
        <v>207.19399999999999</v>
      </c>
      <c r="K3" s="3">
        <v>210.42699999999999</v>
      </c>
      <c r="L3" s="3">
        <f t="shared" ref="L3:L60" si="0">AVERAGE(I3:K3)</f>
        <v>209.22333333333333</v>
      </c>
      <c r="M3" s="3">
        <v>199.90700000000001</v>
      </c>
      <c r="N3" s="3">
        <f t="shared" ref="N3:N60" si="1">M3-L3</f>
        <v>-9.3163333333333185</v>
      </c>
      <c r="Q3" t="s">
        <v>274</v>
      </c>
      <c r="R3" s="2">
        <v>-34.78933333333336</v>
      </c>
      <c r="S3" s="2">
        <v>-45.01400000000001</v>
      </c>
      <c r="T3" s="2">
        <v>-43.173666666666634</v>
      </c>
      <c r="U3" s="2">
        <f t="shared" ref="U3:U21" si="2">AVERAGE(R3:T3)</f>
        <v>-40.992333333333335</v>
      </c>
      <c r="V3" s="5">
        <f t="shared" ref="V3:V21" si="3">_xlfn.STDEV.P(R3:T3)</f>
        <v>4.4500646770164192</v>
      </c>
    </row>
    <row r="4" spans="1:22" x14ac:dyDescent="0.3">
      <c r="A4" t="s">
        <v>66</v>
      </c>
      <c r="B4">
        <v>33644</v>
      </c>
      <c r="C4" s="3">
        <v>210.42</v>
      </c>
      <c r="D4">
        <v>206</v>
      </c>
      <c r="E4">
        <v>226</v>
      </c>
      <c r="H4" t="s">
        <v>7</v>
      </c>
      <c r="I4" s="5">
        <v>210.24</v>
      </c>
      <c r="J4">
        <v>205.51900000000001</v>
      </c>
      <c r="K4" s="3">
        <v>210.61500000000001</v>
      </c>
      <c r="L4" s="3">
        <f t="shared" si="0"/>
        <v>208.79133333333334</v>
      </c>
      <c r="M4" s="3">
        <v>168.69</v>
      </c>
      <c r="N4" s="3">
        <f t="shared" si="1"/>
        <v>-40.101333333333343</v>
      </c>
      <c r="Q4" t="s">
        <v>275</v>
      </c>
      <c r="R4" s="2">
        <v>-48.117666666666651</v>
      </c>
      <c r="S4" s="2">
        <v>-19.648333333333341</v>
      </c>
      <c r="T4" s="2">
        <v>-27.433000000000021</v>
      </c>
      <c r="U4" s="2">
        <f t="shared" si="2"/>
        <v>-31.733000000000004</v>
      </c>
      <c r="V4" s="5">
        <f t="shared" si="3"/>
        <v>12.013693162695949</v>
      </c>
    </row>
    <row r="5" spans="1:22" x14ac:dyDescent="0.3">
      <c r="A5" t="s">
        <v>67</v>
      </c>
      <c r="B5">
        <v>33644</v>
      </c>
      <c r="C5" s="3">
        <v>210.04900000000001</v>
      </c>
      <c r="D5">
        <v>199</v>
      </c>
      <c r="E5">
        <v>216</v>
      </c>
      <c r="H5" t="s">
        <v>249</v>
      </c>
      <c r="I5" s="3">
        <v>208.18600000000001</v>
      </c>
      <c r="J5" s="3">
        <v>207.75800000000001</v>
      </c>
      <c r="K5" s="3">
        <v>209.70699999999999</v>
      </c>
      <c r="L5" s="3">
        <f t="shared" si="0"/>
        <v>208.55033333333336</v>
      </c>
      <c r="M5" s="3">
        <v>173.761</v>
      </c>
      <c r="N5" s="3">
        <f t="shared" si="1"/>
        <v>-34.78933333333336</v>
      </c>
      <c r="Q5" t="s">
        <v>276</v>
      </c>
      <c r="R5" s="2">
        <v>-41.226666666666688</v>
      </c>
      <c r="S5" s="2">
        <v>-33.292333333333318</v>
      </c>
      <c r="T5" s="2">
        <v>-47.93100000000004</v>
      </c>
      <c r="U5" s="2">
        <f t="shared" si="2"/>
        <v>-40.816666666666684</v>
      </c>
      <c r="V5" s="5">
        <f t="shared" si="3"/>
        <v>5.983238556971469</v>
      </c>
    </row>
    <row r="6" spans="1:22" x14ac:dyDescent="0.3">
      <c r="A6" t="s">
        <v>68</v>
      </c>
      <c r="B6">
        <v>33644</v>
      </c>
      <c r="C6" s="3">
        <v>207.19399999999999</v>
      </c>
      <c r="D6">
        <v>204</v>
      </c>
      <c r="E6">
        <v>212</v>
      </c>
      <c r="H6" t="s">
        <v>9</v>
      </c>
      <c r="I6" s="3">
        <v>206.65600000000001</v>
      </c>
      <c r="J6" s="3">
        <v>209.08799999999999</v>
      </c>
      <c r="K6" s="3">
        <v>208.00700000000001</v>
      </c>
      <c r="L6" s="3">
        <f t="shared" si="0"/>
        <v>207.917</v>
      </c>
      <c r="M6" s="3">
        <v>162.90299999999999</v>
      </c>
      <c r="N6" s="3">
        <f t="shared" si="1"/>
        <v>-45.01400000000001</v>
      </c>
      <c r="Q6" s="1" t="s">
        <v>277</v>
      </c>
      <c r="R6" s="2">
        <v>-8.971666666666664</v>
      </c>
      <c r="S6" s="2">
        <v>-13.581333333333333</v>
      </c>
      <c r="T6" s="2">
        <v>-13.861999999999995</v>
      </c>
      <c r="U6" s="2">
        <f t="shared" si="2"/>
        <v>-12.13833333333333</v>
      </c>
      <c r="V6" s="5">
        <f t="shared" si="3"/>
        <v>2.2421012135610261</v>
      </c>
    </row>
    <row r="7" spans="1:22" x14ac:dyDescent="0.3">
      <c r="A7" t="s">
        <v>69</v>
      </c>
      <c r="B7">
        <v>33644</v>
      </c>
      <c r="C7" s="3">
        <v>210.42699999999999</v>
      </c>
      <c r="D7">
        <v>206</v>
      </c>
      <c r="E7">
        <v>215</v>
      </c>
      <c r="H7" t="s">
        <v>10</v>
      </c>
      <c r="I7" s="3">
        <v>206.31700000000001</v>
      </c>
      <c r="J7" s="3">
        <v>209.08699999999999</v>
      </c>
      <c r="K7" s="3">
        <v>208.31899999999999</v>
      </c>
      <c r="L7" s="3">
        <f t="shared" si="0"/>
        <v>207.90766666666664</v>
      </c>
      <c r="M7" s="3">
        <v>164.73400000000001</v>
      </c>
      <c r="N7" s="3">
        <f t="shared" si="1"/>
        <v>-43.173666666666634</v>
      </c>
      <c r="Q7" s="1" t="s">
        <v>278</v>
      </c>
      <c r="R7" s="2">
        <v>-25.340333333333319</v>
      </c>
      <c r="S7" s="2">
        <v>-26.600333333333367</v>
      </c>
      <c r="T7" s="2">
        <v>-28.721666666666664</v>
      </c>
      <c r="U7" s="2">
        <f t="shared" si="2"/>
        <v>-26.887444444444451</v>
      </c>
      <c r="V7" s="5">
        <f t="shared" si="3"/>
        <v>1.3952725827761823</v>
      </c>
    </row>
    <row r="8" spans="1:22" x14ac:dyDescent="0.3">
      <c r="A8" t="s">
        <v>70</v>
      </c>
      <c r="B8">
        <v>33644</v>
      </c>
      <c r="C8" s="3">
        <v>210.24</v>
      </c>
      <c r="D8">
        <v>190</v>
      </c>
      <c r="E8">
        <v>214</v>
      </c>
      <c r="H8" t="s">
        <v>250</v>
      </c>
      <c r="I8" s="3">
        <v>209.71600000000001</v>
      </c>
      <c r="J8" s="3">
        <v>207.5</v>
      </c>
      <c r="K8" s="3">
        <v>209.62100000000001</v>
      </c>
      <c r="L8" s="3">
        <f t="shared" si="0"/>
        <v>208.94566666666665</v>
      </c>
      <c r="M8" s="3">
        <v>160.828</v>
      </c>
      <c r="N8" s="3">
        <f t="shared" si="1"/>
        <v>-48.117666666666651</v>
      </c>
      <c r="Q8" s="1" t="s">
        <v>279</v>
      </c>
      <c r="R8" s="2">
        <v>-13.28933333333336</v>
      </c>
      <c r="S8" s="2">
        <v>-11.750999999999976</v>
      </c>
      <c r="T8" s="2">
        <v>-7.4950000000000045</v>
      </c>
      <c r="U8" s="2">
        <f t="shared" si="2"/>
        <v>-10.845111111111114</v>
      </c>
      <c r="V8" s="5">
        <f t="shared" si="3"/>
        <v>2.4507210780644018</v>
      </c>
    </row>
    <row r="9" spans="1:22" x14ac:dyDescent="0.3">
      <c r="A9" t="s">
        <v>71</v>
      </c>
      <c r="B9">
        <v>33644</v>
      </c>
      <c r="C9" s="3">
        <v>205.51900000000001</v>
      </c>
      <c r="D9">
        <v>196</v>
      </c>
      <c r="E9">
        <v>208</v>
      </c>
      <c r="H9" t="s">
        <v>12</v>
      </c>
      <c r="I9" s="3">
        <v>208.86699999999999</v>
      </c>
      <c r="J9" s="3">
        <v>206.63800000000001</v>
      </c>
      <c r="K9" s="3">
        <v>210.46700000000001</v>
      </c>
      <c r="L9" s="3">
        <f t="shared" si="0"/>
        <v>208.65733333333333</v>
      </c>
      <c r="M9" s="3">
        <v>189.00899999999999</v>
      </c>
      <c r="N9" s="3">
        <f t="shared" si="1"/>
        <v>-19.648333333333341</v>
      </c>
      <c r="Q9" s="1" t="s">
        <v>280</v>
      </c>
      <c r="R9" s="2">
        <v>-7.7186666666666781</v>
      </c>
      <c r="S9" s="2">
        <v>-25.5683333333333</v>
      </c>
      <c r="T9" s="2">
        <v>-20.720666666666688</v>
      </c>
      <c r="U9" s="2">
        <f t="shared" si="2"/>
        <v>-18.002555555555556</v>
      </c>
      <c r="V9" s="5">
        <f t="shared" si="3"/>
        <v>7.536300862582241</v>
      </c>
    </row>
    <row r="10" spans="1:22" x14ac:dyDescent="0.3">
      <c r="A10" t="s">
        <v>72</v>
      </c>
      <c r="B10">
        <v>33644</v>
      </c>
      <c r="C10" s="3">
        <v>210.61500000000001</v>
      </c>
      <c r="D10">
        <v>205</v>
      </c>
      <c r="E10">
        <v>225</v>
      </c>
      <c r="H10" t="s">
        <v>13</v>
      </c>
      <c r="I10" s="3">
        <v>209.33</v>
      </c>
      <c r="J10" s="3">
        <v>205.66200000000001</v>
      </c>
      <c r="K10" s="3">
        <v>211.24600000000001</v>
      </c>
      <c r="L10" s="3">
        <f t="shared" si="0"/>
        <v>208.74600000000001</v>
      </c>
      <c r="M10" s="3">
        <v>181.31299999999999</v>
      </c>
      <c r="N10" s="3">
        <f t="shared" si="1"/>
        <v>-27.433000000000021</v>
      </c>
      <c r="Q10" t="s">
        <v>281</v>
      </c>
      <c r="R10" s="2">
        <v>-49.47999999999999</v>
      </c>
      <c r="S10" s="2">
        <v>-24.26333333333335</v>
      </c>
      <c r="T10" s="2">
        <v>-44.783999999999992</v>
      </c>
      <c r="U10" s="2">
        <f t="shared" si="2"/>
        <v>-39.50911111111111</v>
      </c>
      <c r="V10" s="5">
        <f t="shared" si="3"/>
        <v>10.949532989646535</v>
      </c>
    </row>
    <row r="11" spans="1:22" x14ac:dyDescent="0.3">
      <c r="A11" t="s">
        <v>73</v>
      </c>
      <c r="B11">
        <v>33644</v>
      </c>
      <c r="C11" s="3">
        <v>208.18600000000001</v>
      </c>
      <c r="D11">
        <v>205</v>
      </c>
      <c r="E11">
        <v>216</v>
      </c>
      <c r="H11" t="s">
        <v>251</v>
      </c>
      <c r="I11" s="3">
        <v>207.95500000000001</v>
      </c>
      <c r="J11" s="3">
        <v>205.79499999999999</v>
      </c>
      <c r="K11" s="3">
        <v>208.923</v>
      </c>
      <c r="L11" s="3">
        <f t="shared" si="0"/>
        <v>207.55766666666668</v>
      </c>
      <c r="M11" s="3">
        <v>166.33099999999999</v>
      </c>
      <c r="N11" s="3">
        <f t="shared" si="1"/>
        <v>-41.226666666666688</v>
      </c>
      <c r="Q11" t="s">
        <v>282</v>
      </c>
      <c r="R11" s="2">
        <v>-40.509666666666675</v>
      </c>
      <c r="S11" s="2">
        <v>-9.6206666666666649</v>
      </c>
      <c r="T11" s="2">
        <v>-30.641999999999967</v>
      </c>
      <c r="U11" s="2">
        <f t="shared" si="2"/>
        <v>-26.924111111111102</v>
      </c>
      <c r="V11" s="5">
        <f t="shared" si="3"/>
        <v>12.881501040706722</v>
      </c>
    </row>
    <row r="12" spans="1:22" x14ac:dyDescent="0.3">
      <c r="A12" t="s">
        <v>74</v>
      </c>
      <c r="B12">
        <v>33644</v>
      </c>
      <c r="C12" s="3">
        <v>207.75800000000001</v>
      </c>
      <c r="D12">
        <v>206</v>
      </c>
      <c r="E12">
        <v>212</v>
      </c>
      <c r="H12" t="s">
        <v>15</v>
      </c>
      <c r="I12" s="3">
        <v>206.07599999999999</v>
      </c>
      <c r="J12" s="3">
        <v>207.60900000000001</v>
      </c>
      <c r="K12" s="3">
        <v>207.03700000000001</v>
      </c>
      <c r="L12" s="3">
        <f t="shared" si="0"/>
        <v>206.90733333333333</v>
      </c>
      <c r="M12" s="3">
        <v>173.61500000000001</v>
      </c>
      <c r="N12" s="3">
        <f t="shared" si="1"/>
        <v>-33.292333333333318</v>
      </c>
      <c r="Q12" t="s">
        <v>283</v>
      </c>
      <c r="R12" s="2">
        <v>-46.497666666666646</v>
      </c>
      <c r="S12" s="2">
        <v>-46.669666666666672</v>
      </c>
      <c r="T12" s="2">
        <v>-37.709000000000003</v>
      </c>
      <c r="U12" s="2">
        <f t="shared" si="2"/>
        <v>-43.62544444444444</v>
      </c>
      <c r="V12" s="5">
        <f t="shared" si="3"/>
        <v>4.1841472367455461</v>
      </c>
    </row>
    <row r="13" spans="1:22" x14ac:dyDescent="0.3">
      <c r="A13" t="s">
        <v>75</v>
      </c>
      <c r="B13">
        <v>33644</v>
      </c>
      <c r="C13" s="3">
        <v>209.70699999999999</v>
      </c>
      <c r="D13">
        <v>206</v>
      </c>
      <c r="E13">
        <v>216</v>
      </c>
      <c r="H13" t="s">
        <v>16</v>
      </c>
      <c r="I13" s="3">
        <v>205.8</v>
      </c>
      <c r="J13" s="3">
        <v>207.065</v>
      </c>
      <c r="K13" s="3">
        <v>207.565</v>
      </c>
      <c r="L13" s="3">
        <f t="shared" si="0"/>
        <v>206.81000000000003</v>
      </c>
      <c r="M13" s="3">
        <v>158.87899999999999</v>
      </c>
      <c r="N13" s="3">
        <f t="shared" si="1"/>
        <v>-47.93100000000004</v>
      </c>
      <c r="Q13" t="s">
        <v>284</v>
      </c>
      <c r="R13" s="2">
        <v>-56.946999999999974</v>
      </c>
      <c r="S13" s="2">
        <v>-37.297333333333341</v>
      </c>
      <c r="T13" s="2">
        <v>-12.688333333333333</v>
      </c>
      <c r="U13" s="2">
        <f t="shared" si="2"/>
        <v>-35.644222222222218</v>
      </c>
      <c r="V13" s="5">
        <f t="shared" si="3"/>
        <v>18.10629680593718</v>
      </c>
    </row>
    <row r="14" spans="1:22" x14ac:dyDescent="0.3">
      <c r="A14" t="s">
        <v>76</v>
      </c>
      <c r="B14">
        <v>33644</v>
      </c>
      <c r="C14" s="3">
        <v>206.65600000000001</v>
      </c>
      <c r="D14">
        <v>204</v>
      </c>
      <c r="E14">
        <v>212</v>
      </c>
      <c r="H14" s="1" t="s">
        <v>252</v>
      </c>
      <c r="I14" s="3">
        <v>209.595</v>
      </c>
      <c r="J14" s="3">
        <v>207.13800000000001</v>
      </c>
      <c r="K14" s="3">
        <v>210.07400000000001</v>
      </c>
      <c r="L14" s="3">
        <f t="shared" si="0"/>
        <v>208.93566666666666</v>
      </c>
      <c r="M14" s="3">
        <v>199.964</v>
      </c>
      <c r="N14" s="3">
        <f t="shared" si="1"/>
        <v>-8.971666666666664</v>
      </c>
      <c r="Q14" t="s">
        <v>285</v>
      </c>
      <c r="R14" s="2">
        <v>-25.705333333333357</v>
      </c>
      <c r="S14" s="2">
        <v>-13.593000000000018</v>
      </c>
      <c r="T14" s="2">
        <v>-17.905000000000001</v>
      </c>
      <c r="U14" s="2">
        <f t="shared" si="2"/>
        <v>-19.067777777777792</v>
      </c>
      <c r="V14" s="5">
        <f t="shared" si="3"/>
        <v>5.0127300489064774</v>
      </c>
    </row>
    <row r="15" spans="1:22" x14ac:dyDescent="0.3">
      <c r="A15" t="s">
        <v>77</v>
      </c>
      <c r="B15">
        <v>33644</v>
      </c>
      <c r="C15" s="3">
        <v>209.08799999999999</v>
      </c>
      <c r="D15">
        <v>204</v>
      </c>
      <c r="E15">
        <v>212</v>
      </c>
      <c r="H15" s="1" t="s">
        <v>18</v>
      </c>
      <c r="I15" s="3">
        <v>209.494</v>
      </c>
      <c r="J15" s="3">
        <v>205.881</v>
      </c>
      <c r="K15" s="3">
        <v>209.976</v>
      </c>
      <c r="L15" s="3">
        <f t="shared" si="0"/>
        <v>208.45033333333333</v>
      </c>
      <c r="M15" s="3">
        <v>194.869</v>
      </c>
      <c r="N15" s="3">
        <f t="shared" si="1"/>
        <v>-13.581333333333333</v>
      </c>
      <c r="Q15" t="s">
        <v>286</v>
      </c>
      <c r="R15" s="2">
        <v>-20.375</v>
      </c>
      <c r="S15" s="2">
        <v>-55.039000000000016</v>
      </c>
      <c r="T15" s="2"/>
      <c r="U15" s="2">
        <f>AVERAGE(R15:S15)</f>
        <v>-37.707000000000008</v>
      </c>
      <c r="V15" s="5">
        <f>_xlfn.STDEV.P(R15:S15)</f>
        <v>17.332000000000015</v>
      </c>
    </row>
    <row r="16" spans="1:22" x14ac:dyDescent="0.3">
      <c r="A16" t="s">
        <v>78</v>
      </c>
      <c r="B16">
        <v>33644</v>
      </c>
      <c r="C16" s="3">
        <v>208.00700000000001</v>
      </c>
      <c r="D16">
        <v>204</v>
      </c>
      <c r="E16">
        <v>220</v>
      </c>
      <c r="H16" s="1" t="s">
        <v>19</v>
      </c>
      <c r="I16" s="3">
        <v>208.756</v>
      </c>
      <c r="J16" s="3">
        <v>207.1</v>
      </c>
      <c r="K16" s="3">
        <v>210.00399999999999</v>
      </c>
      <c r="L16" s="3">
        <f t="shared" si="0"/>
        <v>208.62</v>
      </c>
      <c r="M16" s="3">
        <v>194.75800000000001</v>
      </c>
      <c r="N16" s="3">
        <f t="shared" si="1"/>
        <v>-13.861999999999995</v>
      </c>
      <c r="Q16" t="s">
        <v>287</v>
      </c>
      <c r="R16" s="7">
        <v>-23.381333333333316</v>
      </c>
      <c r="S16" s="7">
        <v>-55.089666666666687</v>
      </c>
      <c r="T16" s="7">
        <v>-30.996999999999986</v>
      </c>
      <c r="U16" s="2">
        <f t="shared" si="2"/>
        <v>-36.489333333333327</v>
      </c>
      <c r="V16" s="5">
        <f t="shared" si="3"/>
        <v>13.514902756532109</v>
      </c>
    </row>
    <row r="17" spans="1:22" x14ac:dyDescent="0.3">
      <c r="A17" t="s">
        <v>79</v>
      </c>
      <c r="B17">
        <v>33644</v>
      </c>
      <c r="C17" s="3">
        <v>206.31700000000001</v>
      </c>
      <c r="D17">
        <v>202</v>
      </c>
      <c r="E17">
        <v>213</v>
      </c>
      <c r="H17" s="1" t="s">
        <v>253</v>
      </c>
      <c r="I17" s="3">
        <v>206.755</v>
      </c>
      <c r="J17" s="3">
        <v>210.08600000000001</v>
      </c>
      <c r="K17" s="3">
        <v>208.15299999999999</v>
      </c>
      <c r="L17" s="3">
        <f t="shared" si="0"/>
        <v>208.33133333333333</v>
      </c>
      <c r="M17" s="3">
        <v>182.99100000000001</v>
      </c>
      <c r="N17" s="3">
        <f t="shared" si="1"/>
        <v>-25.340333333333319</v>
      </c>
      <c r="Q17" t="s">
        <v>288</v>
      </c>
      <c r="R17" s="7">
        <v>-38.511333333333312</v>
      </c>
      <c r="S17" s="7">
        <v>-49.292333333333374</v>
      </c>
      <c r="T17" s="7">
        <v>-47.453333333333347</v>
      </c>
      <c r="U17" s="2">
        <f t="shared" si="2"/>
        <v>-45.085666666666675</v>
      </c>
      <c r="V17" s="5">
        <f t="shared" si="3"/>
        <v>4.708989582584489</v>
      </c>
    </row>
    <row r="18" spans="1:22" x14ac:dyDescent="0.3">
      <c r="A18" t="s">
        <v>80</v>
      </c>
      <c r="B18">
        <v>33644</v>
      </c>
      <c r="C18" s="3">
        <v>209.08699999999999</v>
      </c>
      <c r="D18">
        <v>206</v>
      </c>
      <c r="E18">
        <v>212</v>
      </c>
      <c r="H18" s="1" t="s">
        <v>21</v>
      </c>
      <c r="I18" s="3">
        <v>206.92400000000001</v>
      </c>
      <c r="J18" s="3">
        <v>206.95400000000001</v>
      </c>
      <c r="K18">
        <v>207.68700000000001</v>
      </c>
      <c r="L18" s="3">
        <f t="shared" si="0"/>
        <v>207.18833333333336</v>
      </c>
      <c r="M18" s="3">
        <v>180.58799999999999</v>
      </c>
      <c r="N18" s="3">
        <f t="shared" si="1"/>
        <v>-26.600333333333367</v>
      </c>
      <c r="Q18" t="s">
        <v>289</v>
      </c>
      <c r="R18" s="7">
        <v>-22.336000000000013</v>
      </c>
      <c r="S18" s="7">
        <v>-28.477000000000004</v>
      </c>
      <c r="T18" s="7">
        <v>-26.230000000000018</v>
      </c>
      <c r="U18" s="2">
        <f t="shared" si="2"/>
        <v>-25.681000000000012</v>
      </c>
      <c r="V18" s="5">
        <f t="shared" si="3"/>
        <v>2.5369300345102119</v>
      </c>
    </row>
    <row r="19" spans="1:22" x14ac:dyDescent="0.3">
      <c r="A19" t="s">
        <v>81</v>
      </c>
      <c r="B19">
        <v>33644</v>
      </c>
      <c r="C19" s="3">
        <v>208.31899999999999</v>
      </c>
      <c r="D19">
        <v>204</v>
      </c>
      <c r="E19">
        <v>223</v>
      </c>
      <c r="H19" s="1" t="s">
        <v>22</v>
      </c>
      <c r="I19" s="3">
        <v>206.505</v>
      </c>
      <c r="J19" s="3">
        <v>207.75899999999999</v>
      </c>
      <c r="K19" s="3">
        <v>207.89599999999999</v>
      </c>
      <c r="L19" s="3">
        <f t="shared" si="0"/>
        <v>207.38666666666666</v>
      </c>
      <c r="M19" s="3">
        <v>178.66499999999999</v>
      </c>
      <c r="N19" s="3">
        <f t="shared" si="1"/>
        <v>-28.721666666666664</v>
      </c>
      <c r="Q19" t="s">
        <v>290</v>
      </c>
      <c r="R19" s="7">
        <v>-13.307666666666648</v>
      </c>
      <c r="S19" s="7">
        <v>-17.236333333333306</v>
      </c>
      <c r="T19" s="7">
        <v>-8.4056666666666899</v>
      </c>
      <c r="U19" s="2">
        <f t="shared" si="2"/>
        <v>-12.983222222222215</v>
      </c>
      <c r="V19" s="5">
        <f t="shared" si="3"/>
        <v>3.6123968582823585</v>
      </c>
    </row>
    <row r="20" spans="1:22" x14ac:dyDescent="0.3">
      <c r="A20" t="s">
        <v>82</v>
      </c>
      <c r="B20">
        <v>33644</v>
      </c>
      <c r="C20" s="3">
        <v>209.71600000000001</v>
      </c>
      <c r="D20">
        <v>204</v>
      </c>
      <c r="E20">
        <v>219</v>
      </c>
      <c r="H20" s="1" t="s">
        <v>254</v>
      </c>
      <c r="I20" s="3">
        <v>210.399</v>
      </c>
      <c r="J20" s="3">
        <v>206.71100000000001</v>
      </c>
      <c r="K20" s="3">
        <v>210.428</v>
      </c>
      <c r="L20" s="3">
        <f t="shared" si="0"/>
        <v>209.17933333333335</v>
      </c>
      <c r="M20" s="3">
        <v>195.89</v>
      </c>
      <c r="N20" s="3">
        <f t="shared" si="1"/>
        <v>-13.28933333333336</v>
      </c>
      <c r="Q20" t="s">
        <v>291</v>
      </c>
      <c r="R20" s="7">
        <v>-25.551666666666648</v>
      </c>
      <c r="S20" s="7">
        <v>-25.053333333333342</v>
      </c>
      <c r="T20" s="7">
        <v>-18.559333333333342</v>
      </c>
      <c r="U20" s="2">
        <f t="shared" si="2"/>
        <v>-23.054777777777776</v>
      </c>
      <c r="V20" s="5">
        <f t="shared" si="3"/>
        <v>3.1852628978461106</v>
      </c>
    </row>
    <row r="21" spans="1:22" x14ac:dyDescent="0.3">
      <c r="A21" t="s">
        <v>83</v>
      </c>
      <c r="B21">
        <v>33644</v>
      </c>
      <c r="C21" s="3">
        <v>207.5</v>
      </c>
      <c r="D21">
        <v>198</v>
      </c>
      <c r="E21">
        <v>220</v>
      </c>
      <c r="H21" s="1" t="s">
        <v>24</v>
      </c>
      <c r="I21" s="3">
        <v>210.047</v>
      </c>
      <c r="J21" s="3">
        <v>206.56899999999999</v>
      </c>
      <c r="K21" s="3">
        <v>210.76499999999999</v>
      </c>
      <c r="L21" s="3">
        <f t="shared" si="0"/>
        <v>209.12699999999998</v>
      </c>
      <c r="M21" s="3">
        <v>197.376</v>
      </c>
      <c r="N21" s="3">
        <f t="shared" si="1"/>
        <v>-11.750999999999976</v>
      </c>
      <c r="Q21" t="s">
        <v>292</v>
      </c>
      <c r="R21" s="7">
        <v>-24.087333333333333</v>
      </c>
      <c r="S21" s="7">
        <v>-17.323333333333352</v>
      </c>
      <c r="T21" s="7">
        <v>-16.541666666666657</v>
      </c>
      <c r="U21" s="2">
        <f t="shared" si="2"/>
        <v>-19.317444444444448</v>
      </c>
      <c r="V21" s="5">
        <f t="shared" si="3"/>
        <v>3.3878833808838702</v>
      </c>
    </row>
    <row r="22" spans="1:22" x14ac:dyDescent="0.3">
      <c r="A22" t="s">
        <v>84</v>
      </c>
      <c r="B22">
        <v>33644</v>
      </c>
      <c r="C22" s="3">
        <v>209.62100000000001</v>
      </c>
      <c r="D22">
        <v>206</v>
      </c>
      <c r="E22">
        <v>214</v>
      </c>
      <c r="H22" s="1" t="s">
        <v>25</v>
      </c>
      <c r="I22" s="3">
        <v>209.47300000000001</v>
      </c>
      <c r="J22" s="3">
        <v>204.58600000000001</v>
      </c>
      <c r="K22" s="3">
        <v>208.92099999999999</v>
      </c>
      <c r="L22" s="3">
        <f t="shared" si="0"/>
        <v>207.66</v>
      </c>
      <c r="M22" s="3">
        <v>200.16499999999999</v>
      </c>
      <c r="N22" s="3">
        <f t="shared" si="1"/>
        <v>-7.4950000000000045</v>
      </c>
    </row>
    <row r="23" spans="1:22" x14ac:dyDescent="0.3">
      <c r="A23" t="s">
        <v>85</v>
      </c>
      <c r="B23">
        <v>33644</v>
      </c>
      <c r="C23" s="3">
        <v>208.86699999999999</v>
      </c>
      <c r="D23">
        <v>199</v>
      </c>
      <c r="E23">
        <v>216</v>
      </c>
      <c r="H23" s="1" t="s">
        <v>255</v>
      </c>
      <c r="I23" s="3">
        <v>208.51300000000001</v>
      </c>
      <c r="J23" s="3">
        <v>209.78100000000001</v>
      </c>
      <c r="K23" s="3">
        <v>210.53800000000001</v>
      </c>
      <c r="L23" s="3">
        <f t="shared" si="0"/>
        <v>209.61066666666667</v>
      </c>
      <c r="M23" s="3">
        <v>201.892</v>
      </c>
      <c r="N23" s="3">
        <f t="shared" si="1"/>
        <v>-7.7186666666666781</v>
      </c>
    </row>
    <row r="24" spans="1:22" x14ac:dyDescent="0.3">
      <c r="A24" t="s">
        <v>86</v>
      </c>
      <c r="B24">
        <v>33644</v>
      </c>
      <c r="C24" s="3">
        <v>206.63800000000001</v>
      </c>
      <c r="D24">
        <v>194</v>
      </c>
      <c r="E24">
        <v>215</v>
      </c>
      <c r="H24" s="1" t="s">
        <v>27</v>
      </c>
      <c r="I24" s="3">
        <v>209.07</v>
      </c>
      <c r="J24" s="3">
        <v>207.624</v>
      </c>
      <c r="K24" s="3">
        <v>208.01499999999999</v>
      </c>
      <c r="L24" s="3">
        <f t="shared" si="0"/>
        <v>208.23633333333331</v>
      </c>
      <c r="M24" s="3">
        <v>182.66800000000001</v>
      </c>
      <c r="N24" s="3">
        <f t="shared" si="1"/>
        <v>-25.5683333333333</v>
      </c>
    </row>
    <row r="25" spans="1:22" x14ac:dyDescent="0.3">
      <c r="A25" t="s">
        <v>87</v>
      </c>
      <c r="B25">
        <v>33644</v>
      </c>
      <c r="C25" s="3">
        <v>210.46700000000001</v>
      </c>
      <c r="D25">
        <v>208</v>
      </c>
      <c r="E25">
        <v>224</v>
      </c>
      <c r="H25" s="1" t="s">
        <v>28</v>
      </c>
      <c r="I25">
        <v>206.60499999999999</v>
      </c>
      <c r="J25" s="3">
        <v>207.327</v>
      </c>
      <c r="K25" s="3">
        <v>208.02699999999999</v>
      </c>
      <c r="L25" s="3">
        <f t="shared" si="0"/>
        <v>207.31966666666668</v>
      </c>
      <c r="M25" s="3">
        <v>186.59899999999999</v>
      </c>
      <c r="N25" s="3">
        <f t="shared" si="1"/>
        <v>-20.720666666666688</v>
      </c>
    </row>
    <row r="26" spans="1:22" x14ac:dyDescent="0.3">
      <c r="A26" t="s">
        <v>88</v>
      </c>
      <c r="B26">
        <v>33644</v>
      </c>
      <c r="C26" s="3">
        <v>209.33</v>
      </c>
      <c r="D26">
        <v>190</v>
      </c>
      <c r="E26">
        <v>216</v>
      </c>
      <c r="H26" t="s">
        <v>256</v>
      </c>
      <c r="I26" s="3">
        <v>209.08699999999999</v>
      </c>
      <c r="J26" s="3">
        <v>206.10499999999999</v>
      </c>
      <c r="K26" s="3">
        <v>210.75200000000001</v>
      </c>
      <c r="L26" s="3">
        <f t="shared" si="0"/>
        <v>208.648</v>
      </c>
      <c r="M26" s="3">
        <v>159.16800000000001</v>
      </c>
      <c r="N26" s="3">
        <f t="shared" si="1"/>
        <v>-49.47999999999999</v>
      </c>
    </row>
    <row r="27" spans="1:22" x14ac:dyDescent="0.3">
      <c r="A27" t="s">
        <v>89</v>
      </c>
      <c r="B27">
        <v>33644</v>
      </c>
      <c r="C27" s="3">
        <v>205.66200000000001</v>
      </c>
      <c r="D27">
        <v>197</v>
      </c>
      <c r="E27">
        <v>208</v>
      </c>
      <c r="H27" t="s">
        <v>30</v>
      </c>
      <c r="I27" s="3">
        <v>209.55</v>
      </c>
      <c r="J27" s="3">
        <v>205.92</v>
      </c>
      <c r="K27" s="3">
        <v>207.655</v>
      </c>
      <c r="L27" s="3">
        <f t="shared" si="0"/>
        <v>207.70833333333334</v>
      </c>
      <c r="M27" s="3">
        <v>183.44499999999999</v>
      </c>
      <c r="N27" s="3">
        <f t="shared" si="1"/>
        <v>-24.26333333333335</v>
      </c>
    </row>
    <row r="28" spans="1:22" x14ac:dyDescent="0.3">
      <c r="A28" t="s">
        <v>90</v>
      </c>
      <c r="B28">
        <v>33644</v>
      </c>
      <c r="C28" s="3">
        <v>211.24600000000001</v>
      </c>
      <c r="D28">
        <v>208</v>
      </c>
      <c r="E28">
        <v>225</v>
      </c>
      <c r="H28" t="s">
        <v>31</v>
      </c>
      <c r="I28" s="3">
        <v>208.149</v>
      </c>
      <c r="J28" s="3">
        <v>206.96199999999999</v>
      </c>
      <c r="K28" s="3">
        <v>209.75899999999999</v>
      </c>
      <c r="L28" s="3">
        <f t="shared" si="0"/>
        <v>208.29</v>
      </c>
      <c r="M28" s="3">
        <v>163.506</v>
      </c>
      <c r="N28" s="3">
        <f t="shared" si="1"/>
        <v>-44.783999999999992</v>
      </c>
    </row>
    <row r="29" spans="1:22" x14ac:dyDescent="0.3">
      <c r="A29" t="s">
        <v>91</v>
      </c>
      <c r="B29">
        <v>33644</v>
      </c>
      <c r="C29" s="3">
        <v>207.95500000000001</v>
      </c>
      <c r="D29">
        <v>201</v>
      </c>
      <c r="E29">
        <v>213</v>
      </c>
      <c r="H29" t="s">
        <v>257</v>
      </c>
      <c r="I29" s="3">
        <v>207.42400000000001</v>
      </c>
      <c r="J29" s="3">
        <v>208.13800000000001</v>
      </c>
      <c r="K29" s="3">
        <v>209.06700000000001</v>
      </c>
      <c r="L29" s="3">
        <f t="shared" si="0"/>
        <v>208.20966666666666</v>
      </c>
      <c r="M29" s="3">
        <v>167.7</v>
      </c>
      <c r="N29" s="3">
        <f t="shared" si="1"/>
        <v>-40.509666666666675</v>
      </c>
    </row>
    <row r="30" spans="1:22" x14ac:dyDescent="0.3">
      <c r="A30" t="s">
        <v>92</v>
      </c>
      <c r="B30">
        <v>33644</v>
      </c>
      <c r="C30" s="3">
        <v>205.79499999999999</v>
      </c>
      <c r="D30">
        <v>203</v>
      </c>
      <c r="E30">
        <v>212</v>
      </c>
      <c r="H30" t="s">
        <v>33</v>
      </c>
      <c r="I30" s="3">
        <v>207.46799999999999</v>
      </c>
      <c r="J30" s="3">
        <v>206.29400000000001</v>
      </c>
      <c r="K30" s="3">
        <v>209.27699999999999</v>
      </c>
      <c r="L30" s="3">
        <f t="shared" si="0"/>
        <v>207.67966666666666</v>
      </c>
      <c r="M30" s="3">
        <v>198.059</v>
      </c>
      <c r="N30" s="3">
        <f t="shared" si="1"/>
        <v>-9.6206666666666649</v>
      </c>
    </row>
    <row r="31" spans="1:22" x14ac:dyDescent="0.3">
      <c r="A31" t="s">
        <v>93</v>
      </c>
      <c r="B31">
        <v>33644</v>
      </c>
      <c r="C31" s="3">
        <v>208.923</v>
      </c>
      <c r="D31">
        <v>191</v>
      </c>
      <c r="E31">
        <v>216</v>
      </c>
      <c r="H31" t="s">
        <v>34</v>
      </c>
      <c r="I31" s="3">
        <v>205.91499999999999</v>
      </c>
      <c r="J31" s="3">
        <v>208.93199999999999</v>
      </c>
      <c r="K31" s="3">
        <v>207.94399999999999</v>
      </c>
      <c r="L31" s="3">
        <f t="shared" si="0"/>
        <v>207.59699999999998</v>
      </c>
      <c r="M31" s="3">
        <v>176.95500000000001</v>
      </c>
      <c r="N31" s="3">
        <f t="shared" si="1"/>
        <v>-30.641999999999967</v>
      </c>
    </row>
    <row r="32" spans="1:22" x14ac:dyDescent="0.3">
      <c r="A32" t="s">
        <v>94</v>
      </c>
      <c r="B32">
        <v>33644</v>
      </c>
      <c r="C32" s="3">
        <v>206.07599999999999</v>
      </c>
      <c r="D32">
        <v>172</v>
      </c>
      <c r="E32">
        <v>238</v>
      </c>
      <c r="H32" t="s">
        <v>258</v>
      </c>
      <c r="I32" s="3">
        <v>209.93700000000001</v>
      </c>
      <c r="J32" s="3">
        <v>207.58799999999999</v>
      </c>
      <c r="K32" s="3">
        <v>209.6</v>
      </c>
      <c r="L32" s="3">
        <f t="shared" si="0"/>
        <v>209.04166666666666</v>
      </c>
      <c r="M32" s="3">
        <v>162.54400000000001</v>
      </c>
      <c r="N32" s="3">
        <f t="shared" si="1"/>
        <v>-46.497666666666646</v>
      </c>
    </row>
    <row r="33" spans="1:14" x14ac:dyDescent="0.3">
      <c r="A33" t="s">
        <v>95</v>
      </c>
      <c r="B33">
        <v>33644</v>
      </c>
      <c r="C33" s="3">
        <v>207.60900000000001</v>
      </c>
      <c r="D33">
        <v>203</v>
      </c>
      <c r="E33">
        <v>210</v>
      </c>
      <c r="H33" t="s">
        <v>36</v>
      </c>
      <c r="I33">
        <v>208.863</v>
      </c>
      <c r="J33" s="3">
        <v>207.298</v>
      </c>
      <c r="K33" s="3">
        <v>209.79400000000001</v>
      </c>
      <c r="L33" s="3">
        <f t="shared" si="0"/>
        <v>208.65166666666667</v>
      </c>
      <c r="M33" s="3">
        <v>161.982</v>
      </c>
      <c r="N33" s="3">
        <f t="shared" si="1"/>
        <v>-46.669666666666672</v>
      </c>
    </row>
    <row r="34" spans="1:14" x14ac:dyDescent="0.3">
      <c r="A34" t="s">
        <v>96</v>
      </c>
      <c r="B34">
        <v>33644</v>
      </c>
      <c r="C34" s="3">
        <v>207.03700000000001</v>
      </c>
      <c r="D34">
        <v>202</v>
      </c>
      <c r="E34">
        <v>224</v>
      </c>
      <c r="H34" t="s">
        <v>37</v>
      </c>
      <c r="I34" s="3">
        <v>208.51300000000001</v>
      </c>
      <c r="J34" s="3">
        <v>204.80500000000001</v>
      </c>
      <c r="K34" s="3">
        <v>208.96299999999999</v>
      </c>
      <c r="L34" s="3">
        <f t="shared" si="0"/>
        <v>207.42699999999999</v>
      </c>
      <c r="M34" s="3">
        <v>169.71799999999999</v>
      </c>
      <c r="N34" s="3">
        <f t="shared" si="1"/>
        <v>-37.709000000000003</v>
      </c>
    </row>
    <row r="35" spans="1:14" x14ac:dyDescent="0.3">
      <c r="A35" t="s">
        <v>97</v>
      </c>
      <c r="B35">
        <v>33644</v>
      </c>
      <c r="C35" s="3">
        <v>205.8</v>
      </c>
      <c r="D35">
        <v>202</v>
      </c>
      <c r="E35">
        <v>211</v>
      </c>
      <c r="H35" t="s">
        <v>259</v>
      </c>
      <c r="I35" s="3">
        <v>206.19900000000001</v>
      </c>
      <c r="J35" s="3">
        <v>209.03200000000001</v>
      </c>
      <c r="K35" s="3">
        <v>207.86600000000001</v>
      </c>
      <c r="L35" s="3">
        <f t="shared" si="0"/>
        <v>207.69899999999998</v>
      </c>
      <c r="M35" s="3">
        <v>150.75200000000001</v>
      </c>
      <c r="N35" s="3">
        <f t="shared" si="1"/>
        <v>-56.946999999999974</v>
      </c>
    </row>
    <row r="36" spans="1:14" x14ac:dyDescent="0.3">
      <c r="A36" t="s">
        <v>98</v>
      </c>
      <c r="B36">
        <v>33644</v>
      </c>
      <c r="C36" s="3">
        <v>207.065</v>
      </c>
      <c r="D36">
        <v>205</v>
      </c>
      <c r="E36">
        <v>212</v>
      </c>
      <c r="H36" t="s">
        <v>39</v>
      </c>
      <c r="I36" s="3">
        <v>206.27799999999999</v>
      </c>
      <c r="J36" s="3">
        <v>207.32900000000001</v>
      </c>
      <c r="K36" s="3">
        <v>207.286</v>
      </c>
      <c r="L36" s="3">
        <f t="shared" si="0"/>
        <v>206.96433333333334</v>
      </c>
      <c r="M36" s="3">
        <v>169.667</v>
      </c>
      <c r="N36" s="3">
        <f t="shared" si="1"/>
        <v>-37.297333333333341</v>
      </c>
    </row>
    <row r="37" spans="1:14" x14ac:dyDescent="0.3">
      <c r="A37" t="s">
        <v>99</v>
      </c>
      <c r="B37">
        <v>33644</v>
      </c>
      <c r="C37" s="3">
        <v>207.565</v>
      </c>
      <c r="D37">
        <v>205</v>
      </c>
      <c r="E37">
        <v>213</v>
      </c>
      <c r="H37" t="s">
        <v>40</v>
      </c>
      <c r="I37" s="3">
        <v>205.19399999999999</v>
      </c>
      <c r="J37">
        <v>209.40700000000001</v>
      </c>
      <c r="K37" s="3">
        <v>209.73599999999999</v>
      </c>
      <c r="L37" s="3">
        <f t="shared" si="0"/>
        <v>208.11233333333334</v>
      </c>
      <c r="M37" s="3">
        <v>195.42400000000001</v>
      </c>
      <c r="N37" s="3">
        <f t="shared" si="1"/>
        <v>-12.688333333333333</v>
      </c>
    </row>
    <row r="38" spans="1:14" x14ac:dyDescent="0.3">
      <c r="A38" s="1" t="s">
        <v>100</v>
      </c>
      <c r="B38">
        <v>33644</v>
      </c>
      <c r="C38" s="3">
        <v>209.595</v>
      </c>
      <c r="D38">
        <v>205</v>
      </c>
      <c r="E38">
        <v>213</v>
      </c>
      <c r="H38" t="s">
        <v>260</v>
      </c>
      <c r="I38" s="3">
        <v>209.684</v>
      </c>
      <c r="J38" s="3">
        <v>206.75399999999999</v>
      </c>
      <c r="K38" s="3">
        <v>211.50200000000001</v>
      </c>
      <c r="L38" s="3">
        <f t="shared" si="0"/>
        <v>209.31333333333336</v>
      </c>
      <c r="M38" s="3">
        <v>183.608</v>
      </c>
      <c r="N38" s="3">
        <f t="shared" si="1"/>
        <v>-25.705333333333357</v>
      </c>
    </row>
    <row r="39" spans="1:14" x14ac:dyDescent="0.3">
      <c r="A39" s="1" t="s">
        <v>101</v>
      </c>
      <c r="B39">
        <v>33644</v>
      </c>
      <c r="C39" s="3">
        <v>207.13800000000001</v>
      </c>
      <c r="D39">
        <v>202</v>
      </c>
      <c r="E39">
        <v>221</v>
      </c>
      <c r="H39" t="s">
        <v>42</v>
      </c>
      <c r="I39">
        <v>212.15199999999999</v>
      </c>
      <c r="J39" s="3">
        <v>206.61</v>
      </c>
      <c r="K39" s="3">
        <v>214.16</v>
      </c>
      <c r="L39" s="3">
        <f t="shared" si="0"/>
        <v>210.97400000000002</v>
      </c>
      <c r="M39" s="3">
        <v>197.381</v>
      </c>
      <c r="N39" s="3">
        <f t="shared" si="1"/>
        <v>-13.593000000000018</v>
      </c>
    </row>
    <row r="40" spans="1:14" x14ac:dyDescent="0.3">
      <c r="A40" s="1" t="s">
        <v>102</v>
      </c>
      <c r="B40">
        <v>33644</v>
      </c>
      <c r="C40" s="3">
        <v>210.07400000000001</v>
      </c>
      <c r="D40">
        <v>206</v>
      </c>
      <c r="E40">
        <v>214</v>
      </c>
      <c r="H40" t="s">
        <v>43</v>
      </c>
      <c r="I40" s="3">
        <v>211.172</v>
      </c>
      <c r="J40" s="3">
        <v>206.857</v>
      </c>
      <c r="K40" s="3">
        <v>212.36099999999999</v>
      </c>
      <c r="L40" s="3">
        <f t="shared" si="0"/>
        <v>210.13</v>
      </c>
      <c r="M40" s="3">
        <v>192.22499999999999</v>
      </c>
      <c r="N40" s="3">
        <f t="shared" si="1"/>
        <v>-17.905000000000001</v>
      </c>
    </row>
    <row r="41" spans="1:14" x14ac:dyDescent="0.3">
      <c r="A41" s="1" t="s">
        <v>103</v>
      </c>
      <c r="B41">
        <v>33644</v>
      </c>
      <c r="C41" s="3">
        <v>209.494</v>
      </c>
      <c r="D41">
        <v>200</v>
      </c>
      <c r="E41">
        <v>214</v>
      </c>
      <c r="H41" t="s">
        <v>261</v>
      </c>
      <c r="I41" s="3">
        <v>206.792</v>
      </c>
      <c r="J41" s="3">
        <v>209.905</v>
      </c>
      <c r="K41" s="3">
        <v>208.989</v>
      </c>
      <c r="L41" s="3">
        <f t="shared" si="0"/>
        <v>208.56200000000001</v>
      </c>
      <c r="M41" s="3">
        <v>188.18700000000001</v>
      </c>
      <c r="N41" s="3">
        <f t="shared" si="1"/>
        <v>-20.375</v>
      </c>
    </row>
    <row r="42" spans="1:14" x14ac:dyDescent="0.3">
      <c r="A42" s="1" t="s">
        <v>104</v>
      </c>
      <c r="B42">
        <v>33644</v>
      </c>
      <c r="C42" s="3">
        <v>205.881</v>
      </c>
      <c r="D42">
        <v>201</v>
      </c>
      <c r="E42">
        <v>209</v>
      </c>
      <c r="H42" t="s">
        <v>45</v>
      </c>
      <c r="I42" s="3">
        <v>206.71700000000001</v>
      </c>
      <c r="J42" s="3">
        <v>207.256</v>
      </c>
      <c r="K42" s="3">
        <v>207.54300000000001</v>
      </c>
      <c r="L42" s="3">
        <f t="shared" si="0"/>
        <v>207.17200000000003</v>
      </c>
      <c r="M42" s="3">
        <v>152.13300000000001</v>
      </c>
      <c r="N42" s="3">
        <f t="shared" si="1"/>
        <v>-55.039000000000016</v>
      </c>
    </row>
    <row r="43" spans="1:14" x14ac:dyDescent="0.3">
      <c r="A43" s="1" t="s">
        <v>105</v>
      </c>
      <c r="B43">
        <v>33644</v>
      </c>
      <c r="C43" s="3">
        <v>209.976</v>
      </c>
      <c r="D43">
        <v>207</v>
      </c>
      <c r="E43">
        <v>214</v>
      </c>
      <c r="H43" t="s">
        <v>262</v>
      </c>
      <c r="I43" s="3">
        <v>209.96199999999999</v>
      </c>
      <c r="J43" s="3">
        <v>207.49100000000001</v>
      </c>
      <c r="K43" s="3">
        <v>210.88900000000001</v>
      </c>
      <c r="L43" s="3">
        <f t="shared" si="0"/>
        <v>209.44733333333332</v>
      </c>
      <c r="M43" s="3">
        <v>186.066</v>
      </c>
      <c r="N43" s="3">
        <f t="shared" si="1"/>
        <v>-23.381333333333316</v>
      </c>
    </row>
    <row r="44" spans="1:14" x14ac:dyDescent="0.3">
      <c r="A44" s="1" t="s">
        <v>106</v>
      </c>
      <c r="B44">
        <v>33644</v>
      </c>
      <c r="C44" s="3">
        <v>208.756</v>
      </c>
      <c r="D44">
        <v>187</v>
      </c>
      <c r="E44">
        <v>214</v>
      </c>
      <c r="H44" t="s">
        <v>47</v>
      </c>
      <c r="I44" s="3">
        <v>208.666</v>
      </c>
      <c r="J44" s="3">
        <v>204.91</v>
      </c>
      <c r="K44" s="3">
        <v>209.7</v>
      </c>
      <c r="L44" s="3">
        <f t="shared" si="0"/>
        <v>207.7586666666667</v>
      </c>
      <c r="M44" s="3">
        <v>152.66900000000001</v>
      </c>
      <c r="N44" s="3">
        <f t="shared" si="1"/>
        <v>-55.089666666666687</v>
      </c>
    </row>
    <row r="45" spans="1:14" x14ac:dyDescent="0.3">
      <c r="A45" s="1" t="s">
        <v>107</v>
      </c>
      <c r="B45">
        <v>33644</v>
      </c>
      <c r="C45" s="3">
        <v>207.1</v>
      </c>
      <c r="D45">
        <v>173</v>
      </c>
      <c r="E45">
        <v>214</v>
      </c>
      <c r="H45" t="s">
        <v>48</v>
      </c>
      <c r="I45" s="3">
        <v>208.375</v>
      </c>
      <c r="J45" s="3">
        <v>205.39699999999999</v>
      </c>
      <c r="K45" s="3">
        <v>210.07499999999999</v>
      </c>
      <c r="L45" s="3">
        <f t="shared" si="0"/>
        <v>207.94899999999998</v>
      </c>
      <c r="M45" s="3">
        <v>176.952</v>
      </c>
      <c r="N45" s="3">
        <f t="shared" si="1"/>
        <v>-30.996999999999986</v>
      </c>
    </row>
    <row r="46" spans="1:14" x14ac:dyDescent="0.3">
      <c r="A46" s="1" t="s">
        <v>108</v>
      </c>
      <c r="B46">
        <v>33644</v>
      </c>
      <c r="C46" s="3">
        <v>210.00399999999999</v>
      </c>
      <c r="D46">
        <v>203</v>
      </c>
      <c r="E46">
        <v>224</v>
      </c>
      <c r="H46" t="s">
        <v>263</v>
      </c>
      <c r="I46" s="3">
        <v>206.565</v>
      </c>
      <c r="J46" s="3">
        <v>209.25299999999999</v>
      </c>
      <c r="K46" s="3">
        <v>206.953</v>
      </c>
      <c r="L46" s="3">
        <f t="shared" si="0"/>
        <v>207.59033333333332</v>
      </c>
      <c r="M46" s="3">
        <v>169.07900000000001</v>
      </c>
      <c r="N46" s="3">
        <f t="shared" si="1"/>
        <v>-38.511333333333312</v>
      </c>
    </row>
    <row r="47" spans="1:14" x14ac:dyDescent="0.3">
      <c r="A47" s="1" t="s">
        <v>109</v>
      </c>
      <c r="B47">
        <v>33644</v>
      </c>
      <c r="C47" s="3">
        <v>206.755</v>
      </c>
      <c r="D47">
        <v>192</v>
      </c>
      <c r="E47">
        <v>214</v>
      </c>
      <c r="H47" t="s">
        <v>50</v>
      </c>
      <c r="I47" s="3">
        <v>205.99600000000001</v>
      </c>
      <c r="J47" s="3">
        <v>206.685</v>
      </c>
      <c r="K47" s="3">
        <v>206.334</v>
      </c>
      <c r="L47" s="3">
        <f t="shared" si="0"/>
        <v>206.33833333333337</v>
      </c>
      <c r="M47" s="3">
        <v>157.04599999999999</v>
      </c>
      <c r="N47" s="3">
        <f t="shared" si="1"/>
        <v>-49.292333333333374</v>
      </c>
    </row>
    <row r="48" spans="1:14" x14ac:dyDescent="0.3">
      <c r="A48" s="1" t="s">
        <v>110</v>
      </c>
      <c r="B48">
        <v>33644</v>
      </c>
      <c r="C48" s="3">
        <v>210.08600000000001</v>
      </c>
      <c r="D48">
        <v>207</v>
      </c>
      <c r="E48">
        <v>217</v>
      </c>
      <c r="H48" t="s">
        <v>51</v>
      </c>
      <c r="I48" s="3">
        <v>203.62899999999999</v>
      </c>
      <c r="J48" s="3">
        <v>208.76</v>
      </c>
      <c r="K48" s="3">
        <v>206.28700000000001</v>
      </c>
      <c r="L48" s="3">
        <f t="shared" si="0"/>
        <v>206.22533333333334</v>
      </c>
      <c r="M48" s="3">
        <v>158.77199999999999</v>
      </c>
      <c r="N48" s="3">
        <f t="shared" si="1"/>
        <v>-47.453333333333347</v>
      </c>
    </row>
    <row r="49" spans="1:14" x14ac:dyDescent="0.3">
      <c r="A49" s="1" t="s">
        <v>111</v>
      </c>
      <c r="B49">
        <v>33644</v>
      </c>
      <c r="C49" s="3">
        <v>208.15299999999999</v>
      </c>
      <c r="D49">
        <v>201</v>
      </c>
      <c r="E49">
        <v>217</v>
      </c>
      <c r="H49" t="s">
        <v>264</v>
      </c>
      <c r="I49" s="3">
        <v>209.928</v>
      </c>
      <c r="J49" s="3">
        <v>206.84899999999999</v>
      </c>
      <c r="K49" s="3">
        <v>210.21700000000001</v>
      </c>
      <c r="L49" s="3">
        <f t="shared" si="0"/>
        <v>208.99800000000002</v>
      </c>
      <c r="M49" s="3">
        <v>186.66200000000001</v>
      </c>
      <c r="N49" s="3">
        <f t="shared" si="1"/>
        <v>-22.336000000000013</v>
      </c>
    </row>
    <row r="50" spans="1:14" x14ac:dyDescent="0.3">
      <c r="A50" s="1" t="s">
        <v>112</v>
      </c>
      <c r="B50">
        <v>33644</v>
      </c>
      <c r="C50" s="3">
        <v>206.92400000000001</v>
      </c>
      <c r="D50">
        <v>204</v>
      </c>
      <c r="E50">
        <v>214</v>
      </c>
      <c r="H50" t="s">
        <v>53</v>
      </c>
      <c r="I50" s="3">
        <v>208.56899999999999</v>
      </c>
      <c r="J50" s="3">
        <v>206.44800000000001</v>
      </c>
      <c r="K50" s="3">
        <v>209.77500000000001</v>
      </c>
      <c r="L50" s="3">
        <f t="shared" si="0"/>
        <v>208.26400000000001</v>
      </c>
      <c r="M50" s="3">
        <v>179.78700000000001</v>
      </c>
      <c r="N50" s="3">
        <f t="shared" si="1"/>
        <v>-28.477000000000004</v>
      </c>
    </row>
    <row r="51" spans="1:14" x14ac:dyDescent="0.3">
      <c r="A51" s="1" t="s">
        <v>113</v>
      </c>
      <c r="B51">
        <v>33644</v>
      </c>
      <c r="C51" s="3">
        <v>206.95400000000001</v>
      </c>
      <c r="D51">
        <v>198</v>
      </c>
      <c r="E51">
        <v>209</v>
      </c>
      <c r="H51" t="s">
        <v>54</v>
      </c>
      <c r="I51" s="3">
        <v>209.43700000000001</v>
      </c>
      <c r="J51" s="3">
        <v>206.589</v>
      </c>
      <c r="K51" s="3">
        <v>209.60599999999999</v>
      </c>
      <c r="L51" s="3">
        <f t="shared" si="0"/>
        <v>208.54400000000001</v>
      </c>
      <c r="M51" s="3">
        <v>182.31399999999999</v>
      </c>
      <c r="N51" s="3">
        <f t="shared" si="1"/>
        <v>-26.230000000000018</v>
      </c>
    </row>
    <row r="52" spans="1:14" x14ac:dyDescent="0.3">
      <c r="A52" s="1" t="s">
        <v>114</v>
      </c>
      <c r="B52">
        <v>33644</v>
      </c>
      <c r="C52" s="3">
        <v>207.68700000000001</v>
      </c>
      <c r="D52">
        <v>191</v>
      </c>
      <c r="E52">
        <v>215</v>
      </c>
      <c r="H52" t="s">
        <v>265</v>
      </c>
      <c r="I52" s="3">
        <v>206.70400000000001</v>
      </c>
      <c r="J52" s="3">
        <v>208.22399999999999</v>
      </c>
      <c r="K52" s="3">
        <v>208.96600000000001</v>
      </c>
      <c r="L52" s="3">
        <f t="shared" si="0"/>
        <v>207.96466666666666</v>
      </c>
      <c r="M52" s="3">
        <v>194.65700000000001</v>
      </c>
      <c r="N52" s="3">
        <f t="shared" si="1"/>
        <v>-13.307666666666648</v>
      </c>
    </row>
    <row r="53" spans="1:14" x14ac:dyDescent="0.3">
      <c r="A53" s="1" t="s">
        <v>115</v>
      </c>
      <c r="B53">
        <v>33644</v>
      </c>
      <c r="C53" s="3">
        <v>206.505</v>
      </c>
      <c r="D53">
        <v>202</v>
      </c>
      <c r="E53">
        <v>214</v>
      </c>
      <c r="H53" t="s">
        <v>56</v>
      </c>
      <c r="I53" s="3">
        <v>208.416</v>
      </c>
      <c r="J53" s="3">
        <v>206.84899999999999</v>
      </c>
      <c r="K53" s="3">
        <v>208.274</v>
      </c>
      <c r="L53" s="3">
        <f t="shared" si="0"/>
        <v>207.84633333333332</v>
      </c>
      <c r="M53" s="3">
        <v>190.61</v>
      </c>
      <c r="N53" s="3">
        <f t="shared" si="1"/>
        <v>-17.236333333333306</v>
      </c>
    </row>
    <row r="54" spans="1:14" x14ac:dyDescent="0.3">
      <c r="A54" s="1" t="s">
        <v>116</v>
      </c>
      <c r="B54">
        <v>33644</v>
      </c>
      <c r="C54" s="3">
        <v>207.75899999999999</v>
      </c>
      <c r="D54">
        <v>206</v>
      </c>
      <c r="E54">
        <v>211</v>
      </c>
      <c r="H54" t="s">
        <v>57</v>
      </c>
      <c r="I54" s="3">
        <v>205.952</v>
      </c>
      <c r="J54" s="3">
        <v>208.82400000000001</v>
      </c>
      <c r="K54" s="3">
        <v>207</v>
      </c>
      <c r="L54" s="3">
        <f t="shared" si="0"/>
        <v>207.2586666666667</v>
      </c>
      <c r="M54" s="3">
        <v>198.85300000000001</v>
      </c>
      <c r="N54" s="3">
        <f t="shared" si="1"/>
        <v>-8.4056666666666899</v>
      </c>
    </row>
    <row r="55" spans="1:14" x14ac:dyDescent="0.3">
      <c r="A55" s="1" t="s">
        <v>117</v>
      </c>
      <c r="B55">
        <v>33644</v>
      </c>
      <c r="C55" s="3">
        <v>207.89599999999999</v>
      </c>
      <c r="D55">
        <v>178</v>
      </c>
      <c r="E55">
        <v>224</v>
      </c>
      <c r="H55" t="s">
        <v>266</v>
      </c>
      <c r="I55" s="3">
        <v>210.14</v>
      </c>
      <c r="J55">
        <v>207.02099999999999</v>
      </c>
      <c r="K55" s="3">
        <v>210.79499999999999</v>
      </c>
      <c r="L55" s="3">
        <f t="shared" si="0"/>
        <v>209.31866666666664</v>
      </c>
      <c r="M55" s="3">
        <v>183.767</v>
      </c>
      <c r="N55" s="3">
        <f t="shared" si="1"/>
        <v>-25.551666666666648</v>
      </c>
    </row>
    <row r="56" spans="1:14" x14ac:dyDescent="0.3">
      <c r="A56" s="1" t="s">
        <v>118</v>
      </c>
      <c r="B56">
        <v>33644</v>
      </c>
      <c r="C56" s="3">
        <v>210.399</v>
      </c>
      <c r="D56">
        <v>207</v>
      </c>
      <c r="E56">
        <v>214</v>
      </c>
      <c r="H56" t="s">
        <v>59</v>
      </c>
      <c r="I56" s="3">
        <v>208.58500000000001</v>
      </c>
      <c r="J56" s="3">
        <v>207.315</v>
      </c>
      <c r="K56" s="3">
        <v>209.40600000000001</v>
      </c>
      <c r="L56" s="3">
        <f t="shared" si="0"/>
        <v>208.43533333333335</v>
      </c>
      <c r="M56" s="3">
        <v>183.38200000000001</v>
      </c>
      <c r="N56" s="3">
        <f t="shared" si="1"/>
        <v>-25.053333333333342</v>
      </c>
    </row>
    <row r="57" spans="1:14" x14ac:dyDescent="0.3">
      <c r="A57" s="1" t="s">
        <v>119</v>
      </c>
      <c r="B57">
        <v>33644</v>
      </c>
      <c r="C57" s="3">
        <v>206.71100000000001</v>
      </c>
      <c r="D57">
        <v>199</v>
      </c>
      <c r="E57">
        <v>215</v>
      </c>
      <c r="H57" t="s">
        <v>60</v>
      </c>
      <c r="I57" s="3">
        <v>209.977</v>
      </c>
      <c r="J57" s="3">
        <v>206.25399999999999</v>
      </c>
      <c r="K57" s="3">
        <v>209.50399999999999</v>
      </c>
      <c r="L57" s="3">
        <f t="shared" si="0"/>
        <v>208.57833333333335</v>
      </c>
      <c r="M57" s="3">
        <v>190.01900000000001</v>
      </c>
      <c r="N57" s="3">
        <f t="shared" si="1"/>
        <v>-18.559333333333342</v>
      </c>
    </row>
    <row r="58" spans="1:14" x14ac:dyDescent="0.3">
      <c r="A58" s="1" t="s">
        <v>120</v>
      </c>
      <c r="B58">
        <v>33644</v>
      </c>
      <c r="C58" s="3">
        <v>210.428</v>
      </c>
      <c r="D58">
        <v>207</v>
      </c>
      <c r="E58">
        <v>215</v>
      </c>
      <c r="H58" t="s">
        <v>267</v>
      </c>
      <c r="I58" s="3">
        <v>207.273</v>
      </c>
      <c r="J58" s="3">
        <v>209.48599999999999</v>
      </c>
      <c r="K58" s="3">
        <v>207.75800000000001</v>
      </c>
      <c r="L58" s="3">
        <f t="shared" si="0"/>
        <v>208.17233333333334</v>
      </c>
      <c r="M58" s="3">
        <v>184.08500000000001</v>
      </c>
      <c r="N58" s="3">
        <f t="shared" si="1"/>
        <v>-24.087333333333333</v>
      </c>
    </row>
    <row r="59" spans="1:14" x14ac:dyDescent="0.3">
      <c r="A59" s="1" t="s">
        <v>121</v>
      </c>
      <c r="B59">
        <v>33644</v>
      </c>
      <c r="C59" s="3">
        <v>210.047</v>
      </c>
      <c r="D59">
        <v>200</v>
      </c>
      <c r="E59">
        <v>215</v>
      </c>
      <c r="H59" t="s">
        <v>268</v>
      </c>
      <c r="I59" s="3">
        <v>205.917</v>
      </c>
      <c r="J59" s="3">
        <v>206.50899999999999</v>
      </c>
      <c r="K59" s="3">
        <v>208.79400000000001</v>
      </c>
      <c r="L59" s="3">
        <f t="shared" si="0"/>
        <v>207.07333333333335</v>
      </c>
      <c r="M59" s="3">
        <v>189.75</v>
      </c>
      <c r="N59" s="3">
        <f t="shared" si="1"/>
        <v>-17.323333333333352</v>
      </c>
    </row>
    <row r="60" spans="1:14" x14ac:dyDescent="0.3">
      <c r="A60" s="1" t="s">
        <v>122</v>
      </c>
      <c r="B60">
        <v>33644</v>
      </c>
      <c r="C60" s="3">
        <v>206.56899999999999</v>
      </c>
      <c r="D60">
        <v>204</v>
      </c>
      <c r="E60">
        <v>211</v>
      </c>
      <c r="H60" t="s">
        <v>269</v>
      </c>
      <c r="I60" s="3">
        <v>209.09</v>
      </c>
      <c r="J60" s="3">
        <v>206.23400000000001</v>
      </c>
      <c r="K60" s="3">
        <v>208.744</v>
      </c>
      <c r="L60" s="3">
        <f t="shared" si="0"/>
        <v>208.02266666666665</v>
      </c>
      <c r="M60" s="3">
        <v>191.48099999999999</v>
      </c>
      <c r="N60" s="3">
        <f t="shared" si="1"/>
        <v>-16.541666666666657</v>
      </c>
    </row>
    <row r="61" spans="1:14" x14ac:dyDescent="0.3">
      <c r="A61" s="1" t="s">
        <v>123</v>
      </c>
      <c r="B61">
        <v>33644</v>
      </c>
      <c r="C61" s="3">
        <v>210.76499999999999</v>
      </c>
      <c r="D61">
        <v>209</v>
      </c>
      <c r="E61">
        <v>215</v>
      </c>
    </row>
    <row r="62" spans="1:14" x14ac:dyDescent="0.3">
      <c r="A62" s="1" t="s">
        <v>124</v>
      </c>
      <c r="B62">
        <v>33644</v>
      </c>
      <c r="C62" s="3">
        <v>209.47300000000001</v>
      </c>
      <c r="D62">
        <v>190</v>
      </c>
      <c r="E62">
        <v>218</v>
      </c>
    </row>
    <row r="63" spans="1:14" x14ac:dyDescent="0.3">
      <c r="A63" s="1" t="s">
        <v>125</v>
      </c>
      <c r="B63">
        <v>33644</v>
      </c>
      <c r="C63" s="3">
        <v>204.58600000000001</v>
      </c>
      <c r="D63">
        <v>199</v>
      </c>
      <c r="E63">
        <v>208</v>
      </c>
    </row>
    <row r="64" spans="1:14" x14ac:dyDescent="0.3">
      <c r="A64" s="1" t="s">
        <v>126</v>
      </c>
      <c r="B64">
        <v>33644</v>
      </c>
      <c r="C64" s="3">
        <v>208.92099999999999</v>
      </c>
      <c r="D64">
        <v>204</v>
      </c>
      <c r="E64">
        <v>214</v>
      </c>
    </row>
    <row r="65" spans="1:5" x14ac:dyDescent="0.3">
      <c r="A65" s="1" t="s">
        <v>127</v>
      </c>
      <c r="B65">
        <v>33644</v>
      </c>
      <c r="C65" s="3">
        <v>208.51300000000001</v>
      </c>
      <c r="D65">
        <v>196</v>
      </c>
      <c r="E65">
        <v>214</v>
      </c>
    </row>
    <row r="66" spans="1:5" x14ac:dyDescent="0.3">
      <c r="A66" s="1" t="s">
        <v>128</v>
      </c>
      <c r="B66">
        <v>33644</v>
      </c>
      <c r="C66" s="3">
        <v>209.78100000000001</v>
      </c>
      <c r="D66">
        <v>202</v>
      </c>
      <c r="E66">
        <v>215</v>
      </c>
    </row>
    <row r="67" spans="1:5" x14ac:dyDescent="0.3">
      <c r="A67" s="1" t="s">
        <v>129</v>
      </c>
      <c r="B67">
        <v>33644</v>
      </c>
      <c r="C67" s="3">
        <v>210.53800000000001</v>
      </c>
      <c r="D67">
        <v>206</v>
      </c>
      <c r="E67">
        <v>216</v>
      </c>
    </row>
    <row r="68" spans="1:5" x14ac:dyDescent="0.3">
      <c r="A68" s="1" t="s">
        <v>130</v>
      </c>
      <c r="B68">
        <v>33644</v>
      </c>
      <c r="C68" s="3">
        <v>209.07</v>
      </c>
      <c r="D68">
        <v>206</v>
      </c>
      <c r="E68">
        <v>216</v>
      </c>
    </row>
    <row r="69" spans="1:5" x14ac:dyDescent="0.3">
      <c r="A69" s="1" t="s">
        <v>131</v>
      </c>
      <c r="B69">
        <v>33644</v>
      </c>
      <c r="C69" s="3">
        <v>207.624</v>
      </c>
      <c r="D69">
        <v>201</v>
      </c>
      <c r="E69">
        <v>214</v>
      </c>
    </row>
    <row r="70" spans="1:5" x14ac:dyDescent="0.3">
      <c r="A70" s="1" t="s">
        <v>132</v>
      </c>
      <c r="B70">
        <v>33644</v>
      </c>
      <c r="C70" s="3">
        <v>208.01499999999999</v>
      </c>
      <c r="D70">
        <v>204</v>
      </c>
      <c r="E70">
        <v>215</v>
      </c>
    </row>
    <row r="71" spans="1:5" x14ac:dyDescent="0.3">
      <c r="A71" s="1" t="s">
        <v>133</v>
      </c>
      <c r="B71">
        <v>33644</v>
      </c>
      <c r="C71" s="3">
        <v>206.60499999999999</v>
      </c>
      <c r="D71">
        <v>204</v>
      </c>
      <c r="E71">
        <v>213</v>
      </c>
    </row>
    <row r="72" spans="1:5" x14ac:dyDescent="0.3">
      <c r="A72" s="1" t="s">
        <v>134</v>
      </c>
      <c r="B72">
        <v>33644</v>
      </c>
      <c r="C72" s="3">
        <v>207.327</v>
      </c>
      <c r="D72">
        <v>201</v>
      </c>
      <c r="E72">
        <v>214</v>
      </c>
    </row>
    <row r="73" spans="1:5" x14ac:dyDescent="0.3">
      <c r="A73" s="1" t="s">
        <v>135</v>
      </c>
      <c r="B73">
        <v>33644</v>
      </c>
      <c r="C73" s="3">
        <v>208.02699999999999</v>
      </c>
      <c r="D73">
        <v>205</v>
      </c>
      <c r="E73">
        <v>215</v>
      </c>
    </row>
    <row r="74" spans="1:5" x14ac:dyDescent="0.3">
      <c r="A74" t="s">
        <v>136</v>
      </c>
      <c r="B74">
        <v>33644</v>
      </c>
      <c r="C74" s="3">
        <v>209.08699999999999</v>
      </c>
      <c r="D74">
        <v>154</v>
      </c>
      <c r="E74">
        <v>215</v>
      </c>
    </row>
    <row r="75" spans="1:5" x14ac:dyDescent="0.3">
      <c r="A75" t="s">
        <v>137</v>
      </c>
      <c r="B75">
        <v>33644</v>
      </c>
      <c r="C75" s="3">
        <v>206.10499999999999</v>
      </c>
      <c r="D75">
        <v>198</v>
      </c>
      <c r="E75">
        <v>218</v>
      </c>
    </row>
    <row r="76" spans="1:5" x14ac:dyDescent="0.3">
      <c r="A76" t="s">
        <v>138</v>
      </c>
      <c r="B76">
        <v>33644</v>
      </c>
      <c r="C76" s="3">
        <v>210.75200000000001</v>
      </c>
      <c r="D76">
        <v>206</v>
      </c>
      <c r="E76">
        <v>227</v>
      </c>
    </row>
    <row r="77" spans="1:5" x14ac:dyDescent="0.3">
      <c r="A77" t="s">
        <v>139</v>
      </c>
      <c r="B77">
        <v>33644</v>
      </c>
      <c r="C77" s="3">
        <v>209.55</v>
      </c>
      <c r="D77">
        <v>198</v>
      </c>
      <c r="E77">
        <v>215</v>
      </c>
    </row>
    <row r="78" spans="1:5" x14ac:dyDescent="0.3">
      <c r="A78" t="s">
        <v>140</v>
      </c>
      <c r="B78">
        <v>33644</v>
      </c>
      <c r="C78" s="3">
        <v>205.92</v>
      </c>
      <c r="D78">
        <v>202</v>
      </c>
      <c r="E78">
        <v>211</v>
      </c>
    </row>
    <row r="79" spans="1:5" x14ac:dyDescent="0.3">
      <c r="A79" t="s">
        <v>141</v>
      </c>
      <c r="B79">
        <v>33644</v>
      </c>
      <c r="C79" s="3">
        <v>207.655</v>
      </c>
      <c r="D79">
        <v>174</v>
      </c>
      <c r="E79">
        <v>214</v>
      </c>
    </row>
    <row r="80" spans="1:5" x14ac:dyDescent="0.3">
      <c r="A80" t="s">
        <v>142</v>
      </c>
      <c r="B80">
        <v>33644</v>
      </c>
      <c r="C80" s="3">
        <v>208.149</v>
      </c>
      <c r="D80">
        <v>188</v>
      </c>
      <c r="E80">
        <v>217</v>
      </c>
    </row>
    <row r="81" spans="1:5" x14ac:dyDescent="0.3">
      <c r="A81" t="s">
        <v>143</v>
      </c>
      <c r="B81">
        <v>33644</v>
      </c>
      <c r="C81" s="3">
        <v>206.96199999999999</v>
      </c>
      <c r="D81">
        <v>201</v>
      </c>
      <c r="E81">
        <v>213</v>
      </c>
    </row>
    <row r="82" spans="1:5" x14ac:dyDescent="0.3">
      <c r="A82" t="s">
        <v>144</v>
      </c>
      <c r="B82">
        <v>33644</v>
      </c>
      <c r="C82" s="3">
        <v>209.75899999999999</v>
      </c>
      <c r="D82">
        <v>206</v>
      </c>
      <c r="E82">
        <v>215</v>
      </c>
    </row>
    <row r="83" spans="1:5" x14ac:dyDescent="0.3">
      <c r="A83" t="s">
        <v>145</v>
      </c>
      <c r="B83">
        <v>33644</v>
      </c>
      <c r="C83" s="3">
        <v>207.42400000000001</v>
      </c>
      <c r="D83">
        <v>197</v>
      </c>
      <c r="E83">
        <v>211</v>
      </c>
    </row>
    <row r="84" spans="1:5" x14ac:dyDescent="0.3">
      <c r="A84" t="s">
        <v>146</v>
      </c>
      <c r="B84">
        <v>33644</v>
      </c>
      <c r="C84" s="3">
        <v>208.13800000000001</v>
      </c>
      <c r="D84">
        <v>206</v>
      </c>
      <c r="E84">
        <v>213</v>
      </c>
    </row>
    <row r="85" spans="1:5" x14ac:dyDescent="0.3">
      <c r="A85" t="s">
        <v>147</v>
      </c>
      <c r="B85">
        <v>33644</v>
      </c>
      <c r="C85" s="3">
        <v>209.06700000000001</v>
      </c>
      <c r="D85">
        <v>205</v>
      </c>
      <c r="E85">
        <v>222</v>
      </c>
    </row>
    <row r="86" spans="1:5" x14ac:dyDescent="0.3">
      <c r="A86" t="s">
        <v>148</v>
      </c>
      <c r="B86">
        <v>33644</v>
      </c>
      <c r="C86" s="3">
        <v>207.46799999999999</v>
      </c>
      <c r="D86">
        <v>204</v>
      </c>
      <c r="E86">
        <v>213</v>
      </c>
    </row>
    <row r="87" spans="1:5" x14ac:dyDescent="0.3">
      <c r="A87" t="s">
        <v>149</v>
      </c>
      <c r="B87">
        <v>33644</v>
      </c>
      <c r="C87" s="3">
        <v>206.29400000000001</v>
      </c>
      <c r="D87">
        <v>180</v>
      </c>
      <c r="E87">
        <v>213</v>
      </c>
    </row>
    <row r="88" spans="1:5" x14ac:dyDescent="0.3">
      <c r="A88" t="s">
        <v>150</v>
      </c>
      <c r="B88">
        <v>33644</v>
      </c>
      <c r="C88" s="3">
        <v>209.27699999999999</v>
      </c>
      <c r="D88">
        <v>205</v>
      </c>
      <c r="E88">
        <v>217</v>
      </c>
    </row>
    <row r="89" spans="1:5" x14ac:dyDescent="0.3">
      <c r="A89" t="s">
        <v>151</v>
      </c>
      <c r="B89">
        <v>33644</v>
      </c>
      <c r="C89" s="3">
        <v>205.91499999999999</v>
      </c>
      <c r="D89">
        <v>179</v>
      </c>
      <c r="E89">
        <v>212</v>
      </c>
    </row>
    <row r="90" spans="1:5" x14ac:dyDescent="0.3">
      <c r="A90" t="s">
        <v>152</v>
      </c>
      <c r="B90">
        <v>33644</v>
      </c>
      <c r="C90" s="3">
        <v>208.93199999999999</v>
      </c>
      <c r="D90">
        <v>206</v>
      </c>
      <c r="E90">
        <v>212</v>
      </c>
    </row>
    <row r="91" spans="1:5" x14ac:dyDescent="0.3">
      <c r="A91" t="s">
        <v>153</v>
      </c>
      <c r="B91">
        <v>33644</v>
      </c>
      <c r="C91" s="3">
        <v>207.94399999999999</v>
      </c>
      <c r="D91">
        <v>204</v>
      </c>
      <c r="E91">
        <v>225</v>
      </c>
    </row>
    <row r="92" spans="1:5" x14ac:dyDescent="0.3">
      <c r="A92" t="s">
        <v>154</v>
      </c>
      <c r="B92">
        <v>33644</v>
      </c>
      <c r="C92" s="3">
        <v>209.93700000000001</v>
      </c>
      <c r="D92">
        <v>206</v>
      </c>
      <c r="E92">
        <v>213</v>
      </c>
    </row>
    <row r="93" spans="1:5" x14ac:dyDescent="0.3">
      <c r="A93" t="s">
        <v>155</v>
      </c>
      <c r="B93">
        <v>33644</v>
      </c>
      <c r="C93" s="3">
        <v>207.58799999999999</v>
      </c>
      <c r="D93">
        <v>197</v>
      </c>
      <c r="E93">
        <v>223</v>
      </c>
    </row>
    <row r="94" spans="1:5" x14ac:dyDescent="0.3">
      <c r="A94" t="s">
        <v>156</v>
      </c>
      <c r="B94">
        <v>33644</v>
      </c>
      <c r="C94" s="3">
        <v>209.6</v>
      </c>
      <c r="D94">
        <v>207</v>
      </c>
      <c r="E94">
        <v>216</v>
      </c>
    </row>
    <row r="95" spans="1:5" x14ac:dyDescent="0.3">
      <c r="A95" t="s">
        <v>157</v>
      </c>
      <c r="B95">
        <v>33644</v>
      </c>
      <c r="C95" s="3">
        <v>208.863</v>
      </c>
      <c r="D95">
        <v>196</v>
      </c>
      <c r="E95">
        <v>221</v>
      </c>
    </row>
    <row r="96" spans="1:5" x14ac:dyDescent="0.3">
      <c r="A96" t="s">
        <v>158</v>
      </c>
      <c r="B96">
        <v>33644</v>
      </c>
      <c r="C96" s="3">
        <v>207.298</v>
      </c>
      <c r="D96">
        <v>204</v>
      </c>
      <c r="E96">
        <v>212</v>
      </c>
    </row>
    <row r="97" spans="1:5" x14ac:dyDescent="0.3">
      <c r="A97" t="s">
        <v>159</v>
      </c>
      <c r="B97">
        <v>33644</v>
      </c>
      <c r="C97" s="3">
        <v>209.79400000000001</v>
      </c>
      <c r="D97">
        <v>205</v>
      </c>
      <c r="E97">
        <v>218</v>
      </c>
    </row>
    <row r="98" spans="1:5" x14ac:dyDescent="0.3">
      <c r="A98" t="s">
        <v>160</v>
      </c>
      <c r="B98">
        <v>33644</v>
      </c>
      <c r="C98" s="3">
        <v>208.51300000000001</v>
      </c>
      <c r="D98">
        <v>190</v>
      </c>
      <c r="E98">
        <v>213</v>
      </c>
    </row>
    <row r="99" spans="1:5" x14ac:dyDescent="0.3">
      <c r="A99" t="s">
        <v>161</v>
      </c>
      <c r="B99">
        <v>33644</v>
      </c>
      <c r="C99" s="3">
        <v>204.80500000000001</v>
      </c>
      <c r="D99">
        <v>194</v>
      </c>
      <c r="E99">
        <v>210</v>
      </c>
    </row>
    <row r="100" spans="1:5" x14ac:dyDescent="0.3">
      <c r="A100" t="s">
        <v>162</v>
      </c>
      <c r="B100">
        <v>33644</v>
      </c>
      <c r="C100" s="3">
        <v>208.96299999999999</v>
      </c>
      <c r="D100">
        <v>177</v>
      </c>
      <c r="E100">
        <v>215</v>
      </c>
    </row>
    <row r="101" spans="1:5" x14ac:dyDescent="0.3">
      <c r="A101" t="s">
        <v>163</v>
      </c>
      <c r="B101">
        <v>33644</v>
      </c>
      <c r="C101" s="3">
        <v>206.19900000000001</v>
      </c>
      <c r="D101">
        <v>158</v>
      </c>
      <c r="E101">
        <v>214</v>
      </c>
    </row>
    <row r="102" spans="1:5" x14ac:dyDescent="0.3">
      <c r="A102" t="s">
        <v>164</v>
      </c>
      <c r="B102">
        <v>33644</v>
      </c>
      <c r="C102" s="3">
        <v>209.03200000000001</v>
      </c>
      <c r="D102">
        <v>206</v>
      </c>
      <c r="E102">
        <v>213</v>
      </c>
    </row>
    <row r="103" spans="1:5" x14ac:dyDescent="0.3">
      <c r="A103" t="s">
        <v>165</v>
      </c>
      <c r="B103">
        <v>33644</v>
      </c>
      <c r="C103" s="3">
        <v>207.86600000000001</v>
      </c>
      <c r="D103">
        <v>203</v>
      </c>
      <c r="E103">
        <v>214</v>
      </c>
    </row>
    <row r="104" spans="1:5" x14ac:dyDescent="0.3">
      <c r="A104" t="s">
        <v>166</v>
      </c>
      <c r="B104">
        <v>33644</v>
      </c>
      <c r="C104" s="3">
        <v>206.27799999999999</v>
      </c>
      <c r="D104">
        <v>200</v>
      </c>
      <c r="E104">
        <v>212</v>
      </c>
    </row>
    <row r="105" spans="1:5" x14ac:dyDescent="0.3">
      <c r="A105" t="s">
        <v>167</v>
      </c>
      <c r="B105">
        <v>33644</v>
      </c>
      <c r="C105" s="3">
        <v>207.32900000000001</v>
      </c>
      <c r="D105">
        <v>204</v>
      </c>
      <c r="E105">
        <v>209</v>
      </c>
    </row>
    <row r="106" spans="1:5" x14ac:dyDescent="0.3">
      <c r="A106" t="s">
        <v>168</v>
      </c>
      <c r="B106">
        <v>33644</v>
      </c>
      <c r="C106" s="3">
        <v>207.286</v>
      </c>
      <c r="D106">
        <v>204</v>
      </c>
      <c r="E106">
        <v>213</v>
      </c>
    </row>
    <row r="107" spans="1:5" x14ac:dyDescent="0.3">
      <c r="A107" t="s">
        <v>169</v>
      </c>
      <c r="B107">
        <v>33644</v>
      </c>
      <c r="C107" s="3">
        <v>205.19399999999999</v>
      </c>
      <c r="D107">
        <v>169</v>
      </c>
      <c r="E107">
        <v>210</v>
      </c>
    </row>
    <row r="108" spans="1:5" x14ac:dyDescent="0.3">
      <c r="A108" t="s">
        <v>170</v>
      </c>
      <c r="B108">
        <v>33644</v>
      </c>
      <c r="C108" s="3">
        <v>209.40700000000001</v>
      </c>
      <c r="D108">
        <v>206</v>
      </c>
      <c r="E108">
        <v>216</v>
      </c>
    </row>
    <row r="109" spans="1:5" x14ac:dyDescent="0.3">
      <c r="A109" t="s">
        <v>171</v>
      </c>
      <c r="B109">
        <v>33644</v>
      </c>
      <c r="C109" s="3">
        <v>209.73599999999999</v>
      </c>
      <c r="D109">
        <v>206</v>
      </c>
      <c r="E109">
        <v>217</v>
      </c>
    </row>
    <row r="110" spans="1:5" x14ac:dyDescent="0.3">
      <c r="A110" t="s">
        <v>172</v>
      </c>
      <c r="B110">
        <v>33644</v>
      </c>
      <c r="C110" s="3">
        <v>209.684</v>
      </c>
      <c r="D110">
        <v>206</v>
      </c>
      <c r="E110">
        <v>218</v>
      </c>
    </row>
    <row r="111" spans="1:5" x14ac:dyDescent="0.3">
      <c r="A111" t="s">
        <v>173</v>
      </c>
      <c r="B111">
        <v>33644</v>
      </c>
      <c r="C111" s="3">
        <v>206.75399999999999</v>
      </c>
      <c r="D111">
        <v>195</v>
      </c>
      <c r="E111">
        <v>218</v>
      </c>
    </row>
    <row r="112" spans="1:5" x14ac:dyDescent="0.3">
      <c r="A112" t="s">
        <v>174</v>
      </c>
      <c r="B112">
        <v>33644</v>
      </c>
      <c r="C112" s="3">
        <v>211.50200000000001</v>
      </c>
      <c r="D112">
        <v>209</v>
      </c>
      <c r="E112">
        <v>215</v>
      </c>
    </row>
    <row r="113" spans="1:5" x14ac:dyDescent="0.3">
      <c r="A113" t="s">
        <v>175</v>
      </c>
      <c r="B113">
        <v>33644</v>
      </c>
      <c r="C113" s="3">
        <v>212.15199999999999</v>
      </c>
      <c r="D113">
        <v>193</v>
      </c>
      <c r="E113">
        <v>225</v>
      </c>
    </row>
    <row r="114" spans="1:5" x14ac:dyDescent="0.3">
      <c r="A114" t="s">
        <v>176</v>
      </c>
      <c r="B114">
        <v>33644</v>
      </c>
      <c r="C114" s="3">
        <v>206.61</v>
      </c>
      <c r="D114">
        <v>204</v>
      </c>
      <c r="E114">
        <v>212</v>
      </c>
    </row>
    <row r="115" spans="1:5" x14ac:dyDescent="0.3">
      <c r="A115" t="s">
        <v>177</v>
      </c>
      <c r="B115">
        <v>33644</v>
      </c>
      <c r="C115" s="3">
        <v>214.16</v>
      </c>
      <c r="D115">
        <v>208</v>
      </c>
      <c r="E115">
        <v>224</v>
      </c>
    </row>
    <row r="116" spans="1:5" x14ac:dyDescent="0.3">
      <c r="A116" t="s">
        <v>178</v>
      </c>
      <c r="B116">
        <v>33644</v>
      </c>
      <c r="C116" s="3">
        <v>211.172</v>
      </c>
      <c r="D116">
        <v>201</v>
      </c>
      <c r="E116">
        <v>221</v>
      </c>
    </row>
    <row r="117" spans="1:5" x14ac:dyDescent="0.3">
      <c r="A117" t="s">
        <v>179</v>
      </c>
      <c r="B117">
        <v>33644</v>
      </c>
      <c r="C117" s="3">
        <v>206.857</v>
      </c>
      <c r="D117">
        <v>200</v>
      </c>
      <c r="E117">
        <v>211</v>
      </c>
    </row>
    <row r="118" spans="1:5" x14ac:dyDescent="0.3">
      <c r="A118" t="s">
        <v>180</v>
      </c>
      <c r="B118">
        <v>33644</v>
      </c>
      <c r="C118" s="3">
        <v>212.36099999999999</v>
      </c>
      <c r="D118">
        <v>206</v>
      </c>
      <c r="E118">
        <v>224</v>
      </c>
    </row>
    <row r="119" spans="1:5" x14ac:dyDescent="0.3">
      <c r="A119" t="s">
        <v>181</v>
      </c>
      <c r="B119">
        <v>33644</v>
      </c>
      <c r="C119" s="3">
        <v>206.792</v>
      </c>
      <c r="D119">
        <v>194</v>
      </c>
      <c r="E119">
        <v>213</v>
      </c>
    </row>
    <row r="120" spans="1:5" x14ac:dyDescent="0.3">
      <c r="A120" t="s">
        <v>182</v>
      </c>
      <c r="B120">
        <v>33644</v>
      </c>
      <c r="C120" s="3">
        <v>209.905</v>
      </c>
      <c r="D120">
        <v>206</v>
      </c>
      <c r="E120">
        <v>216</v>
      </c>
    </row>
    <row r="121" spans="1:5" x14ac:dyDescent="0.3">
      <c r="A121" t="s">
        <v>183</v>
      </c>
      <c r="B121">
        <v>33644</v>
      </c>
      <c r="C121" s="3">
        <v>208.989</v>
      </c>
      <c r="D121">
        <v>205</v>
      </c>
      <c r="E121">
        <v>225</v>
      </c>
    </row>
    <row r="122" spans="1:5" x14ac:dyDescent="0.3">
      <c r="A122" t="s">
        <v>184</v>
      </c>
      <c r="B122">
        <v>33644</v>
      </c>
      <c r="C122" s="3">
        <v>206.71700000000001</v>
      </c>
      <c r="D122">
        <v>202</v>
      </c>
      <c r="E122">
        <v>223</v>
      </c>
    </row>
    <row r="123" spans="1:5" x14ac:dyDescent="0.3">
      <c r="A123" t="s">
        <v>185</v>
      </c>
      <c r="B123">
        <v>33644</v>
      </c>
      <c r="C123" s="3">
        <v>207.256</v>
      </c>
      <c r="D123">
        <v>199</v>
      </c>
      <c r="E123">
        <v>212</v>
      </c>
    </row>
    <row r="124" spans="1:5" x14ac:dyDescent="0.3">
      <c r="A124" t="s">
        <v>186</v>
      </c>
      <c r="B124">
        <v>33644</v>
      </c>
      <c r="C124" s="3">
        <v>207.54300000000001</v>
      </c>
      <c r="D124">
        <v>204</v>
      </c>
      <c r="E124">
        <v>210</v>
      </c>
    </row>
    <row r="125" spans="1:5" x14ac:dyDescent="0.3">
      <c r="A125" t="s">
        <v>187</v>
      </c>
      <c r="B125">
        <v>33644</v>
      </c>
      <c r="C125" s="3">
        <v>209.96199999999999</v>
      </c>
      <c r="D125">
        <v>206</v>
      </c>
      <c r="E125">
        <v>218</v>
      </c>
    </row>
    <row r="126" spans="1:5" x14ac:dyDescent="0.3">
      <c r="A126" t="s">
        <v>188</v>
      </c>
      <c r="B126">
        <v>33644</v>
      </c>
      <c r="C126" s="3">
        <v>207.49100000000001</v>
      </c>
      <c r="D126">
        <v>203</v>
      </c>
      <c r="E126">
        <v>219</v>
      </c>
    </row>
    <row r="127" spans="1:5" x14ac:dyDescent="0.3">
      <c r="A127" t="s">
        <v>189</v>
      </c>
      <c r="B127">
        <v>33644</v>
      </c>
      <c r="C127" s="3">
        <v>210.88900000000001</v>
      </c>
      <c r="D127">
        <v>208</v>
      </c>
      <c r="E127">
        <v>214</v>
      </c>
    </row>
    <row r="128" spans="1:5" x14ac:dyDescent="0.3">
      <c r="A128" t="s">
        <v>190</v>
      </c>
      <c r="B128">
        <v>33644</v>
      </c>
      <c r="C128" s="3">
        <v>208.666</v>
      </c>
      <c r="D128">
        <v>194</v>
      </c>
      <c r="E128">
        <v>214</v>
      </c>
    </row>
    <row r="129" spans="1:5" x14ac:dyDescent="0.3">
      <c r="A129" t="s">
        <v>191</v>
      </c>
      <c r="B129">
        <v>33644</v>
      </c>
      <c r="C129" s="3">
        <v>204.91</v>
      </c>
      <c r="D129">
        <v>202</v>
      </c>
      <c r="E129">
        <v>209</v>
      </c>
    </row>
    <row r="130" spans="1:5" x14ac:dyDescent="0.3">
      <c r="A130" t="s">
        <v>192</v>
      </c>
      <c r="B130">
        <v>33644</v>
      </c>
      <c r="C130" s="3">
        <v>209.7</v>
      </c>
      <c r="D130">
        <v>207</v>
      </c>
      <c r="E130">
        <v>214</v>
      </c>
    </row>
    <row r="131" spans="1:5" x14ac:dyDescent="0.3">
      <c r="A131" t="s">
        <v>193</v>
      </c>
      <c r="B131">
        <v>33644</v>
      </c>
      <c r="C131" s="3">
        <v>208.375</v>
      </c>
      <c r="D131">
        <v>186</v>
      </c>
      <c r="E131">
        <v>215</v>
      </c>
    </row>
    <row r="132" spans="1:5" x14ac:dyDescent="0.3">
      <c r="A132" t="s">
        <v>194</v>
      </c>
      <c r="B132">
        <v>33644</v>
      </c>
      <c r="C132" s="3">
        <v>205.39699999999999</v>
      </c>
      <c r="D132">
        <v>195</v>
      </c>
      <c r="E132">
        <v>209</v>
      </c>
    </row>
    <row r="133" spans="1:5" x14ac:dyDescent="0.3">
      <c r="A133" t="s">
        <v>195</v>
      </c>
      <c r="B133">
        <v>33644</v>
      </c>
      <c r="C133" s="3">
        <v>210.07499999999999</v>
      </c>
      <c r="D133">
        <v>205</v>
      </c>
      <c r="E133">
        <v>214</v>
      </c>
    </row>
    <row r="134" spans="1:5" x14ac:dyDescent="0.3">
      <c r="A134" t="s">
        <v>196</v>
      </c>
      <c r="B134">
        <v>33644</v>
      </c>
      <c r="C134" s="3">
        <v>206.565</v>
      </c>
      <c r="D134">
        <v>202</v>
      </c>
      <c r="E134">
        <v>211</v>
      </c>
    </row>
    <row r="135" spans="1:5" x14ac:dyDescent="0.3">
      <c r="A135" t="s">
        <v>197</v>
      </c>
      <c r="B135">
        <v>33644</v>
      </c>
      <c r="C135" s="3">
        <v>209.25299999999999</v>
      </c>
      <c r="D135">
        <v>192</v>
      </c>
      <c r="E135">
        <v>218</v>
      </c>
    </row>
    <row r="136" spans="1:5" x14ac:dyDescent="0.3">
      <c r="A136" t="s">
        <v>198</v>
      </c>
      <c r="B136">
        <v>33644</v>
      </c>
      <c r="C136" s="3">
        <v>206.953</v>
      </c>
      <c r="D136">
        <v>204</v>
      </c>
      <c r="E136">
        <v>211</v>
      </c>
    </row>
    <row r="137" spans="1:5" x14ac:dyDescent="0.3">
      <c r="A137" t="s">
        <v>199</v>
      </c>
      <c r="B137">
        <v>33644</v>
      </c>
      <c r="C137" s="3">
        <v>205.99600000000001</v>
      </c>
      <c r="D137">
        <v>198</v>
      </c>
      <c r="E137">
        <v>210</v>
      </c>
    </row>
    <row r="138" spans="1:5" x14ac:dyDescent="0.3">
      <c r="A138" t="s">
        <v>200</v>
      </c>
      <c r="B138">
        <v>33644</v>
      </c>
      <c r="C138" s="3">
        <v>206.685</v>
      </c>
      <c r="D138">
        <v>203</v>
      </c>
      <c r="E138">
        <v>212</v>
      </c>
    </row>
    <row r="139" spans="1:5" x14ac:dyDescent="0.3">
      <c r="A139" t="s">
        <v>201</v>
      </c>
      <c r="B139">
        <v>33644</v>
      </c>
      <c r="C139" s="3">
        <v>206.334</v>
      </c>
      <c r="D139">
        <v>202</v>
      </c>
      <c r="E139">
        <v>211</v>
      </c>
    </row>
    <row r="140" spans="1:5" x14ac:dyDescent="0.3">
      <c r="A140" t="s">
        <v>202</v>
      </c>
      <c r="B140">
        <v>33644</v>
      </c>
      <c r="C140" s="3">
        <v>203.62899999999999</v>
      </c>
      <c r="D140">
        <v>156</v>
      </c>
      <c r="E140">
        <v>218</v>
      </c>
    </row>
    <row r="141" spans="1:5" x14ac:dyDescent="0.3">
      <c r="A141" t="s">
        <v>203</v>
      </c>
      <c r="B141">
        <v>33644</v>
      </c>
      <c r="C141" s="3">
        <v>208.76</v>
      </c>
      <c r="D141">
        <v>206</v>
      </c>
      <c r="E141">
        <v>211</v>
      </c>
    </row>
    <row r="142" spans="1:5" x14ac:dyDescent="0.3">
      <c r="A142" t="s">
        <v>204</v>
      </c>
      <c r="B142">
        <v>33644</v>
      </c>
      <c r="C142" s="3">
        <v>206.28700000000001</v>
      </c>
      <c r="D142">
        <v>202</v>
      </c>
      <c r="E142">
        <v>221</v>
      </c>
    </row>
    <row r="143" spans="1:5" x14ac:dyDescent="0.3">
      <c r="A143" t="s">
        <v>205</v>
      </c>
      <c r="B143">
        <v>33644</v>
      </c>
      <c r="C143" s="3">
        <v>209.928</v>
      </c>
      <c r="D143">
        <v>207</v>
      </c>
      <c r="E143">
        <v>213</v>
      </c>
    </row>
    <row r="144" spans="1:5" x14ac:dyDescent="0.3">
      <c r="A144" t="s">
        <v>206</v>
      </c>
      <c r="B144">
        <v>33644</v>
      </c>
      <c r="C144" s="3">
        <v>206.84899999999999</v>
      </c>
      <c r="D144">
        <v>202</v>
      </c>
      <c r="E144">
        <v>214</v>
      </c>
    </row>
    <row r="145" spans="1:5" x14ac:dyDescent="0.3">
      <c r="A145" t="s">
        <v>207</v>
      </c>
      <c r="B145">
        <v>33644</v>
      </c>
      <c r="C145" s="3">
        <v>210.21700000000001</v>
      </c>
      <c r="D145">
        <v>206</v>
      </c>
      <c r="E145">
        <v>214</v>
      </c>
    </row>
    <row r="146" spans="1:5" x14ac:dyDescent="0.3">
      <c r="A146" t="s">
        <v>208</v>
      </c>
      <c r="B146">
        <v>33644</v>
      </c>
      <c r="C146" s="3">
        <v>208.56899999999999</v>
      </c>
      <c r="D146">
        <v>197</v>
      </c>
      <c r="E146">
        <v>212</v>
      </c>
    </row>
    <row r="147" spans="1:5" x14ac:dyDescent="0.3">
      <c r="A147" t="s">
        <v>209</v>
      </c>
      <c r="B147">
        <v>33644</v>
      </c>
      <c r="C147" s="3">
        <v>206.44800000000001</v>
      </c>
      <c r="D147">
        <v>204</v>
      </c>
      <c r="E147">
        <v>212</v>
      </c>
    </row>
    <row r="148" spans="1:5" x14ac:dyDescent="0.3">
      <c r="A148" t="s">
        <v>210</v>
      </c>
      <c r="B148">
        <v>33644</v>
      </c>
      <c r="C148" s="3">
        <v>209.77500000000001</v>
      </c>
      <c r="D148">
        <v>206</v>
      </c>
      <c r="E148">
        <v>216</v>
      </c>
    </row>
    <row r="149" spans="1:5" x14ac:dyDescent="0.3">
      <c r="A149" t="s">
        <v>211</v>
      </c>
      <c r="B149">
        <v>33644</v>
      </c>
      <c r="C149" s="3">
        <v>209.43700000000001</v>
      </c>
      <c r="D149">
        <v>190</v>
      </c>
      <c r="E149">
        <v>212</v>
      </c>
    </row>
    <row r="150" spans="1:5" x14ac:dyDescent="0.3">
      <c r="A150" t="s">
        <v>212</v>
      </c>
      <c r="B150">
        <v>33644</v>
      </c>
      <c r="C150" s="3">
        <v>206.589</v>
      </c>
      <c r="D150">
        <v>201</v>
      </c>
      <c r="E150">
        <v>211</v>
      </c>
    </row>
    <row r="151" spans="1:5" x14ac:dyDescent="0.3">
      <c r="A151" t="s">
        <v>213</v>
      </c>
      <c r="B151">
        <v>33644</v>
      </c>
      <c r="C151" s="3">
        <v>209.60599999999999</v>
      </c>
      <c r="D151">
        <v>205</v>
      </c>
      <c r="E151">
        <v>215</v>
      </c>
    </row>
    <row r="152" spans="1:5" x14ac:dyDescent="0.3">
      <c r="A152" t="s">
        <v>214</v>
      </c>
      <c r="B152">
        <v>33644</v>
      </c>
      <c r="C152" s="3">
        <v>206.70400000000001</v>
      </c>
      <c r="D152">
        <v>197</v>
      </c>
      <c r="E152">
        <v>215</v>
      </c>
    </row>
    <row r="153" spans="1:5" x14ac:dyDescent="0.3">
      <c r="A153" t="s">
        <v>215</v>
      </c>
      <c r="B153">
        <v>33644</v>
      </c>
      <c r="C153" s="3">
        <v>208.22399999999999</v>
      </c>
      <c r="D153">
        <v>203</v>
      </c>
      <c r="E153">
        <v>213</v>
      </c>
    </row>
    <row r="154" spans="1:5" x14ac:dyDescent="0.3">
      <c r="A154" t="s">
        <v>216</v>
      </c>
      <c r="B154">
        <v>33644</v>
      </c>
      <c r="C154" s="3">
        <v>208.96600000000001</v>
      </c>
      <c r="D154">
        <v>205</v>
      </c>
      <c r="E154">
        <v>215</v>
      </c>
    </row>
    <row r="155" spans="1:5" x14ac:dyDescent="0.3">
      <c r="A155" t="s">
        <v>217</v>
      </c>
      <c r="B155">
        <v>33644</v>
      </c>
      <c r="C155" s="3">
        <v>208.416</v>
      </c>
      <c r="D155">
        <v>205</v>
      </c>
      <c r="E155">
        <v>215</v>
      </c>
    </row>
    <row r="156" spans="1:5" x14ac:dyDescent="0.3">
      <c r="A156" t="s">
        <v>218</v>
      </c>
      <c r="B156">
        <v>33644</v>
      </c>
      <c r="C156" s="3">
        <v>206.84899999999999</v>
      </c>
      <c r="D156">
        <v>200</v>
      </c>
      <c r="E156">
        <v>210</v>
      </c>
    </row>
    <row r="157" spans="1:5" x14ac:dyDescent="0.3">
      <c r="A157" t="s">
        <v>219</v>
      </c>
      <c r="B157">
        <v>33644</v>
      </c>
      <c r="C157" s="3">
        <v>208.274</v>
      </c>
      <c r="D157">
        <v>200</v>
      </c>
      <c r="E157">
        <v>218</v>
      </c>
    </row>
    <row r="158" spans="1:5" x14ac:dyDescent="0.3">
      <c r="A158" t="s">
        <v>220</v>
      </c>
      <c r="B158">
        <v>33644</v>
      </c>
      <c r="C158" s="3">
        <v>205.952</v>
      </c>
      <c r="D158">
        <v>202</v>
      </c>
      <c r="E158">
        <v>212</v>
      </c>
    </row>
    <row r="159" spans="1:5" x14ac:dyDescent="0.3">
      <c r="A159" t="s">
        <v>221</v>
      </c>
      <c r="B159">
        <v>33644</v>
      </c>
      <c r="C159" s="3">
        <v>208.82400000000001</v>
      </c>
      <c r="D159">
        <v>206</v>
      </c>
      <c r="E159">
        <v>211</v>
      </c>
    </row>
    <row r="160" spans="1:5" x14ac:dyDescent="0.3">
      <c r="A160" t="s">
        <v>222</v>
      </c>
      <c r="B160">
        <v>33644</v>
      </c>
      <c r="C160" s="3">
        <v>207</v>
      </c>
      <c r="D160">
        <v>203</v>
      </c>
      <c r="E160">
        <v>220</v>
      </c>
    </row>
    <row r="161" spans="1:5" x14ac:dyDescent="0.3">
      <c r="A161" t="s">
        <v>223</v>
      </c>
      <c r="B161">
        <v>33644</v>
      </c>
      <c r="C161" s="3">
        <v>210.14</v>
      </c>
      <c r="D161">
        <v>205</v>
      </c>
      <c r="E161">
        <v>218</v>
      </c>
    </row>
    <row r="162" spans="1:5" x14ac:dyDescent="0.3">
      <c r="A162" t="s">
        <v>224</v>
      </c>
      <c r="B162">
        <v>33644</v>
      </c>
      <c r="C162" s="3">
        <v>207.02099999999999</v>
      </c>
      <c r="D162">
        <v>200</v>
      </c>
      <c r="E162">
        <v>219</v>
      </c>
    </row>
    <row r="163" spans="1:5" x14ac:dyDescent="0.3">
      <c r="A163" t="s">
        <v>225</v>
      </c>
      <c r="B163">
        <v>33644</v>
      </c>
      <c r="C163" s="3">
        <v>210.79499999999999</v>
      </c>
      <c r="D163">
        <v>207</v>
      </c>
      <c r="E163">
        <v>215</v>
      </c>
    </row>
    <row r="164" spans="1:5" x14ac:dyDescent="0.3">
      <c r="A164" t="s">
        <v>226</v>
      </c>
      <c r="B164">
        <v>33644</v>
      </c>
      <c r="C164" s="3">
        <v>208.58500000000001</v>
      </c>
      <c r="D164">
        <v>202</v>
      </c>
      <c r="E164">
        <v>212</v>
      </c>
    </row>
    <row r="165" spans="1:5" x14ac:dyDescent="0.3">
      <c r="A165" t="s">
        <v>227</v>
      </c>
      <c r="B165">
        <v>33644</v>
      </c>
      <c r="C165" s="3">
        <v>207.315</v>
      </c>
      <c r="D165">
        <v>203</v>
      </c>
      <c r="E165">
        <v>213</v>
      </c>
    </row>
    <row r="166" spans="1:5" x14ac:dyDescent="0.3">
      <c r="A166" t="s">
        <v>228</v>
      </c>
      <c r="B166">
        <v>33644</v>
      </c>
      <c r="C166" s="3">
        <v>209.40600000000001</v>
      </c>
      <c r="D166">
        <v>206</v>
      </c>
      <c r="E166">
        <v>219</v>
      </c>
    </row>
    <row r="167" spans="1:5" x14ac:dyDescent="0.3">
      <c r="A167" t="s">
        <v>229</v>
      </c>
      <c r="B167">
        <v>33644</v>
      </c>
      <c r="C167" s="3">
        <v>209.977</v>
      </c>
      <c r="D167">
        <v>191</v>
      </c>
      <c r="E167">
        <v>221</v>
      </c>
    </row>
    <row r="168" spans="1:5" x14ac:dyDescent="0.3">
      <c r="A168" t="s">
        <v>230</v>
      </c>
      <c r="B168">
        <v>33644</v>
      </c>
      <c r="C168" s="3">
        <v>206.25399999999999</v>
      </c>
      <c r="D168">
        <v>187</v>
      </c>
      <c r="E168">
        <v>227</v>
      </c>
    </row>
    <row r="169" spans="1:5" x14ac:dyDescent="0.3">
      <c r="A169" t="s">
        <v>231</v>
      </c>
      <c r="B169">
        <v>33644</v>
      </c>
      <c r="C169" s="3">
        <v>209.50399999999999</v>
      </c>
      <c r="D169">
        <v>207</v>
      </c>
      <c r="E169">
        <v>214</v>
      </c>
    </row>
    <row r="170" spans="1:5" x14ac:dyDescent="0.3">
      <c r="A170" t="s">
        <v>232</v>
      </c>
      <c r="B170">
        <v>33644</v>
      </c>
      <c r="C170" s="3">
        <v>207.273</v>
      </c>
      <c r="D170">
        <v>200</v>
      </c>
      <c r="E170">
        <v>211</v>
      </c>
    </row>
    <row r="171" spans="1:5" x14ac:dyDescent="0.3">
      <c r="A171" t="s">
        <v>233</v>
      </c>
      <c r="B171">
        <v>33644</v>
      </c>
      <c r="C171" s="3">
        <v>209.48599999999999</v>
      </c>
      <c r="D171">
        <v>206</v>
      </c>
      <c r="E171">
        <v>214</v>
      </c>
    </row>
    <row r="172" spans="1:5" x14ac:dyDescent="0.3">
      <c r="A172" t="s">
        <v>234</v>
      </c>
      <c r="B172">
        <v>33644</v>
      </c>
      <c r="C172" s="3">
        <v>207.75800000000001</v>
      </c>
      <c r="D172">
        <v>205</v>
      </c>
      <c r="E172">
        <v>214</v>
      </c>
    </row>
    <row r="173" spans="1:5" x14ac:dyDescent="0.3">
      <c r="A173" t="s">
        <v>235</v>
      </c>
      <c r="B173">
        <v>33644</v>
      </c>
      <c r="C173" s="3">
        <v>205.917</v>
      </c>
      <c r="D173">
        <v>202</v>
      </c>
      <c r="E173">
        <v>209</v>
      </c>
    </row>
    <row r="174" spans="1:5" x14ac:dyDescent="0.3">
      <c r="A174" t="s">
        <v>236</v>
      </c>
      <c r="B174">
        <v>33644</v>
      </c>
      <c r="C174" s="3">
        <v>206.50899999999999</v>
      </c>
      <c r="D174">
        <v>202</v>
      </c>
      <c r="E174">
        <v>212</v>
      </c>
    </row>
    <row r="175" spans="1:5" x14ac:dyDescent="0.3">
      <c r="A175" t="s">
        <v>237</v>
      </c>
      <c r="B175">
        <v>33644</v>
      </c>
      <c r="C175" s="3">
        <v>208.79400000000001</v>
      </c>
      <c r="D175">
        <v>206</v>
      </c>
      <c r="E175">
        <v>213</v>
      </c>
    </row>
    <row r="176" spans="1:5" x14ac:dyDescent="0.3">
      <c r="A176" t="s">
        <v>238</v>
      </c>
      <c r="B176">
        <v>33644</v>
      </c>
      <c r="C176" s="3">
        <v>209.09</v>
      </c>
      <c r="D176">
        <v>205</v>
      </c>
      <c r="E176">
        <v>215</v>
      </c>
    </row>
    <row r="177" spans="1:5" x14ac:dyDescent="0.3">
      <c r="A177" t="s">
        <v>239</v>
      </c>
      <c r="B177">
        <v>33644</v>
      </c>
      <c r="C177" s="3">
        <v>206.23400000000001</v>
      </c>
      <c r="D177">
        <v>202</v>
      </c>
      <c r="E177">
        <v>213</v>
      </c>
    </row>
    <row r="178" spans="1:5" x14ac:dyDescent="0.3">
      <c r="A178" t="s">
        <v>240</v>
      </c>
      <c r="B178">
        <v>33644</v>
      </c>
      <c r="C178" s="3">
        <v>208.744</v>
      </c>
      <c r="D178">
        <v>206</v>
      </c>
      <c r="E178">
        <v>215</v>
      </c>
    </row>
  </sheetData>
  <phoneticPr fontId="18" type="noConversion"/>
  <pageMargins left="0.7" right="0.7" top="0.75" bottom="0.75" header="0.3" footer="0.3"/>
  <ignoredErrors>
    <ignoredError sqref="U15:V1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A0EC0-AA23-42A0-AB5A-10E18AA0EC30}">
  <dimension ref="A1:Z35"/>
  <sheetViews>
    <sheetView topLeftCell="N9" workbookViewId="0">
      <selection activeCell="AD23" sqref="AD23"/>
    </sheetView>
  </sheetViews>
  <sheetFormatPr defaultRowHeight="14.4" x14ac:dyDescent="0.3"/>
  <cols>
    <col min="1" max="1" width="15.5546875" customWidth="1"/>
    <col min="5" max="5" width="13.5546875" customWidth="1"/>
    <col min="9" max="9" width="12.77734375" customWidth="1"/>
    <col min="18" max="18" width="7.5546875" customWidth="1"/>
    <col min="19" max="19" width="7.6640625" customWidth="1"/>
    <col min="20" max="20" width="14.5546875" customWidth="1"/>
    <col min="21" max="21" width="11.33203125" customWidth="1"/>
    <col min="22" max="22" width="8.33203125" customWidth="1"/>
    <col min="23" max="23" width="8.6640625" customWidth="1"/>
    <col min="24" max="24" width="12.6640625" customWidth="1"/>
    <col min="25" max="25" width="9.77734375" customWidth="1"/>
  </cols>
  <sheetData>
    <row r="1" spans="1:26" ht="27.6" customHeight="1" x14ac:dyDescent="0.3">
      <c r="A1" s="8" t="s">
        <v>270</v>
      </c>
      <c r="B1" s="8">
        <v>1</v>
      </c>
      <c r="C1" s="8">
        <v>2</v>
      </c>
      <c r="D1" s="8">
        <v>3</v>
      </c>
      <c r="E1" s="9" t="s">
        <v>271</v>
      </c>
      <c r="F1" s="8" t="s">
        <v>272</v>
      </c>
      <c r="I1" s="8" t="s">
        <v>293</v>
      </c>
      <c r="J1" s="8">
        <v>1</v>
      </c>
      <c r="K1" s="8">
        <v>2</v>
      </c>
      <c r="L1" s="8">
        <v>3</v>
      </c>
      <c r="M1" s="8">
        <v>4</v>
      </c>
      <c r="N1" s="8">
        <v>5</v>
      </c>
      <c r="O1" s="8">
        <v>6</v>
      </c>
      <c r="P1" s="8" t="s">
        <v>2</v>
      </c>
      <c r="Q1" s="8" t="s">
        <v>272</v>
      </c>
      <c r="R1" s="8"/>
      <c r="T1" s="10" t="s">
        <v>270</v>
      </c>
      <c r="U1" s="9" t="s">
        <v>307</v>
      </c>
      <c r="X1" s="9" t="s">
        <v>293</v>
      </c>
      <c r="Y1" s="9" t="s">
        <v>319</v>
      </c>
      <c r="Z1" s="8" t="s">
        <v>272</v>
      </c>
    </row>
    <row r="2" spans="1:26" x14ac:dyDescent="0.3">
      <c r="A2" t="s">
        <v>273</v>
      </c>
      <c r="B2" s="2">
        <v>-57.805000000000007</v>
      </c>
      <c r="C2" s="2">
        <v>-9.3163333333333185</v>
      </c>
      <c r="D2" s="2">
        <v>-40.101333333333343</v>
      </c>
      <c r="E2" s="2">
        <f>AVERAGE(B2:D2)</f>
        <v>-35.74088888888889</v>
      </c>
      <c r="F2" s="5">
        <f>_xlfn.STDEV.P(B2:D2)</f>
        <v>20.034101021218685</v>
      </c>
      <c r="I2" t="s">
        <v>302</v>
      </c>
      <c r="J2" s="5">
        <v>-35.74088888888889</v>
      </c>
      <c r="K2" s="5">
        <v>-40.992333333333335</v>
      </c>
      <c r="L2" s="5">
        <v>-31.733000000000004</v>
      </c>
      <c r="M2" s="5">
        <v>-40.816666666666684</v>
      </c>
      <c r="N2" s="5">
        <v>-41.843555555555554</v>
      </c>
      <c r="O2" s="5">
        <v>-61.41899999999999</v>
      </c>
      <c r="P2" s="11">
        <f>AVERAGE(J2:O2)</f>
        <v>-42.090907407407407</v>
      </c>
      <c r="Q2" s="7">
        <f>_xlfn.STDEV.P(J2:O2)</f>
        <v>9.3459071408646714</v>
      </c>
      <c r="R2" s="7"/>
      <c r="T2" t="s">
        <v>273</v>
      </c>
      <c r="U2" s="6">
        <f>E2/P2</f>
        <v>0.84913562311557567</v>
      </c>
      <c r="X2" t="s">
        <v>302</v>
      </c>
      <c r="Y2" s="5">
        <f>AVERAGE(U2:U7)</f>
        <v>1</v>
      </c>
      <c r="Z2" s="5">
        <f>_xlfn.STDEV.P(U2:U7)</f>
        <v>0.22204099926864276</v>
      </c>
    </row>
    <row r="3" spans="1:26" x14ac:dyDescent="0.3">
      <c r="A3" t="s">
        <v>274</v>
      </c>
      <c r="B3" s="2">
        <v>-34.78933333333336</v>
      </c>
      <c r="C3" s="2">
        <v>-45.01400000000001</v>
      </c>
      <c r="D3" s="2">
        <v>-43.173666666666634</v>
      </c>
      <c r="E3" s="2">
        <f t="shared" ref="E3:E21" si="0">AVERAGE(B3:D3)</f>
        <v>-40.992333333333335</v>
      </c>
      <c r="F3" s="5">
        <f t="shared" ref="F3:F21" si="1">_xlfn.STDEV.P(B3:D3)</f>
        <v>4.4500646770164192</v>
      </c>
      <c r="I3" t="s">
        <v>303</v>
      </c>
      <c r="J3" s="5">
        <v>-12.13833333333333</v>
      </c>
      <c r="K3" s="5">
        <v>-26.887444444444451</v>
      </c>
      <c r="L3" s="5">
        <v>-10.845111111111114</v>
      </c>
      <c r="M3" s="5">
        <v>-18.002555555555556</v>
      </c>
      <c r="N3" s="5">
        <v>-18.078222222222223</v>
      </c>
      <c r="O3" s="5">
        <v>-26.240000000000009</v>
      </c>
      <c r="P3" s="5">
        <f t="shared" ref="P3:P6" si="2">AVERAGE(J3:O3)</f>
        <v>-18.698611111111116</v>
      </c>
      <c r="Q3" s="7">
        <f t="shared" ref="Q3:Q6" si="3">_xlfn.STDEV.P(J3:O3)</f>
        <v>6.1848419572377367</v>
      </c>
      <c r="R3" s="7"/>
      <c r="T3" t="s">
        <v>274</v>
      </c>
      <c r="U3" s="6">
        <f>E3/P2</f>
        <v>0.973899966958642</v>
      </c>
      <c r="X3" t="s">
        <v>303</v>
      </c>
      <c r="Y3" s="5">
        <f>AVERAGE(U8:U13)</f>
        <v>0.44424347829147592</v>
      </c>
      <c r="Z3" s="5">
        <f>_xlfn.STDEV.P(U8:U13)</f>
        <v>0.14694009557392632</v>
      </c>
    </row>
    <row r="4" spans="1:26" x14ac:dyDescent="0.3">
      <c r="A4" t="s">
        <v>275</v>
      </c>
      <c r="B4" s="2">
        <v>-48.117666666666651</v>
      </c>
      <c r="C4" s="2">
        <v>-19.648333333333341</v>
      </c>
      <c r="D4" s="2">
        <v>-27.433000000000021</v>
      </c>
      <c r="E4" s="2">
        <f t="shared" si="0"/>
        <v>-31.733000000000004</v>
      </c>
      <c r="F4" s="5">
        <f t="shared" si="1"/>
        <v>12.013693162695949</v>
      </c>
      <c r="I4" t="s">
        <v>304</v>
      </c>
      <c r="J4" s="5">
        <v>-19.067777777777792</v>
      </c>
      <c r="K4" s="5">
        <v>-37.707000000000008</v>
      </c>
      <c r="L4" s="5">
        <v>-36.489333333333327</v>
      </c>
      <c r="M4" s="5">
        <v>-45.085666666666675</v>
      </c>
      <c r="N4" s="5">
        <v>-65.74144444444444</v>
      </c>
      <c r="O4" s="5">
        <v>-51.92766666666666</v>
      </c>
      <c r="P4" s="5">
        <f t="shared" si="2"/>
        <v>-42.669814814814821</v>
      </c>
      <c r="Q4" s="7">
        <f t="shared" si="3"/>
        <v>14.397501457859986</v>
      </c>
      <c r="R4" s="7"/>
      <c r="T4" t="s">
        <v>275</v>
      </c>
      <c r="U4" s="6">
        <f>E4/P2</f>
        <v>0.75391579689288057</v>
      </c>
      <c r="X4" t="s">
        <v>305</v>
      </c>
      <c r="Y4" s="5">
        <f>AVERAGE(U14:U19)</f>
        <v>1.0447475019897408</v>
      </c>
      <c r="Z4" s="5">
        <f>_xlfn.STDEV.P(U14:U19)</f>
        <v>0.29378815681476261</v>
      </c>
    </row>
    <row r="5" spans="1:26" x14ac:dyDescent="0.3">
      <c r="A5" t="s">
        <v>276</v>
      </c>
      <c r="B5" s="2">
        <v>-41.226666666666688</v>
      </c>
      <c r="C5" s="2">
        <v>-33.292333333333318</v>
      </c>
      <c r="D5" s="2">
        <v>-47.93100000000004</v>
      </c>
      <c r="E5" s="2">
        <f t="shared" si="0"/>
        <v>-40.816666666666684</v>
      </c>
      <c r="F5" s="5">
        <f t="shared" si="1"/>
        <v>5.983238556971469</v>
      </c>
      <c r="I5" t="s">
        <v>305</v>
      </c>
      <c r="J5" s="5">
        <v>-39.50911111111111</v>
      </c>
      <c r="K5" s="5">
        <v>-26.924111111111102</v>
      </c>
      <c r="L5" s="5">
        <v>-43.62544444444444</v>
      </c>
      <c r="M5" s="5">
        <v>-35.644222222222218</v>
      </c>
      <c r="N5" s="5">
        <v>-52.68966666666666</v>
      </c>
      <c r="O5" s="5">
        <v>-65.453666666666663</v>
      </c>
      <c r="P5" s="5">
        <f t="shared" si="2"/>
        <v>-43.974370370370366</v>
      </c>
      <c r="Q5" s="7">
        <f t="shared" si="3"/>
        <v>12.365810105883069</v>
      </c>
      <c r="R5" s="7"/>
      <c r="T5" t="s">
        <v>276</v>
      </c>
      <c r="U5" s="6">
        <f>E5/P2</f>
        <v>0.96972646067220503</v>
      </c>
      <c r="X5" t="s">
        <v>304</v>
      </c>
      <c r="Y5" s="5">
        <f>AVERAGE(U20:U25)</f>
        <v>1.0137537402509296</v>
      </c>
      <c r="Z5" s="5">
        <f>_xlfn.STDEV.P(U20:U25)</f>
        <v>0.34205728373834565</v>
      </c>
    </row>
    <row r="6" spans="1:26" x14ac:dyDescent="0.3">
      <c r="A6" s="1" t="s">
        <v>277</v>
      </c>
      <c r="B6" s="2">
        <v>-8.971666666666664</v>
      </c>
      <c r="C6" s="2">
        <v>-13.581333333333333</v>
      </c>
      <c r="D6" s="2">
        <v>-13.861999999999995</v>
      </c>
      <c r="E6" s="2">
        <f t="shared" si="0"/>
        <v>-12.13833333333333</v>
      </c>
      <c r="F6" s="5">
        <f t="shared" si="1"/>
        <v>2.2421012135610261</v>
      </c>
      <c r="I6" t="s">
        <v>306</v>
      </c>
      <c r="J6" s="5">
        <v>-25.681000000000012</v>
      </c>
      <c r="K6" s="5">
        <v>-12.983222222222215</v>
      </c>
      <c r="L6" s="5">
        <v>-23.054777777777776</v>
      </c>
      <c r="M6" s="5">
        <v>-19.317444444444448</v>
      </c>
      <c r="N6" s="5">
        <v>-25.889555555555546</v>
      </c>
      <c r="O6" s="5">
        <v>-10.600999999999999</v>
      </c>
      <c r="P6" s="5">
        <f t="shared" si="2"/>
        <v>-19.587833333333332</v>
      </c>
      <c r="Q6" s="7">
        <f t="shared" si="3"/>
        <v>5.9625953272051131</v>
      </c>
      <c r="R6" s="7"/>
      <c r="T6" t="s">
        <v>309</v>
      </c>
      <c r="U6" s="6">
        <f>E25/P2</f>
        <v>0.99412338989374405</v>
      </c>
      <c r="X6" t="s">
        <v>306</v>
      </c>
      <c r="Y6" s="5">
        <f>AVERAGE(U26:U31)</f>
        <v>0.46536970903806535</v>
      </c>
      <c r="Z6" s="5">
        <f>_xlfn.STDEV.P(U26:U31)</f>
        <v>0.1416599378457632</v>
      </c>
    </row>
    <row r="7" spans="1:26" x14ac:dyDescent="0.3">
      <c r="A7" s="1" t="s">
        <v>278</v>
      </c>
      <c r="B7" s="2">
        <v>-25.340333333333319</v>
      </c>
      <c r="C7" s="2">
        <v>-26.600333333333367</v>
      </c>
      <c r="D7" s="2">
        <v>-28.721666666666664</v>
      </c>
      <c r="E7" s="2">
        <f t="shared" si="0"/>
        <v>-26.887444444444451</v>
      </c>
      <c r="F7" s="5">
        <f t="shared" si="1"/>
        <v>1.3952725827761823</v>
      </c>
      <c r="T7" t="s">
        <v>308</v>
      </c>
      <c r="U7" s="6">
        <f>E26/P2</f>
        <v>1.4591987624669529</v>
      </c>
    </row>
    <row r="8" spans="1:26" x14ac:dyDescent="0.3">
      <c r="A8" s="1" t="s">
        <v>279</v>
      </c>
      <c r="B8" s="2">
        <v>-13.28933333333336</v>
      </c>
      <c r="C8" s="2">
        <v>-11.750999999999976</v>
      </c>
      <c r="D8" s="2">
        <v>-7.4950000000000045</v>
      </c>
      <c r="E8" s="2">
        <f t="shared" si="0"/>
        <v>-10.845111111111114</v>
      </c>
      <c r="F8" s="5">
        <f t="shared" si="1"/>
        <v>2.4507210780644018</v>
      </c>
      <c r="T8" s="1" t="s">
        <v>277</v>
      </c>
      <c r="U8" s="6">
        <f>E6/P2</f>
        <v>0.28838374083608265</v>
      </c>
    </row>
    <row r="9" spans="1:26" x14ac:dyDescent="0.3">
      <c r="A9" s="1" t="s">
        <v>280</v>
      </c>
      <c r="B9" s="2">
        <v>-7.7186666666666781</v>
      </c>
      <c r="C9" s="2">
        <v>-25.5683333333333</v>
      </c>
      <c r="D9" s="2">
        <v>-20.720666666666688</v>
      </c>
      <c r="E9" s="2">
        <f t="shared" si="0"/>
        <v>-18.002555555555556</v>
      </c>
      <c r="F9" s="5">
        <f t="shared" si="1"/>
        <v>7.536300862582241</v>
      </c>
      <c r="T9" s="1" t="s">
        <v>278</v>
      </c>
      <c r="U9" s="6">
        <f>E7/P2</f>
        <v>0.63879460198362559</v>
      </c>
    </row>
    <row r="10" spans="1:26" x14ac:dyDescent="0.3">
      <c r="A10" t="s">
        <v>281</v>
      </c>
      <c r="B10" s="2">
        <v>-49.47999999999999</v>
      </c>
      <c r="C10" s="2">
        <v>-24.26333333333335</v>
      </c>
      <c r="D10" s="2">
        <v>-44.783999999999992</v>
      </c>
      <c r="E10" s="2">
        <f t="shared" si="0"/>
        <v>-39.50911111111111</v>
      </c>
      <c r="F10" s="5">
        <f t="shared" si="1"/>
        <v>10.949532989646535</v>
      </c>
      <c r="T10" s="1" t="s">
        <v>310</v>
      </c>
      <c r="U10" s="6">
        <f>E27/P2</f>
        <v>0.42950421684282125</v>
      </c>
    </row>
    <row r="11" spans="1:26" x14ac:dyDescent="0.3">
      <c r="A11" t="s">
        <v>282</v>
      </c>
      <c r="B11" s="2">
        <v>-40.509666666666675</v>
      </c>
      <c r="C11" s="2">
        <v>-9.6206666666666649</v>
      </c>
      <c r="D11" s="2">
        <v>-30.641999999999967</v>
      </c>
      <c r="E11" s="2">
        <f t="shared" si="0"/>
        <v>-26.924111111111102</v>
      </c>
      <c r="F11" s="5">
        <f t="shared" si="1"/>
        <v>12.881501040706722</v>
      </c>
      <c r="T11" s="1" t="s">
        <v>311</v>
      </c>
      <c r="U11" s="6">
        <f>E8/P2</f>
        <v>0.2576592375673642</v>
      </c>
    </row>
    <row r="12" spans="1:26" x14ac:dyDescent="0.3">
      <c r="A12" t="s">
        <v>283</v>
      </c>
      <c r="B12" s="2">
        <v>-46.497666666666646</v>
      </c>
      <c r="C12" s="2">
        <v>-46.669666666666672</v>
      </c>
      <c r="D12" s="2">
        <v>-37.709000000000003</v>
      </c>
      <c r="E12" s="2">
        <f t="shared" si="0"/>
        <v>-43.62544444444444</v>
      </c>
      <c r="F12" s="5">
        <f t="shared" si="1"/>
        <v>4.1841472367455461</v>
      </c>
      <c r="T12" s="1" t="s">
        <v>280</v>
      </c>
      <c r="U12" s="6">
        <f>E9/P2</f>
        <v>0.4277065205866139</v>
      </c>
    </row>
    <row r="13" spans="1:26" x14ac:dyDescent="0.3">
      <c r="A13" t="s">
        <v>284</v>
      </c>
      <c r="B13" s="2">
        <v>-56.946999999999974</v>
      </c>
      <c r="C13" s="2">
        <v>-37.297333333333341</v>
      </c>
      <c r="D13" s="2">
        <v>-12.688333333333333</v>
      </c>
      <c r="E13" s="2">
        <f t="shared" si="0"/>
        <v>-35.644222222222218</v>
      </c>
      <c r="F13" s="5">
        <f t="shared" si="1"/>
        <v>18.10629680593718</v>
      </c>
      <c r="T13" s="1" t="s">
        <v>312</v>
      </c>
      <c r="U13" s="6">
        <f>E28/P2</f>
        <v>0.62341255193234768</v>
      </c>
    </row>
    <row r="14" spans="1:26" x14ac:dyDescent="0.3">
      <c r="A14" t="s">
        <v>285</v>
      </c>
      <c r="B14" s="2">
        <v>-25.705333333333357</v>
      </c>
      <c r="C14" s="2">
        <v>-13.593000000000018</v>
      </c>
      <c r="D14" s="2">
        <v>-17.905000000000001</v>
      </c>
      <c r="E14" s="2">
        <f t="shared" si="0"/>
        <v>-19.067777777777792</v>
      </c>
      <c r="F14" s="5">
        <f t="shared" si="1"/>
        <v>5.0127300489064774</v>
      </c>
      <c r="T14" t="s">
        <v>281</v>
      </c>
      <c r="U14" s="6">
        <f>E10/P2</f>
        <v>0.93866142463248636</v>
      </c>
    </row>
    <row r="15" spans="1:26" x14ac:dyDescent="0.3">
      <c r="A15" t="s">
        <v>286</v>
      </c>
      <c r="B15" s="2">
        <v>-20.375</v>
      </c>
      <c r="C15" s="2">
        <v>-55.039000000000016</v>
      </c>
      <c r="D15" s="2"/>
      <c r="E15" s="2">
        <f>AVERAGE(B15:C15)</f>
        <v>-37.707000000000008</v>
      </c>
      <c r="F15" s="5">
        <f>_xlfn.STDEV.P(B15:C15)</f>
        <v>17.332000000000015</v>
      </c>
      <c r="T15" t="s">
        <v>282</v>
      </c>
      <c r="U15" s="6">
        <f>E11/P2</f>
        <v>0.6396657323280428</v>
      </c>
    </row>
    <row r="16" spans="1:26" x14ac:dyDescent="0.3">
      <c r="A16" t="s">
        <v>287</v>
      </c>
      <c r="B16" s="7">
        <v>-23.381333333333316</v>
      </c>
      <c r="C16" s="7">
        <v>-55.089666666666687</v>
      </c>
      <c r="D16" s="7">
        <v>-30.996999999999986</v>
      </c>
      <c r="E16" s="2">
        <f t="shared" si="0"/>
        <v>-36.489333333333327</v>
      </c>
      <c r="F16" s="5">
        <f t="shared" si="1"/>
        <v>13.514902756532109</v>
      </c>
      <c r="T16" t="s">
        <v>313</v>
      </c>
      <c r="U16" s="6">
        <f>E31/P2</f>
        <v>1.2518063855614103</v>
      </c>
    </row>
    <row r="17" spans="1:21" x14ac:dyDescent="0.3">
      <c r="A17" t="s">
        <v>288</v>
      </c>
      <c r="B17" s="7">
        <v>-38.511333333333312</v>
      </c>
      <c r="C17" s="7">
        <v>-49.292333333333374</v>
      </c>
      <c r="D17" s="7">
        <v>-47.453333333333347</v>
      </c>
      <c r="E17" s="2">
        <f t="shared" si="0"/>
        <v>-45.085666666666675</v>
      </c>
      <c r="F17" s="5">
        <f t="shared" si="1"/>
        <v>4.708989582584489</v>
      </c>
      <c r="T17" t="s">
        <v>283</v>
      </c>
      <c r="U17" s="6">
        <f>E12/P2</f>
        <v>1.0364576848435199</v>
      </c>
    </row>
    <row r="18" spans="1:21" x14ac:dyDescent="0.3">
      <c r="A18" t="s">
        <v>289</v>
      </c>
      <c r="B18" s="7">
        <v>-22.336000000000013</v>
      </c>
      <c r="C18" s="7">
        <v>-28.477000000000004</v>
      </c>
      <c r="D18" s="7">
        <v>-26.230000000000018</v>
      </c>
      <c r="E18" s="2">
        <f t="shared" si="0"/>
        <v>-25.681000000000012</v>
      </c>
      <c r="F18" s="5">
        <f t="shared" si="1"/>
        <v>2.5369300345102119</v>
      </c>
      <c r="T18" t="s">
        <v>284</v>
      </c>
      <c r="U18" s="6">
        <f>E13/P2</f>
        <v>0.84683900675301993</v>
      </c>
    </row>
    <row r="19" spans="1:21" x14ac:dyDescent="0.3">
      <c r="A19" t="s">
        <v>290</v>
      </c>
      <c r="B19" s="7">
        <v>-13.307666666666648</v>
      </c>
      <c r="C19" s="7">
        <v>-17.236333333333306</v>
      </c>
      <c r="D19" s="7">
        <v>-8.4056666666666899</v>
      </c>
      <c r="E19" s="2">
        <f t="shared" si="0"/>
        <v>-12.983222222222215</v>
      </c>
      <c r="F19" s="5">
        <f t="shared" si="1"/>
        <v>3.6123968582823585</v>
      </c>
      <c r="T19" t="s">
        <v>314</v>
      </c>
      <c r="U19" s="6">
        <f>E32/P2</f>
        <v>1.5550547778199655</v>
      </c>
    </row>
    <row r="20" spans="1:21" x14ac:dyDescent="0.3">
      <c r="A20" t="s">
        <v>291</v>
      </c>
      <c r="B20" s="7">
        <v>-25.551666666666648</v>
      </c>
      <c r="C20" s="7">
        <v>-25.053333333333342</v>
      </c>
      <c r="D20" s="7">
        <v>-18.559333333333342</v>
      </c>
      <c r="E20" s="2">
        <f t="shared" si="0"/>
        <v>-23.054777777777776</v>
      </c>
      <c r="F20" s="5">
        <f t="shared" si="1"/>
        <v>3.1852628978461106</v>
      </c>
      <c r="T20" t="s">
        <v>285</v>
      </c>
      <c r="U20" s="6">
        <f>E14/P2</f>
        <v>0.4530141769864085</v>
      </c>
    </row>
    <row r="21" spans="1:21" x14ac:dyDescent="0.3">
      <c r="A21" t="s">
        <v>292</v>
      </c>
      <c r="B21" s="7">
        <v>-24.087333333333333</v>
      </c>
      <c r="C21" s="7">
        <v>-17.323333333333352</v>
      </c>
      <c r="D21" s="7">
        <v>-16.541666666666657</v>
      </c>
      <c r="E21" s="2">
        <f t="shared" si="0"/>
        <v>-19.317444444444448</v>
      </c>
      <c r="F21" s="5">
        <f t="shared" si="1"/>
        <v>3.3878833808838702</v>
      </c>
      <c r="T21" t="s">
        <v>286</v>
      </c>
      <c r="U21" s="6">
        <f>E15/P2</f>
        <v>0.89584668809881984</v>
      </c>
    </row>
    <row r="22" spans="1:21" x14ac:dyDescent="0.3">
      <c r="B22" s="7"/>
      <c r="C22" s="7"/>
      <c r="D22" s="7"/>
      <c r="E22" s="2"/>
      <c r="F22" s="5"/>
      <c r="T22" t="s">
        <v>315</v>
      </c>
      <c r="U22" s="6">
        <f>E29/P2</f>
        <v>1.5618918311291827</v>
      </c>
    </row>
    <row r="23" spans="1:21" x14ac:dyDescent="0.3">
      <c r="E23" s="13" t="s">
        <v>271</v>
      </c>
      <c r="T23" t="s">
        <v>287</v>
      </c>
      <c r="U23" s="6">
        <f>E16/P2</f>
        <v>0.86691724129738568</v>
      </c>
    </row>
    <row r="24" spans="1:21" ht="15.6" customHeight="1" x14ac:dyDescent="0.3">
      <c r="A24" s="8" t="s">
        <v>270</v>
      </c>
      <c r="B24" s="8">
        <v>1</v>
      </c>
      <c r="C24" s="8">
        <v>2</v>
      </c>
      <c r="D24" s="8">
        <v>3</v>
      </c>
      <c r="E24" s="13"/>
      <c r="F24" s="8" t="s">
        <v>272</v>
      </c>
      <c r="T24" t="s">
        <v>288</v>
      </c>
      <c r="U24" s="6">
        <f>E17/P2</f>
        <v>1.0711497908627228</v>
      </c>
    </row>
    <row r="25" spans="1:21" x14ac:dyDescent="0.3">
      <c r="A25" t="s">
        <v>309</v>
      </c>
      <c r="B25" s="5">
        <v>-33.887666666666661</v>
      </c>
      <c r="C25" s="5">
        <v>-45.709333333333348</v>
      </c>
      <c r="D25" s="5">
        <v>-45.933666666666653</v>
      </c>
      <c r="E25" s="5">
        <f>AVERAGE(B25:D25)</f>
        <v>-41.843555555555554</v>
      </c>
      <c r="F25" s="5">
        <f>_xlfn.STDEV.P(B25:D25)</f>
        <v>5.6264084085895458</v>
      </c>
      <c r="T25" t="s">
        <v>318</v>
      </c>
      <c r="U25" s="6">
        <f>E30/P2</f>
        <v>1.2337027131310578</v>
      </c>
    </row>
    <row r="26" spans="1:21" x14ac:dyDescent="0.3">
      <c r="A26" t="s">
        <v>308</v>
      </c>
      <c r="B26" s="5">
        <v>-63.285666666666685</v>
      </c>
      <c r="C26" s="5">
        <v>-65.473333333333329</v>
      </c>
      <c r="D26" s="5">
        <v>-55.497999999999962</v>
      </c>
      <c r="E26" s="5">
        <f t="shared" ref="E26:E34" si="4">AVERAGE(B26:D26)</f>
        <v>-61.41899999999999</v>
      </c>
      <c r="F26" s="5">
        <f t="shared" ref="F26:F34" si="5">_xlfn.STDEV.P(B26:D26)</f>
        <v>4.2809774671299348</v>
      </c>
      <c r="T26" t="s">
        <v>289</v>
      </c>
      <c r="U26" s="6">
        <f>E18/P2</f>
        <v>0.61013177386336215</v>
      </c>
    </row>
    <row r="27" spans="1:21" x14ac:dyDescent="0.3">
      <c r="A27" t="s">
        <v>294</v>
      </c>
      <c r="B27" s="5">
        <v>-7.2156666666666638</v>
      </c>
      <c r="C27" s="5">
        <v>-20.722333333333353</v>
      </c>
      <c r="D27" s="5">
        <v>-26.296666666666653</v>
      </c>
      <c r="E27" s="5">
        <f t="shared" si="4"/>
        <v>-18.078222222222223</v>
      </c>
      <c r="F27" s="5">
        <f t="shared" si="5"/>
        <v>8.0110187835641238</v>
      </c>
      <c r="T27" t="s">
        <v>290</v>
      </c>
      <c r="U27" s="6">
        <f>E19/P2</f>
        <v>0.30845669580260349</v>
      </c>
    </row>
    <row r="28" spans="1:21" x14ac:dyDescent="0.3">
      <c r="A28" t="s">
        <v>295</v>
      </c>
      <c r="B28" s="5">
        <v>-21.152000000000015</v>
      </c>
      <c r="C28" s="5">
        <v>-24.791333333333341</v>
      </c>
      <c r="D28" s="5">
        <v>-32.776666666666671</v>
      </c>
      <c r="E28" s="5">
        <f t="shared" si="4"/>
        <v>-26.240000000000009</v>
      </c>
      <c r="F28" s="5">
        <f t="shared" si="5"/>
        <v>4.8550451498834963</v>
      </c>
      <c r="T28" t="s">
        <v>316</v>
      </c>
      <c r="U28" s="6">
        <f>E33/P2</f>
        <v>0.61508665767085247</v>
      </c>
    </row>
    <row r="29" spans="1:21" x14ac:dyDescent="0.3">
      <c r="A29" t="s">
        <v>296</v>
      </c>
      <c r="B29" s="5">
        <v>-71.371000000000038</v>
      </c>
      <c r="C29" s="5">
        <v>-62.290666666666652</v>
      </c>
      <c r="D29" s="5">
        <v>-63.562666666666644</v>
      </c>
      <c r="E29" s="5">
        <f t="shared" si="4"/>
        <v>-65.74144444444444</v>
      </c>
      <c r="F29" s="5">
        <f t="shared" si="5"/>
        <v>4.0144254727847946</v>
      </c>
      <c r="T29" t="s">
        <v>291</v>
      </c>
      <c r="U29" s="6">
        <f>E20/P2</f>
        <v>0.54773772289167755</v>
      </c>
    </row>
    <row r="30" spans="1:21" x14ac:dyDescent="0.3">
      <c r="A30" t="s">
        <v>297</v>
      </c>
      <c r="B30" s="5">
        <v>-17.483333333333348</v>
      </c>
      <c r="C30" s="5">
        <v>-68.941333333333318</v>
      </c>
      <c r="D30" s="5">
        <v>-69.35833333333332</v>
      </c>
      <c r="E30" s="5">
        <f t="shared" si="4"/>
        <v>-51.92766666666666</v>
      </c>
      <c r="F30" s="5">
        <f t="shared" si="5"/>
        <v>24.356416626607622</v>
      </c>
      <c r="T30" t="s">
        <v>292</v>
      </c>
      <c r="U30" s="6">
        <f>E21/P2</f>
        <v>0.45894578269521574</v>
      </c>
    </row>
    <row r="31" spans="1:21" x14ac:dyDescent="0.3">
      <c r="A31" t="s">
        <v>298</v>
      </c>
      <c r="B31" s="5">
        <v>-24.735666666666674</v>
      </c>
      <c r="C31" s="5">
        <v>-70.385999999999967</v>
      </c>
      <c r="D31" s="5">
        <v>-62.947333333333347</v>
      </c>
      <c r="E31" s="5">
        <f t="shared" si="4"/>
        <v>-52.68966666666666</v>
      </c>
      <c r="F31" s="5">
        <f t="shared" si="5"/>
        <v>19.998383725432152</v>
      </c>
      <c r="T31" t="s">
        <v>317</v>
      </c>
      <c r="U31" s="6">
        <f>E34/P2</f>
        <v>0.25185962130468048</v>
      </c>
    </row>
    <row r="32" spans="1:21" x14ac:dyDescent="0.3">
      <c r="A32" t="s">
        <v>299</v>
      </c>
      <c r="B32" s="5">
        <v>-75.65366666666668</v>
      </c>
      <c r="C32" s="5">
        <v>-64.449999999999989</v>
      </c>
      <c r="D32" s="5">
        <v>-56.257333333333321</v>
      </c>
      <c r="E32" s="5">
        <f t="shared" si="4"/>
        <v>-65.453666666666663</v>
      </c>
      <c r="F32" s="5">
        <f t="shared" si="5"/>
        <v>7.9502598187219871</v>
      </c>
    </row>
    <row r="33" spans="1:25" x14ac:dyDescent="0.3">
      <c r="A33" t="s">
        <v>300</v>
      </c>
      <c r="B33" s="5">
        <v>-26.900666666666666</v>
      </c>
      <c r="C33" s="5">
        <v>-32.204999999999984</v>
      </c>
      <c r="D33" s="5">
        <v>-18.562999999999988</v>
      </c>
      <c r="E33" s="5">
        <f t="shared" si="4"/>
        <v>-25.889555555555546</v>
      </c>
      <c r="F33" s="5">
        <f t="shared" si="5"/>
        <v>5.6150274715421302</v>
      </c>
    </row>
    <row r="34" spans="1:25" x14ac:dyDescent="0.3">
      <c r="A34" t="s">
        <v>301</v>
      </c>
      <c r="B34" s="5">
        <v>-23.961666666666673</v>
      </c>
      <c r="C34" s="5">
        <v>-6.0120000000000005</v>
      </c>
      <c r="D34" s="5">
        <v>-1.8293333333333237</v>
      </c>
      <c r="E34" s="5">
        <f t="shared" si="4"/>
        <v>-10.600999999999999</v>
      </c>
      <c r="F34" s="5">
        <f t="shared" si="5"/>
        <v>9.60049427354115</v>
      </c>
    </row>
    <row r="35" spans="1:25" x14ac:dyDescent="0.3">
      <c r="Y35" s="12" t="s">
        <v>320</v>
      </c>
    </row>
  </sheetData>
  <mergeCells count="1">
    <mergeCell ref="E23:E24"/>
  </mergeCells>
  <hyperlinks>
    <hyperlink ref="Y35" r:id="rId1" display="https://www.icalcu.com/stat/two-sample-t-test-calculator.html" xr:uid="{B7B2E61A-6535-49F5-A529-1D0262FD7F0A}"/>
  </hyperlinks>
  <pageMargins left="0.7" right="0.7" top="0.75" bottom="0.75" header="0.3" footer="0.3"/>
  <ignoredErrors>
    <ignoredError sqref="E15:F15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FF69A-B6B0-44B1-B6C6-C9AE04C10822}">
  <dimension ref="A1:S55"/>
  <sheetViews>
    <sheetView tabSelected="1" topLeftCell="C1" workbookViewId="0">
      <selection activeCell="R16" sqref="R16"/>
    </sheetView>
  </sheetViews>
  <sheetFormatPr defaultRowHeight="14.4" x14ac:dyDescent="0.3"/>
  <cols>
    <col min="1" max="1" width="14.77734375" bestFit="1" customWidth="1"/>
    <col min="2" max="2" width="14.77734375" customWidth="1"/>
  </cols>
  <sheetData>
    <row r="1" spans="1:19" ht="28.8" x14ac:dyDescent="0.3">
      <c r="A1" s="10" t="s">
        <v>324</v>
      </c>
      <c r="B1" s="10" t="s">
        <v>325</v>
      </c>
      <c r="C1" s="9" t="s">
        <v>322</v>
      </c>
      <c r="D1" t="s">
        <v>323</v>
      </c>
    </row>
    <row r="2" spans="1:19" x14ac:dyDescent="0.3">
      <c r="A2" t="s">
        <v>302</v>
      </c>
      <c r="B2" t="s">
        <v>326</v>
      </c>
      <c r="C2" s="6">
        <v>0.84913562311557567</v>
      </c>
      <c r="D2" s="5">
        <v>-35.74088888888889</v>
      </c>
      <c r="F2" t="s">
        <v>335</v>
      </c>
    </row>
    <row r="3" spans="1:19" x14ac:dyDescent="0.3">
      <c r="A3" t="s">
        <v>302</v>
      </c>
      <c r="B3" t="s">
        <v>326</v>
      </c>
      <c r="C3" s="6">
        <v>0.973899966958642</v>
      </c>
      <c r="D3" s="5">
        <v>-40.992333333333335</v>
      </c>
      <c r="S3" t="s">
        <v>334</v>
      </c>
    </row>
    <row r="4" spans="1:19" x14ac:dyDescent="0.3">
      <c r="A4" t="s">
        <v>302</v>
      </c>
      <c r="B4" t="s">
        <v>326</v>
      </c>
      <c r="C4" s="6">
        <v>0.75391579689288057</v>
      </c>
      <c r="D4" s="5">
        <v>-31.733000000000004</v>
      </c>
    </row>
    <row r="5" spans="1:19" x14ac:dyDescent="0.3">
      <c r="A5" t="s">
        <v>302</v>
      </c>
      <c r="B5" t="s">
        <v>326</v>
      </c>
      <c r="C5" s="6">
        <v>0.96972646067220503</v>
      </c>
      <c r="D5" s="5">
        <v>-40.816666666666684</v>
      </c>
    </row>
    <row r="6" spans="1:19" x14ac:dyDescent="0.3">
      <c r="A6" t="s">
        <v>302</v>
      </c>
      <c r="B6" t="s">
        <v>326</v>
      </c>
      <c r="C6" s="6">
        <v>0.99412338989374405</v>
      </c>
      <c r="D6" s="5">
        <v>-41.843555555555554</v>
      </c>
    </row>
    <row r="7" spans="1:19" x14ac:dyDescent="0.3">
      <c r="A7" t="s">
        <v>302</v>
      </c>
      <c r="B7" t="s">
        <v>326</v>
      </c>
      <c r="C7" s="6">
        <v>1.4591987624669529</v>
      </c>
      <c r="D7" s="5">
        <v>-61.41899999999999</v>
      </c>
    </row>
    <row r="8" spans="1:19" x14ac:dyDescent="0.3">
      <c r="A8" s="1" t="s">
        <v>321</v>
      </c>
      <c r="B8" s="1" t="s">
        <v>327</v>
      </c>
      <c r="C8" s="6">
        <v>0.28838374083608265</v>
      </c>
      <c r="D8" s="5">
        <v>-12.13833333333333</v>
      </c>
    </row>
    <row r="9" spans="1:19" x14ac:dyDescent="0.3">
      <c r="A9" s="1" t="s">
        <v>321</v>
      </c>
      <c r="B9" s="1" t="s">
        <v>327</v>
      </c>
      <c r="C9" s="6">
        <v>0.63879460198362559</v>
      </c>
      <c r="D9" s="5">
        <v>-26.887444444444451</v>
      </c>
    </row>
    <row r="10" spans="1:19" x14ac:dyDescent="0.3">
      <c r="A10" s="1" t="s">
        <v>321</v>
      </c>
      <c r="B10" s="1" t="s">
        <v>327</v>
      </c>
      <c r="C10" s="6">
        <v>0.42950421684282125</v>
      </c>
      <c r="D10" s="5">
        <v>-10.845111111111114</v>
      </c>
    </row>
    <row r="11" spans="1:19" x14ac:dyDescent="0.3">
      <c r="A11" s="1" t="s">
        <v>321</v>
      </c>
      <c r="B11" s="1" t="s">
        <v>327</v>
      </c>
      <c r="C11" s="6">
        <v>0.2576592375673642</v>
      </c>
      <c r="D11" s="5">
        <v>-18.002555555555556</v>
      </c>
    </row>
    <row r="12" spans="1:19" x14ac:dyDescent="0.3">
      <c r="A12" s="1" t="s">
        <v>321</v>
      </c>
      <c r="B12" s="1" t="s">
        <v>327</v>
      </c>
      <c r="C12" s="6">
        <v>0.4277065205866139</v>
      </c>
      <c r="D12" s="5">
        <v>-18.078222222222223</v>
      </c>
    </row>
    <row r="13" spans="1:19" x14ac:dyDescent="0.3">
      <c r="A13" s="1" t="s">
        <v>321</v>
      </c>
      <c r="B13" s="1" t="s">
        <v>327</v>
      </c>
      <c r="C13" s="6">
        <v>0.62341255193234768</v>
      </c>
      <c r="D13" s="5">
        <v>-26.240000000000009</v>
      </c>
    </row>
    <row r="14" spans="1:19" x14ac:dyDescent="0.3">
      <c r="A14" t="s">
        <v>305</v>
      </c>
      <c r="B14" s="1" t="s">
        <v>328</v>
      </c>
      <c r="C14" s="6">
        <v>0.93866142463248636</v>
      </c>
      <c r="D14" s="5">
        <v>-19.067777777777792</v>
      </c>
    </row>
    <row r="15" spans="1:19" x14ac:dyDescent="0.3">
      <c r="A15" t="s">
        <v>305</v>
      </c>
      <c r="B15" s="1" t="s">
        <v>328</v>
      </c>
      <c r="C15" s="6">
        <v>0.6396657323280428</v>
      </c>
      <c r="D15" s="5">
        <v>-37.707000000000008</v>
      </c>
    </row>
    <row r="16" spans="1:19" x14ac:dyDescent="0.3">
      <c r="A16" t="s">
        <v>305</v>
      </c>
      <c r="B16" s="1" t="s">
        <v>328</v>
      </c>
      <c r="C16" s="6">
        <v>1.2518063855614103</v>
      </c>
      <c r="D16" s="5">
        <v>-36.489333333333327</v>
      </c>
    </row>
    <row r="17" spans="1:9" x14ac:dyDescent="0.3">
      <c r="A17" t="s">
        <v>305</v>
      </c>
      <c r="B17" s="1" t="s">
        <v>328</v>
      </c>
      <c r="C17" s="6">
        <v>1.0364576848435199</v>
      </c>
      <c r="D17" s="5">
        <v>-45.085666666666675</v>
      </c>
    </row>
    <row r="18" spans="1:9" x14ac:dyDescent="0.3">
      <c r="A18" t="s">
        <v>305</v>
      </c>
      <c r="B18" s="1" t="s">
        <v>328</v>
      </c>
      <c r="C18" s="6">
        <v>0.84683900675301993</v>
      </c>
      <c r="D18" s="5">
        <v>-65.74144444444444</v>
      </c>
    </row>
    <row r="19" spans="1:9" x14ac:dyDescent="0.3">
      <c r="A19" t="s">
        <v>305</v>
      </c>
      <c r="B19" s="1" t="s">
        <v>328</v>
      </c>
      <c r="C19" s="6">
        <v>1.5550547778199655</v>
      </c>
      <c r="D19" s="5">
        <v>-51.92766666666666</v>
      </c>
    </row>
    <row r="20" spans="1:9" x14ac:dyDescent="0.3">
      <c r="A20" t="s">
        <v>304</v>
      </c>
      <c r="B20" s="1" t="s">
        <v>329</v>
      </c>
      <c r="C20" s="6">
        <v>0.4530141769864085</v>
      </c>
      <c r="D20" s="5">
        <v>-39.50911111111111</v>
      </c>
    </row>
    <row r="21" spans="1:9" x14ac:dyDescent="0.3">
      <c r="A21" t="s">
        <v>304</v>
      </c>
      <c r="B21" s="1" t="s">
        <v>329</v>
      </c>
      <c r="C21" s="6">
        <v>0.89584668809881984</v>
      </c>
      <c r="D21" s="5">
        <v>-26.924111111111102</v>
      </c>
    </row>
    <row r="22" spans="1:9" x14ac:dyDescent="0.3">
      <c r="A22" t="s">
        <v>304</v>
      </c>
      <c r="B22" s="1" t="s">
        <v>329</v>
      </c>
      <c r="C22" s="6">
        <v>1.5618918311291827</v>
      </c>
      <c r="D22" s="5">
        <v>-43.62544444444444</v>
      </c>
    </row>
    <row r="23" spans="1:9" x14ac:dyDescent="0.3">
      <c r="A23" t="s">
        <v>304</v>
      </c>
      <c r="B23" s="1" t="s">
        <v>329</v>
      </c>
      <c r="C23" s="6">
        <v>0.86691724129738568</v>
      </c>
      <c r="D23" s="5">
        <v>-35.644222222222218</v>
      </c>
      <c r="I23" t="s">
        <v>331</v>
      </c>
    </row>
    <row r="24" spans="1:9" x14ac:dyDescent="0.3">
      <c r="A24" t="s">
        <v>304</v>
      </c>
      <c r="B24" s="1" t="s">
        <v>329</v>
      </c>
      <c r="C24" s="6">
        <v>1.0711497908627228</v>
      </c>
      <c r="D24" s="5">
        <v>-52.68966666666666</v>
      </c>
    </row>
    <row r="25" spans="1:9" x14ac:dyDescent="0.3">
      <c r="A25" t="s">
        <v>304</v>
      </c>
      <c r="B25" s="1" t="s">
        <v>329</v>
      </c>
      <c r="C25" s="6">
        <v>1.2337027131310578</v>
      </c>
      <c r="D25" s="5">
        <v>-65.453666666666663</v>
      </c>
    </row>
    <row r="26" spans="1:9" x14ac:dyDescent="0.3">
      <c r="A26" t="s">
        <v>306</v>
      </c>
      <c r="B26" s="1" t="s">
        <v>330</v>
      </c>
      <c r="C26" s="6">
        <v>0.61013177386336215</v>
      </c>
      <c r="D26" s="5">
        <v>-25.681000000000012</v>
      </c>
      <c r="G26" t="s">
        <v>332</v>
      </c>
    </row>
    <row r="27" spans="1:9" x14ac:dyDescent="0.3">
      <c r="A27" t="s">
        <v>306</v>
      </c>
      <c r="B27" s="1" t="s">
        <v>330</v>
      </c>
      <c r="C27" s="6">
        <v>0.30845669580260349</v>
      </c>
      <c r="D27" s="5">
        <v>-12.983222222222215</v>
      </c>
    </row>
    <row r="28" spans="1:9" x14ac:dyDescent="0.3">
      <c r="A28" t="s">
        <v>306</v>
      </c>
      <c r="B28" s="1" t="s">
        <v>330</v>
      </c>
      <c r="C28" s="6">
        <v>0.61508665767085247</v>
      </c>
      <c r="D28" s="5">
        <v>-23.054777777777776</v>
      </c>
    </row>
    <row r="29" spans="1:9" x14ac:dyDescent="0.3">
      <c r="A29" t="s">
        <v>306</v>
      </c>
      <c r="B29" s="1" t="s">
        <v>330</v>
      </c>
      <c r="C29" s="6">
        <v>0.54773772289167755</v>
      </c>
      <c r="D29" s="5">
        <v>-19.317444444444448</v>
      </c>
    </row>
    <row r="30" spans="1:9" x14ac:dyDescent="0.3">
      <c r="A30" t="s">
        <v>306</v>
      </c>
      <c r="B30" s="1" t="s">
        <v>330</v>
      </c>
      <c r="C30" s="6">
        <v>0.45894578269521574</v>
      </c>
      <c r="D30" s="5">
        <v>-25.889555555555546</v>
      </c>
    </row>
    <row r="31" spans="1:9" x14ac:dyDescent="0.3">
      <c r="A31" t="s">
        <v>306</v>
      </c>
      <c r="B31" s="1" t="s">
        <v>330</v>
      </c>
      <c r="C31" s="6">
        <v>0.25185962130468048</v>
      </c>
      <c r="D31" s="5">
        <v>-10.600999999999999</v>
      </c>
    </row>
    <row r="55" spans="7:7" x14ac:dyDescent="0.3">
      <c r="G55" t="s">
        <v>333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 Inner Circle</vt:lpstr>
      <vt:lpstr>Results Three Circles</vt:lpstr>
      <vt:lpstr>Normalization - Both Exp.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Chavez Rodriguez, Luciana</cp:lastModifiedBy>
  <dcterms:created xsi:type="dcterms:W3CDTF">2025-02-15T20:19:37Z</dcterms:created>
  <dcterms:modified xsi:type="dcterms:W3CDTF">2025-02-16T21:20:40Z</dcterms:modified>
</cp:coreProperties>
</file>