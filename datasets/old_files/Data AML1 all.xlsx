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51779FDF-DB62-47BE-8285-5256A08400A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belle 1" sheetId="1" r:id="rId1"/>
    <sheet name="Summary" sheetId="2" r:id="rId2"/>
    <sheet name="Degree of Symptoms" sheetId="4" r:id="rId3"/>
    <sheet name="Tabelle1 (2)" sheetId="7" r:id="rId4"/>
    <sheet name="Diagramm4" sheetId="6" r:id="rId5"/>
    <sheet name="PARA ESTADÍSTICA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8" l="1"/>
  <c r="U4" i="8"/>
  <c r="U5" i="8"/>
  <c r="U2" i="8"/>
  <c r="T3" i="8"/>
  <c r="T4" i="8"/>
  <c r="T5" i="8"/>
  <c r="T2" i="8"/>
  <c r="S3" i="8"/>
  <c r="S4" i="8"/>
  <c r="S5" i="8"/>
  <c r="S2" i="8"/>
  <c r="R3" i="8"/>
  <c r="R4" i="8"/>
  <c r="R5" i="8"/>
  <c r="R2" i="8"/>
  <c r="Q3" i="8"/>
  <c r="Q4" i="8"/>
  <c r="Q5" i="8"/>
  <c r="Q2" i="8"/>
  <c r="P3" i="7" l="1"/>
  <c r="P2" i="7"/>
  <c r="O4" i="7"/>
  <c r="O3" i="7"/>
  <c r="O2" i="7"/>
  <c r="N5" i="7"/>
  <c r="N4" i="7"/>
  <c r="N3" i="7"/>
  <c r="M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E6" i="7" l="1"/>
  <c r="E8" i="7"/>
  <c r="E5" i="7"/>
  <c r="E7" i="7"/>
  <c r="E3" i="7"/>
  <c r="E4" i="7"/>
  <c r="E16" i="7"/>
  <c r="E12" i="7"/>
  <c r="E13" i="7"/>
  <c r="E11" i="7"/>
  <c r="E15" i="7"/>
  <c r="E14" i="7"/>
  <c r="E10" i="7"/>
  <c r="E9" i="7"/>
  <c r="C270" i="1" l="1"/>
  <c r="M8" i="2" s="1"/>
  <c r="A232" i="7"/>
  <c r="A211" i="7"/>
  <c r="A190" i="7"/>
  <c r="A169" i="7"/>
  <c r="A148" i="7"/>
  <c r="A127" i="7"/>
  <c r="A106" i="7"/>
  <c r="A85" i="7"/>
  <c r="A64" i="7"/>
  <c r="A43" i="7"/>
  <c r="A22" i="7"/>
  <c r="A1" i="7"/>
  <c r="C39" i="1"/>
  <c r="G22" i="4" s="1"/>
  <c r="D39" i="1"/>
  <c r="G30" i="4" s="1"/>
  <c r="E39" i="1"/>
  <c r="B12" i="2" s="1"/>
  <c r="C40" i="1"/>
  <c r="B9" i="2" s="1"/>
  <c r="D40" i="1"/>
  <c r="B11" i="2" s="1"/>
  <c r="E40" i="1"/>
  <c r="B13" i="2" s="1"/>
  <c r="B40" i="1"/>
  <c r="B7" i="2" s="1"/>
  <c r="B39" i="1"/>
  <c r="B6" i="2" s="1"/>
  <c r="F249" i="7"/>
  <c r="F228" i="7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J26" i="4"/>
  <c r="K19" i="4"/>
  <c r="K20" i="4"/>
  <c r="K21" i="4"/>
  <c r="K22" i="4"/>
  <c r="K18" i="4"/>
  <c r="J18" i="4"/>
  <c r="F26" i="4"/>
  <c r="F9" i="4"/>
  <c r="F18" i="4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B60" i="1"/>
  <c r="C6" i="2" s="1"/>
  <c r="C60" i="1"/>
  <c r="C8" i="2" s="1"/>
  <c r="D60" i="1"/>
  <c r="C10" i="2" s="1"/>
  <c r="E60" i="1"/>
  <c r="C12" i="2" s="1"/>
  <c r="B61" i="1"/>
  <c r="C7" i="2" s="1"/>
  <c r="C61" i="1"/>
  <c r="C9" i="2" s="1"/>
  <c r="D61" i="1"/>
  <c r="C11" i="2" s="1"/>
  <c r="E61" i="1"/>
  <c r="C13" i="2" s="1"/>
  <c r="B81" i="1"/>
  <c r="D6" i="2" s="1"/>
  <c r="C81" i="1"/>
  <c r="D8" i="2" s="1"/>
  <c r="D81" i="1"/>
  <c r="D10" i="2" s="1"/>
  <c r="E81" i="1"/>
  <c r="D12" i="2" s="1"/>
  <c r="B82" i="1"/>
  <c r="D7" i="2" s="1"/>
  <c r="C82" i="1"/>
  <c r="D9" i="2" s="1"/>
  <c r="D82" i="1"/>
  <c r="D11" i="2" s="1"/>
  <c r="E82" i="1"/>
  <c r="D13" i="2" s="1"/>
  <c r="B102" i="1"/>
  <c r="E6" i="2" s="1"/>
  <c r="C102" i="1"/>
  <c r="E8" i="2" s="1"/>
  <c r="D102" i="1"/>
  <c r="E10" i="2" s="1"/>
  <c r="E102" i="1"/>
  <c r="E12" i="2" s="1"/>
  <c r="B103" i="1"/>
  <c r="E7" i="2" s="1"/>
  <c r="C103" i="1"/>
  <c r="E9" i="2" s="1"/>
  <c r="D103" i="1"/>
  <c r="E11" i="2" s="1"/>
  <c r="E103" i="1"/>
  <c r="E13" i="2" s="1"/>
  <c r="B123" i="1"/>
  <c r="F6" i="2" s="1"/>
  <c r="C123" i="1"/>
  <c r="F8" i="2" s="1"/>
  <c r="D123" i="1"/>
  <c r="F10" i="2" s="1"/>
  <c r="E123" i="1"/>
  <c r="F12" i="2" s="1"/>
  <c r="B124" i="1"/>
  <c r="F7" i="2" s="1"/>
  <c r="C124" i="1"/>
  <c r="F9" i="2" s="1"/>
  <c r="D124" i="1"/>
  <c r="F11" i="2" s="1"/>
  <c r="E124" i="1"/>
  <c r="F13" i="2" s="1"/>
  <c r="B144" i="1"/>
  <c r="G6" i="2" s="1"/>
  <c r="C144" i="1"/>
  <c r="G8" i="2" s="1"/>
  <c r="D144" i="1"/>
  <c r="G10" i="2" s="1"/>
  <c r="E144" i="1"/>
  <c r="G12" i="2" s="1"/>
  <c r="B145" i="1"/>
  <c r="G7" i="2" s="1"/>
  <c r="C145" i="1"/>
  <c r="G9" i="2" s="1"/>
  <c r="D145" i="1"/>
  <c r="G11" i="2" s="1"/>
  <c r="E145" i="1"/>
  <c r="G13" i="2" s="1"/>
  <c r="B165" i="1"/>
  <c r="H6" i="2" s="1"/>
  <c r="C165" i="1"/>
  <c r="H8" i="2" s="1"/>
  <c r="D165" i="1"/>
  <c r="H10" i="2" s="1"/>
  <c r="E165" i="1"/>
  <c r="H12" i="2" s="1"/>
  <c r="B166" i="1"/>
  <c r="H7" i="2" s="1"/>
  <c r="C166" i="1"/>
  <c r="H9" i="2" s="1"/>
  <c r="D166" i="1"/>
  <c r="H11" i="2" s="1"/>
  <c r="E166" i="1"/>
  <c r="H13" i="2" s="1"/>
  <c r="B186" i="1"/>
  <c r="I6" i="2" s="1"/>
  <c r="C186" i="1"/>
  <c r="I8" i="2" s="1"/>
  <c r="D186" i="1"/>
  <c r="I10" i="2" s="1"/>
  <c r="E186" i="1"/>
  <c r="I12" i="2" s="1"/>
  <c r="B187" i="1"/>
  <c r="I7" i="2" s="1"/>
  <c r="C187" i="1"/>
  <c r="I9" i="2" s="1"/>
  <c r="D187" i="1"/>
  <c r="I11" i="2" s="1"/>
  <c r="E187" i="1"/>
  <c r="I13" i="2" s="1"/>
  <c r="B207" i="1"/>
  <c r="J6" i="2" s="1"/>
  <c r="C207" i="1"/>
  <c r="J8" i="2" s="1"/>
  <c r="D207" i="1"/>
  <c r="J10" i="2" s="1"/>
  <c r="E207" i="1"/>
  <c r="J12" i="2" s="1"/>
  <c r="B208" i="1"/>
  <c r="J7" i="2" s="1"/>
  <c r="C208" i="1"/>
  <c r="J9" i="2" s="1"/>
  <c r="D208" i="1"/>
  <c r="J11" i="2" s="1"/>
  <c r="E208" i="1"/>
  <c r="J13" i="2" s="1"/>
  <c r="B228" i="1"/>
  <c r="K6" i="2" s="1"/>
  <c r="C228" i="1"/>
  <c r="K8" i="2" s="1"/>
  <c r="D228" i="1"/>
  <c r="K10" i="2" s="1"/>
  <c r="E228" i="1"/>
  <c r="K12" i="2" s="1"/>
  <c r="B229" i="1"/>
  <c r="K7" i="2" s="1"/>
  <c r="C229" i="1"/>
  <c r="K9" i="2" s="1"/>
  <c r="D229" i="1"/>
  <c r="K11" i="2" s="1"/>
  <c r="E229" i="1"/>
  <c r="K13" i="2" s="1"/>
  <c r="B249" i="1"/>
  <c r="L6" i="2" s="1"/>
  <c r="C249" i="1"/>
  <c r="L8" i="2" s="1"/>
  <c r="D249" i="1"/>
  <c r="L10" i="2" s="1"/>
  <c r="E249" i="1"/>
  <c r="L12" i="2" s="1"/>
  <c r="B250" i="1"/>
  <c r="L7" i="2" s="1"/>
  <c r="C250" i="1"/>
  <c r="L9" i="2" s="1"/>
  <c r="D250" i="1"/>
  <c r="L11" i="2" s="1"/>
  <c r="E250" i="1"/>
  <c r="L13" i="2" s="1"/>
  <c r="B270" i="1"/>
  <c r="M6" i="2" s="1"/>
  <c r="D270" i="1"/>
  <c r="M10" i="2" s="1"/>
  <c r="E270" i="1"/>
  <c r="M12" i="2" s="1"/>
  <c r="B271" i="1"/>
  <c r="M7" i="2" s="1"/>
  <c r="C271" i="1"/>
  <c r="M9" i="2" s="1"/>
  <c r="D271" i="1"/>
  <c r="M11" i="2" s="1"/>
  <c r="E271" i="1"/>
  <c r="M13" i="2" s="1"/>
  <c r="I11" i="1" l="1"/>
  <c r="G21" i="4"/>
  <c r="G19" i="4"/>
  <c r="B8" i="2"/>
  <c r="I12" i="1"/>
  <c r="K12" i="1"/>
  <c r="B10" i="2"/>
  <c r="J11" i="1"/>
  <c r="F20" i="4"/>
  <c r="J20" i="4" s="1"/>
  <c r="F29" i="4"/>
  <c r="J29" i="4" s="1"/>
  <c r="G27" i="4"/>
  <c r="F28" i="4"/>
  <c r="J28" i="4" s="1"/>
  <c r="F22" i="4"/>
  <c r="J22" i="4" s="1"/>
  <c r="K11" i="1"/>
  <c r="J12" i="1"/>
  <c r="F21" i="4"/>
  <c r="J21" i="4" s="1"/>
  <c r="G20" i="4"/>
  <c r="F19" i="4"/>
  <c r="J19" i="4" s="1"/>
  <c r="C66" i="7" s="1"/>
  <c r="H12" i="1"/>
  <c r="H11" i="1"/>
  <c r="G29" i="4"/>
  <c r="G28" i="4"/>
  <c r="G13" i="4"/>
  <c r="F27" i="4"/>
  <c r="J27" i="4" s="1"/>
  <c r="F30" i="4"/>
  <c r="J30" i="4" s="1"/>
  <c r="C120" i="7" l="1"/>
  <c r="C77" i="7"/>
  <c r="C192" i="7"/>
  <c r="C196" i="7"/>
  <c r="C212" i="7"/>
  <c r="C205" i="7"/>
  <c r="C218" i="7"/>
  <c r="C37" i="7"/>
  <c r="C178" i="7"/>
  <c r="C149" i="7"/>
  <c r="C180" i="7"/>
  <c r="C48" i="7"/>
  <c r="C203" i="7"/>
  <c r="C236" i="7"/>
  <c r="C26" i="7"/>
  <c r="C220" i="7"/>
  <c r="C158" i="7"/>
  <c r="C235" i="7"/>
  <c r="C234" i="7"/>
  <c r="C219" i="7"/>
  <c r="C216" i="7"/>
  <c r="C86" i="7"/>
  <c r="C23" i="7"/>
  <c r="C137" i="7"/>
  <c r="C90" i="7"/>
  <c r="C217" i="7"/>
  <c r="C233" i="7"/>
  <c r="C33" i="7"/>
  <c r="C29" i="7"/>
  <c r="C112" i="7"/>
  <c r="C131" i="7"/>
  <c r="C246" i="7"/>
  <c r="C133" i="7"/>
  <c r="C171" i="7"/>
  <c r="C134" i="7"/>
  <c r="C99" i="7"/>
  <c r="C87" i="7"/>
  <c r="C173" i="7"/>
  <c r="C202" i="7"/>
  <c r="C152" i="7"/>
  <c r="C69" i="7"/>
  <c r="C223" i="7"/>
  <c r="C130" i="7"/>
  <c r="C129" i="7"/>
  <c r="C132" i="7"/>
  <c r="C240" i="7"/>
  <c r="C141" i="7"/>
  <c r="C115" i="7"/>
  <c r="C25" i="7"/>
  <c r="C119" i="7"/>
  <c r="C135" i="7"/>
  <c r="C181" i="7"/>
  <c r="C243" i="7"/>
  <c r="C117" i="7"/>
  <c r="C44" i="7"/>
  <c r="C213" i="7"/>
  <c r="C24" i="7"/>
  <c r="C27" i="7"/>
  <c r="C53" i="7"/>
  <c r="C193" i="7"/>
  <c r="C170" i="7"/>
  <c r="C46" i="7"/>
  <c r="C153" i="7"/>
  <c r="C198" i="7"/>
  <c r="C195" i="7"/>
  <c r="C154" i="7"/>
  <c r="C174" i="7"/>
  <c r="C51" i="7"/>
  <c r="C110" i="7"/>
  <c r="C222" i="7"/>
  <c r="C172" i="7"/>
  <c r="C221" i="7"/>
  <c r="C150" i="7"/>
  <c r="C247" i="7"/>
  <c r="C163" i="7"/>
  <c r="C184" i="7"/>
  <c r="C73" i="7"/>
  <c r="C156" i="7"/>
  <c r="C161" i="7"/>
  <c r="C238" i="7"/>
  <c r="C200" i="7"/>
  <c r="C155" i="7"/>
  <c r="C140" i="7"/>
  <c r="C242" i="7"/>
  <c r="C32" i="7"/>
  <c r="C78" i="7"/>
  <c r="C70" i="7"/>
  <c r="C31" i="7"/>
  <c r="C191" i="7"/>
  <c r="C136" i="7"/>
  <c r="C114" i="7"/>
  <c r="C225" i="7"/>
  <c r="C160" i="7"/>
  <c r="C182" i="7"/>
  <c r="C92" i="7"/>
  <c r="C111" i="7"/>
  <c r="C214" i="7"/>
  <c r="C55" i="7"/>
  <c r="C113" i="7"/>
  <c r="C151" i="7"/>
  <c r="C94" i="7"/>
  <c r="C72" i="7"/>
  <c r="C194" i="7"/>
  <c r="C108" i="7"/>
  <c r="C176" i="7"/>
  <c r="C226" i="7"/>
  <c r="C142" i="7"/>
  <c r="C224" i="7"/>
  <c r="C162" i="7"/>
  <c r="C96" i="7"/>
  <c r="C215" i="7"/>
  <c r="C128" i="7"/>
  <c r="C107" i="7"/>
  <c r="C116" i="7"/>
  <c r="C245" i="7"/>
  <c r="C239" i="7"/>
  <c r="C183" i="7"/>
  <c r="C244" i="7"/>
  <c r="C197" i="7"/>
  <c r="C139" i="7"/>
  <c r="C201" i="7"/>
  <c r="C159" i="7"/>
  <c r="C175" i="7"/>
  <c r="C118" i="7"/>
  <c r="C241" i="7"/>
  <c r="C98" i="7"/>
  <c r="C204" i="7"/>
  <c r="C179" i="7"/>
  <c r="C199" i="7"/>
  <c r="C138" i="7"/>
  <c r="C237" i="7"/>
  <c r="C68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2" i="7"/>
  <c r="C93" i="7"/>
  <c r="C54" i="7"/>
  <c r="C109" i="7"/>
  <c r="C177" i="7"/>
  <c r="C36" i="7"/>
  <c r="C57" i="7"/>
  <c r="D93" i="7"/>
  <c r="D5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99" i="7"/>
  <c r="D89" i="7"/>
  <c r="D57" i="7"/>
  <c r="D31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9" i="7"/>
  <c r="D49" i="7"/>
  <c r="D25" i="7"/>
  <c r="D68" i="7"/>
  <c r="D72" i="7"/>
  <c r="D37" i="7"/>
  <c r="D88" i="7"/>
  <c r="D27" i="7"/>
  <c r="D86" i="7"/>
  <c r="D46" i="7"/>
  <c r="D98" i="7"/>
  <c r="D75" i="7"/>
  <c r="D51" i="7"/>
  <c r="D96" i="7"/>
  <c r="D34" i="7"/>
  <c r="D30" i="7"/>
  <c r="D71" i="7"/>
  <c r="D56" i="7"/>
  <c r="D184" i="7"/>
  <c r="D173" i="7"/>
  <c r="D94" i="7"/>
  <c r="D79" i="7"/>
  <c r="D156" i="7"/>
  <c r="D161" i="7"/>
  <c r="D65" i="7"/>
  <c r="D90" i="7"/>
  <c r="D87" i="7"/>
  <c r="D214" i="7"/>
  <c r="D134" i="7"/>
  <c r="D107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D171" i="7"/>
  <c r="D138" i="7"/>
  <c r="D48" i="7"/>
  <c r="D73" i="7"/>
  <c r="D52" i="7"/>
  <c r="D23" i="7"/>
  <c r="D50" i="7"/>
  <c r="D179" i="7"/>
  <c r="D110" i="7"/>
  <c r="D24" i="7"/>
  <c r="D35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26" i="7"/>
  <c r="D135" i="7"/>
  <c r="D66" i="7"/>
  <c r="D95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186" i="7" l="1"/>
  <c r="C229" i="7"/>
  <c r="C228" i="7"/>
  <c r="C144" i="7"/>
  <c r="C103" i="7"/>
  <c r="C207" i="7"/>
  <c r="C145" i="7"/>
  <c r="C165" i="7"/>
  <c r="C250" i="7"/>
  <c r="C208" i="7"/>
  <c r="C187" i="7"/>
  <c r="C60" i="7"/>
  <c r="C39" i="7"/>
  <c r="C18" i="7"/>
  <c r="C123" i="7"/>
  <c r="C249" i="7"/>
  <c r="C166" i="7"/>
  <c r="C82" i="7"/>
  <c r="C19" i="7"/>
  <c r="C102" i="7"/>
  <c r="C40" i="7"/>
  <c r="C61" i="7"/>
  <c r="C124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142" i="7"/>
  <c r="E142" i="7" s="1"/>
  <c r="B158" i="7"/>
  <c r="E158" i="7" s="1"/>
  <c r="B177" i="7"/>
  <c r="E177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181" i="7"/>
  <c r="E181" i="7" s="1"/>
  <c r="B54" i="7"/>
  <c r="E54" i="7" s="1"/>
  <c r="B72" i="7"/>
  <c r="E72" i="7" s="1"/>
  <c r="B66" i="7"/>
  <c r="E66" i="7" s="1"/>
  <c r="B91" i="7"/>
  <c r="E91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69" i="7"/>
  <c r="E69" i="7" s="1"/>
  <c r="B52" i="7"/>
  <c r="E52" i="7" s="1"/>
  <c r="B65" i="7"/>
  <c r="B29" i="7"/>
  <c r="E29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H129" i="7" l="1"/>
  <c r="H132" i="7"/>
  <c r="P6" i="7" s="1"/>
  <c r="H128" i="7"/>
  <c r="H131" i="7"/>
  <c r="H130" i="7"/>
  <c r="E145" i="7"/>
  <c r="E144" i="7"/>
  <c r="H150" i="7"/>
  <c r="H151" i="7"/>
  <c r="H149" i="7"/>
  <c r="H153" i="7"/>
  <c r="H152" i="7"/>
  <c r="E166" i="7"/>
  <c r="E165" i="7"/>
  <c r="H89" i="7"/>
  <c r="O5" i="7" s="1"/>
  <c r="H88" i="7"/>
  <c r="H86" i="7"/>
  <c r="H90" i="7"/>
  <c r="O6" i="7" s="1"/>
  <c r="H87" i="7"/>
  <c r="E102" i="7"/>
  <c r="E103" i="7"/>
  <c r="H67" i="7"/>
  <c r="H66" i="7"/>
  <c r="H69" i="7"/>
  <c r="H65" i="7"/>
  <c r="H68" i="7"/>
  <c r="E82" i="7"/>
  <c r="E81" i="7"/>
  <c r="H109" i="7"/>
  <c r="H108" i="7"/>
  <c r="H111" i="7"/>
  <c r="H107" i="7"/>
  <c r="H110" i="7"/>
  <c r="E124" i="7"/>
  <c r="E123" i="7"/>
  <c r="H25" i="7"/>
  <c r="H27" i="7"/>
  <c r="H24" i="7"/>
  <c r="H23" i="7"/>
  <c r="H26" i="7"/>
  <c r="E39" i="7"/>
  <c r="E40" i="7"/>
  <c r="H193" i="7"/>
  <c r="H192" i="7"/>
  <c r="H195" i="7"/>
  <c r="H191" i="7"/>
  <c r="H194" i="7"/>
  <c r="E207" i="7"/>
  <c r="E208" i="7"/>
  <c r="H237" i="7"/>
  <c r="H233" i="7"/>
  <c r="E249" i="7"/>
  <c r="H236" i="7"/>
  <c r="H235" i="7"/>
  <c r="H234" i="7"/>
  <c r="E250" i="7"/>
  <c r="H173" i="7"/>
  <c r="H172" i="7"/>
  <c r="H171" i="7"/>
  <c r="H174" i="7"/>
  <c r="Q6" i="7" s="1"/>
  <c r="H170" i="7"/>
  <c r="E186" i="7"/>
  <c r="E187" i="7"/>
  <c r="H213" i="7"/>
  <c r="H216" i="7"/>
  <c r="R6" i="7" s="1"/>
  <c r="H212" i="7"/>
  <c r="H215" i="7"/>
  <c r="R5" i="7" s="1"/>
  <c r="H214" i="7"/>
  <c r="E229" i="7"/>
  <c r="E228" i="7"/>
  <c r="H47" i="7"/>
  <c r="H46" i="7"/>
  <c r="H45" i="7"/>
  <c r="H48" i="7"/>
  <c r="N6" i="7" s="1"/>
  <c r="H44" i="7"/>
  <c r="E60" i="7"/>
  <c r="E61" i="7"/>
  <c r="H5" i="7"/>
  <c r="M5" i="7" s="1"/>
  <c r="H4" i="7"/>
  <c r="H6" i="7"/>
  <c r="M6" i="7" s="1"/>
  <c r="H3" i="7"/>
  <c r="H2" i="7"/>
  <c r="E18" i="7"/>
  <c r="E19" i="7"/>
  <c r="M8" i="7" l="1"/>
  <c r="N8" i="7"/>
  <c r="H112" i="7"/>
  <c r="H49" i="7"/>
  <c r="H238" i="7"/>
  <c r="H28" i="7"/>
  <c r="P8" i="7"/>
  <c r="H133" i="7"/>
  <c r="H196" i="7"/>
  <c r="H154" i="7"/>
  <c r="H7" i="7"/>
  <c r="R8" i="7"/>
  <c r="H217" i="7"/>
  <c r="H175" i="7"/>
  <c r="Q8" i="7"/>
  <c r="H70" i="7"/>
  <c r="H91" i="7"/>
  <c r="O8" i="7"/>
</calcChain>
</file>

<file path=xl/sharedStrings.xml><?xml version="1.0" encoding="utf-8"?>
<sst xmlns="http://schemas.openxmlformats.org/spreadsheetml/2006/main" count="673" uniqueCount="75">
  <si>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</si>
  <si>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</si>
  <si>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</si>
  <si>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</si>
  <si>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</si>
  <si>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</si>
  <si>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</si>
  <si>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</si>
  <si>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</si>
  <si>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</si>
  <si>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</si>
  <si>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</si>
  <si>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</si>
  <si>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</si>
  <si>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</si>
  <si>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</si>
  <si>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</si>
  <si>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</si>
  <si>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</si>
  <si>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</si>
  <si>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</si>
  <si>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</si>
  <si>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</si>
  <si>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</si>
  <si>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</si>
  <si>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</si>
  <si>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</si>
  <si>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</si>
  <si>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</si>
  <si>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</si>
  <si>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</si>
  <si>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</si>
  <si>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</si>
  <si>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</si>
  <si>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</si>
  <si>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</si>
  <si>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</si>
  <si>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</si>
  <si>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</si>
  <si>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</si>
  <si>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</si>
  <si>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</si>
  <si>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</si>
  <si>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</si>
  <si>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</si>
  <si>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</si>
  <si>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</si>
  <si>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</si>
  <si>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 xml:space="preserve">date of measurement: 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</si>
  <si>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</si>
  <si>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</si>
  <si>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MOCK B</t>
  </si>
  <si>
    <t xml:space="preserve">MOCK A </t>
  </si>
  <si>
    <t>WT A</t>
  </si>
  <si>
    <t>WT B</t>
  </si>
  <si>
    <t>ΔNML1 c8</t>
  </si>
  <si>
    <t>ΔNML1 c9</t>
  </si>
  <si>
    <t>ΔAML1 c2</t>
  </si>
  <si>
    <t>ΔAML1 c3</t>
  </si>
  <si>
    <t>AML1-NoGFP c2</t>
  </si>
  <si>
    <t>AML1-NoGFP c10</t>
  </si>
  <si>
    <t>AML1-GFP c12</t>
  </si>
  <si>
    <t>AML1-GFP c14</t>
  </si>
  <si>
    <t>MOCK</t>
  </si>
  <si>
    <t>WT</t>
  </si>
  <si>
    <t>ΔNML1</t>
  </si>
  <si>
    <t>ΔAML1</t>
  </si>
  <si>
    <t>Comp.AML1</t>
  </si>
  <si>
    <t>AML1-GFP</t>
  </si>
  <si>
    <t xml:space="preserve">ΔAML1 </t>
  </si>
  <si>
    <t>Second repetition Julia's mutants</t>
  </si>
  <si>
    <t>treatments</t>
  </si>
  <si>
    <t>rank</t>
  </si>
  <si>
    <t>AML1.GFP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</si>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</sst>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11"/>
      <color indexed="8"/>
      <name val="Aptos Narrow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11" fillId="0" borderId="0" xfId="1" applyFont="1"/>
    <xf numFmtId="0" fontId="6" fillId="0" borderId="3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0" xfId="1" applyFont="1" applyAlignment="1">
      <alignment horizontal="center" vertical="center" wrapText="1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1.7525842987251496</c:v>
                  </c:pt>
                  <c:pt idx="1">
                    <c:v>1.9346465162548816</c:v>
                  </c:pt>
                  <c:pt idx="2">
                    <c:v>1.4816335900748525</c:v>
                  </c:pt>
                  <c:pt idx="3">
                    <c:v>0.8549575316659781</c:v>
                  </c:pt>
                  <c:pt idx="4">
                    <c:v>1.2789504625724502</c:v>
                  </c:pt>
                  <c:pt idx="5">
                    <c:v>1.2628460792116443</c:v>
                  </c:pt>
                  <c:pt idx="6">
                    <c:v>1.6109742689559314</c:v>
                  </c:pt>
                  <c:pt idx="7">
                    <c:v>0.67612340378281321</c:v>
                  </c:pt>
                  <c:pt idx="8">
                    <c:v>1.5453463165566605</c:v>
                  </c:pt>
                  <c:pt idx="9">
                    <c:v>1.4125289714685838</c:v>
                  </c:pt>
                  <c:pt idx="10">
                    <c:v>1.2094075684675789</c:v>
                  </c:pt>
                  <c:pt idx="11">
                    <c:v>1.6460631244043484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1.7525842987251496</c:v>
                  </c:pt>
                  <c:pt idx="1">
                    <c:v>1.9346465162548816</c:v>
                  </c:pt>
                  <c:pt idx="2">
                    <c:v>1.4816335900748525</c:v>
                  </c:pt>
                  <c:pt idx="3">
                    <c:v>0.8549575316659781</c:v>
                  </c:pt>
                  <c:pt idx="4">
                    <c:v>1.2789504625724502</c:v>
                  </c:pt>
                  <c:pt idx="5">
                    <c:v>1.2628460792116443</c:v>
                  </c:pt>
                  <c:pt idx="6">
                    <c:v>1.6109742689559314</c:v>
                  </c:pt>
                  <c:pt idx="7">
                    <c:v>0.67612340378281321</c:v>
                  </c:pt>
                  <c:pt idx="8">
                    <c:v>1.5453463165566605</c:v>
                  </c:pt>
                  <c:pt idx="9">
                    <c:v>1.4125289714685838</c:v>
                  </c:pt>
                  <c:pt idx="10">
                    <c:v>1.2094075684675789</c:v>
                  </c:pt>
                  <c:pt idx="11">
                    <c:v>1.6460631244043484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 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ΔNML1 c8</c:v>
                </c:pt>
                <c:pt idx="5">
                  <c:v>ΔNML1 c9</c:v>
                </c:pt>
                <c:pt idx="6">
                  <c:v>ΔAML1 c2</c:v>
                </c:pt>
                <c:pt idx="7">
                  <c:v>ΔAML1 c3</c:v>
                </c:pt>
                <c:pt idx="8">
                  <c:v>AML1-NoGFP c2</c:v>
                </c:pt>
                <c:pt idx="9">
                  <c:v>AML1-NoGFP c10</c:v>
                </c:pt>
                <c:pt idx="10">
                  <c:v>AML1-GFP c12</c:v>
                </c:pt>
                <c:pt idx="11">
                  <c:v>AML1-GFP c14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8.35</c:v>
                </c:pt>
                <c:pt idx="1">
                  <c:v>9.1999999999999993</c:v>
                </c:pt>
                <c:pt idx="2">
                  <c:v>4.1333333333333337</c:v>
                </c:pt>
                <c:pt idx="3">
                  <c:v>5.0333333333333332</c:v>
                </c:pt>
                <c:pt idx="4">
                  <c:v>6.7</c:v>
                </c:pt>
                <c:pt idx="5">
                  <c:v>6.4642857142857144</c:v>
                </c:pt>
                <c:pt idx="6">
                  <c:v>6.166666666666667</c:v>
                </c:pt>
                <c:pt idx="7">
                  <c:v>6.7</c:v>
                </c:pt>
                <c:pt idx="8">
                  <c:v>4.9333333333333336</c:v>
                </c:pt>
                <c:pt idx="9">
                  <c:v>4.7666666666666666</c:v>
                </c:pt>
                <c:pt idx="10">
                  <c:v>5.9133333333333331</c:v>
                </c:pt>
                <c:pt idx="11">
                  <c:v>6.0666666666666664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0.77774356793950217</c:v>
                  </c:pt>
                  <c:pt idx="1">
                    <c:v>0.61139964328540775</c:v>
                  </c:pt>
                  <c:pt idx="2">
                    <c:v>1.1254628677422751</c:v>
                  </c:pt>
                  <c:pt idx="3">
                    <c:v>0.99402979738800423</c:v>
                  </c:pt>
                  <c:pt idx="4">
                    <c:v>0.97955286203645475</c:v>
                  </c:pt>
                  <c:pt idx="5">
                    <c:v>0.91161612318121998</c:v>
                  </c:pt>
                  <c:pt idx="6">
                    <c:v>0.91547541643412755</c:v>
                  </c:pt>
                  <c:pt idx="7">
                    <c:v>1.1317916685293177</c:v>
                  </c:pt>
                  <c:pt idx="8">
                    <c:v>1.0327955589886446</c:v>
                  </c:pt>
                  <c:pt idx="9">
                    <c:v>1.2909944487358052</c:v>
                  </c:pt>
                  <c:pt idx="10">
                    <c:v>0.7559289460184544</c:v>
                  </c:pt>
                  <c:pt idx="11">
                    <c:v>1.0153582525160179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0.77774356793950217</c:v>
                  </c:pt>
                  <c:pt idx="1">
                    <c:v>0.61139964328540775</c:v>
                  </c:pt>
                  <c:pt idx="2">
                    <c:v>1.1254628677422751</c:v>
                  </c:pt>
                  <c:pt idx="3">
                    <c:v>0.99402979738800423</c:v>
                  </c:pt>
                  <c:pt idx="4">
                    <c:v>0.97955286203645475</c:v>
                  </c:pt>
                  <c:pt idx="5">
                    <c:v>0.91161612318121998</c:v>
                  </c:pt>
                  <c:pt idx="6">
                    <c:v>0.91547541643412755</c:v>
                  </c:pt>
                  <c:pt idx="7">
                    <c:v>1.1317916685293177</c:v>
                  </c:pt>
                  <c:pt idx="8">
                    <c:v>1.0327955589886446</c:v>
                  </c:pt>
                  <c:pt idx="9">
                    <c:v>1.2909944487358052</c:v>
                  </c:pt>
                  <c:pt idx="10">
                    <c:v>0.7559289460184544</c:v>
                  </c:pt>
                  <c:pt idx="11">
                    <c:v>1.0153582525160179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 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ΔNML1 c8</c:v>
                </c:pt>
                <c:pt idx="5">
                  <c:v>ΔNML1 c9</c:v>
                </c:pt>
                <c:pt idx="6">
                  <c:v>ΔAML1 c2</c:v>
                </c:pt>
                <c:pt idx="7">
                  <c:v>ΔAML1 c3</c:v>
                </c:pt>
                <c:pt idx="8">
                  <c:v>AML1-NoGFP c2</c:v>
                </c:pt>
                <c:pt idx="9">
                  <c:v>AML1-NoGFP c10</c:v>
                </c:pt>
                <c:pt idx="10">
                  <c:v>AML1-GFP c12</c:v>
                </c:pt>
                <c:pt idx="11">
                  <c:v>AML1-GFP c14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6.916666666666667</c:v>
                </c:pt>
                <c:pt idx="1">
                  <c:v>7.1333333333333337</c:v>
                </c:pt>
                <c:pt idx="2">
                  <c:v>4.0333333333333332</c:v>
                </c:pt>
                <c:pt idx="3">
                  <c:v>4.833333333333333</c:v>
                </c:pt>
                <c:pt idx="4">
                  <c:v>5.7333333333333334</c:v>
                </c:pt>
                <c:pt idx="5">
                  <c:v>6.1785714285714288</c:v>
                </c:pt>
                <c:pt idx="6">
                  <c:v>5.1333333333333337</c:v>
                </c:pt>
                <c:pt idx="7">
                  <c:v>6.0666666666666664</c:v>
                </c:pt>
                <c:pt idx="8">
                  <c:v>4.7333333333333334</c:v>
                </c:pt>
                <c:pt idx="9">
                  <c:v>4.333333333333333</c:v>
                </c:pt>
                <c:pt idx="10">
                  <c:v>5.5</c:v>
                </c:pt>
                <c:pt idx="11">
                  <c:v>5.2666666666666666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0.92507999032826693</c:v>
                  </c:pt>
                  <c:pt idx="1">
                    <c:v>0.77892477783403691</c:v>
                  </c:pt>
                  <c:pt idx="2">
                    <c:v>0.7463134793930829</c:v>
                  </c:pt>
                  <c:pt idx="3">
                    <c:v>0.59175847711553331</c:v>
                  </c:pt>
                  <c:pt idx="4">
                    <c:v>0.71524687712572088</c:v>
                  </c:pt>
                  <c:pt idx="5">
                    <c:v>0.75094811866271838</c:v>
                  </c:pt>
                  <c:pt idx="6">
                    <c:v>0.74820738148877308</c:v>
                  </c:pt>
                  <c:pt idx="7">
                    <c:v>0.79145856914096824</c:v>
                  </c:pt>
                  <c:pt idx="8">
                    <c:v>1.0244217881322124</c:v>
                  </c:pt>
                  <c:pt idx="9">
                    <c:v>0.93552022705984028</c:v>
                  </c:pt>
                  <c:pt idx="10">
                    <c:v>0.58008455869648423</c:v>
                  </c:pt>
                  <c:pt idx="11">
                    <c:v>0.82098779064061034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0.92507999032826693</c:v>
                  </c:pt>
                  <c:pt idx="1">
                    <c:v>0.77892477783403691</c:v>
                  </c:pt>
                  <c:pt idx="2">
                    <c:v>0.7463134793930829</c:v>
                  </c:pt>
                  <c:pt idx="3">
                    <c:v>0.59175847711553331</c:v>
                  </c:pt>
                  <c:pt idx="4">
                    <c:v>0.71524687712572088</c:v>
                  </c:pt>
                  <c:pt idx="5">
                    <c:v>0.75094811866271838</c:v>
                  </c:pt>
                  <c:pt idx="6">
                    <c:v>0.74820738148877308</c:v>
                  </c:pt>
                  <c:pt idx="7">
                    <c:v>0.79145856914096824</c:v>
                  </c:pt>
                  <c:pt idx="8">
                    <c:v>1.0244217881322124</c:v>
                  </c:pt>
                  <c:pt idx="9">
                    <c:v>0.93552022705984028</c:v>
                  </c:pt>
                  <c:pt idx="10">
                    <c:v>0.58008455869648423</c:v>
                  </c:pt>
                  <c:pt idx="11">
                    <c:v>0.82098779064061034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 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ΔNML1 c8</c:v>
                </c:pt>
                <c:pt idx="5">
                  <c:v>ΔNML1 c9</c:v>
                </c:pt>
                <c:pt idx="6">
                  <c:v>ΔAML1 c2</c:v>
                </c:pt>
                <c:pt idx="7">
                  <c:v>ΔAML1 c3</c:v>
                </c:pt>
                <c:pt idx="8">
                  <c:v>AML1-NoGFP c2</c:v>
                </c:pt>
                <c:pt idx="9">
                  <c:v>AML1-NoGFP c10</c:v>
                </c:pt>
                <c:pt idx="10">
                  <c:v>AML1-GFP c12</c:v>
                </c:pt>
                <c:pt idx="11">
                  <c:v>AML1-GFP c14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3.4383333333333335</c:v>
                </c:pt>
                <c:pt idx="1">
                  <c:v>3.8266666666666671</c:v>
                </c:pt>
                <c:pt idx="2">
                  <c:v>1.0086666666666668</c:v>
                </c:pt>
                <c:pt idx="3">
                  <c:v>1.4893333333333334</c:v>
                </c:pt>
                <c:pt idx="4">
                  <c:v>2.0226666666666664</c:v>
                </c:pt>
                <c:pt idx="5">
                  <c:v>2.12</c:v>
                </c:pt>
                <c:pt idx="6">
                  <c:v>1.7199999999999998</c:v>
                </c:pt>
                <c:pt idx="7">
                  <c:v>2.3973333333333331</c:v>
                </c:pt>
                <c:pt idx="8">
                  <c:v>1.6159999999999999</c:v>
                </c:pt>
                <c:pt idx="9">
                  <c:v>1.4153333333333333</c:v>
                </c:pt>
                <c:pt idx="10">
                  <c:v>2.0753333333333335</c:v>
                </c:pt>
                <c:pt idx="11">
                  <c:v>2.1173333333333333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ΔNML1</c:v>
                </c:pt>
                <c:pt idx="3">
                  <c:v>ΔAML1</c:v>
                </c:pt>
                <c:pt idx="4">
                  <c:v>Comp.AML1</c:v>
                </c:pt>
                <c:pt idx="5">
                  <c:v>AML1-GFP</c:v>
                </c:pt>
              </c:strCache>
            </c:strRef>
          </c:cat>
          <c:val>
            <c:numRef>
              <c:f>'Tabelle1 (2)'!$M$2:$R$2</c:f>
              <c:numCache>
                <c:formatCode>General</c:formatCode>
                <c:ptCount val="6"/>
                <c:pt idx="0">
                  <c:v>53</c:v>
                </c:pt>
                <c:pt idx="1">
                  <c:v>3</c:v>
                </c:pt>
                <c:pt idx="2">
                  <c:v>22</c:v>
                </c:pt>
                <c:pt idx="3">
                  <c:v>24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ΔNML1</c:v>
                </c:pt>
                <c:pt idx="3">
                  <c:v>ΔAML1</c:v>
                </c:pt>
                <c:pt idx="4">
                  <c:v>Comp.AML1</c:v>
                </c:pt>
                <c:pt idx="5">
                  <c:v>AML1-GFP</c:v>
                </c:pt>
              </c:strCache>
            </c:strRef>
          </c:cat>
          <c:val>
            <c:numRef>
              <c:f>'Tabelle1 (2)'!$M$3:$R$3</c:f>
              <c:numCache>
                <c:formatCode>General</c:formatCode>
                <c:ptCount val="6"/>
                <c:pt idx="0">
                  <c:v>4</c:v>
                </c:pt>
                <c:pt idx="1">
                  <c:v>19</c:v>
                </c:pt>
                <c:pt idx="2">
                  <c:v>20</c:v>
                </c:pt>
                <c:pt idx="3">
                  <c:v>22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ΔNML1</c:v>
                </c:pt>
                <c:pt idx="3">
                  <c:v>ΔAML1</c:v>
                </c:pt>
                <c:pt idx="4">
                  <c:v>Comp.AML1</c:v>
                </c:pt>
                <c:pt idx="5">
                  <c:v>AML1-GFP</c:v>
                </c:pt>
              </c:strCache>
            </c:strRef>
          </c:cat>
          <c:val>
            <c:numRef>
              <c:f>'Tabelle1 (2)'!$M$4:$R$4</c:f>
              <c:numCache>
                <c:formatCode>General</c:formatCode>
                <c:ptCount val="6"/>
                <c:pt idx="0">
                  <c:v>1</c:v>
                </c:pt>
                <c:pt idx="1">
                  <c:v>29</c:v>
                </c:pt>
                <c:pt idx="2">
                  <c:v>16</c:v>
                </c:pt>
                <c:pt idx="3">
                  <c:v>10</c:v>
                </c:pt>
                <c:pt idx="4">
                  <c:v>16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ΔNML1</c:v>
                </c:pt>
                <c:pt idx="3">
                  <c:v>ΔAML1</c:v>
                </c:pt>
                <c:pt idx="4">
                  <c:v>Comp.AML1</c:v>
                </c:pt>
                <c:pt idx="5">
                  <c:v>AML1-GFP</c:v>
                </c:pt>
              </c:strCache>
            </c:strRef>
          </c:cat>
          <c:val>
            <c:numRef>
              <c:f>'Tabelle1 (2)'!$M$5:$R$5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CE2C128F-87D7-F442-BCDF-D370F2880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66B1BD1C-3FC5-EA44-ACA4-60107239D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3BF33798-94E7-2D4F-B635-EEED4F1A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15</xdr:col>
      <xdr:colOff>342900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37FA77BA-0672-8844-89F3-089DEDF5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"/>
  <sheetViews>
    <sheetView topLeftCell="A14" zoomScale="110" zoomScaleNormal="110" workbookViewId="0">
      <selection activeCell="D24" sqref="D24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8.88671875" style="2" customWidth="1"/>
    <col min="7" max="7" width="8.88671875" style="1" customWidth="1"/>
    <col min="8" max="9" width="11" style="1" customWidth="1"/>
    <col min="10" max="10" width="14.109375" style="1" customWidth="1"/>
    <col min="11" max="11" width="14.33203125" style="1" customWidth="1"/>
    <col min="12" max="16384" width="9.109375" style="1"/>
  </cols>
  <sheetData>
    <row r="1" spans="1:11" ht="21" x14ac:dyDescent="0.4">
      <c r="A1" s="3" t="s">
        <v>50</v>
      </c>
    </row>
    <row r="2" spans="1:11" x14ac:dyDescent="0.25">
      <c r="A2" s="1" t="s">
        <v>0</v>
      </c>
    </row>
    <row r="3" spans="1:11" x14ac:dyDescent="0.25">
      <c r="A3" s="1" t="s">
        <v>49</v>
      </c>
      <c r="B3" s="5"/>
    </row>
    <row r="4" spans="1:11" x14ac:dyDescent="0.25">
      <c r="A4" s="1" t="s">
        <v>48</v>
      </c>
      <c r="B4" s="6"/>
    </row>
    <row r="5" spans="1:11" x14ac:dyDescent="0.25">
      <c r="A5" s="1" t="s">
        <v>1</v>
      </c>
      <c r="B5" s="6"/>
    </row>
    <row r="6" spans="1:11" x14ac:dyDescent="0.25">
      <c r="B6" s="7"/>
      <c r="C6" s="7"/>
    </row>
    <row r="7" spans="1:11" ht="15" customHeight="1" x14ac:dyDescent="0.25">
      <c r="A7" s="8" t="s">
        <v>52</v>
      </c>
      <c r="B7" s="36" t="s">
        <v>3</v>
      </c>
      <c r="C7" s="36" t="s">
        <v>4</v>
      </c>
      <c r="D7" s="36" t="s">
        <v>5</v>
      </c>
      <c r="E7" s="36" t="s">
        <v>6</v>
      </c>
    </row>
    <row r="8" spans="1:11" x14ac:dyDescent="0.25">
      <c r="A8" s="10" t="s">
        <v>7</v>
      </c>
      <c r="B8" s="36"/>
      <c r="C8" s="36"/>
      <c r="D8" s="36"/>
      <c r="E8" s="36"/>
    </row>
    <row r="9" spans="1:11" ht="15" customHeight="1" x14ac:dyDescent="0.25">
      <c r="A9" s="11">
        <v>1</v>
      </c>
      <c r="B9" s="12">
        <v>6</v>
      </c>
      <c r="C9" s="12">
        <v>6</v>
      </c>
      <c r="D9" s="12">
        <v>2.08</v>
      </c>
      <c r="E9" s="12">
        <v>0</v>
      </c>
      <c r="G9" s="1" t="s">
        <v>2</v>
      </c>
      <c r="H9" s="36" t="s">
        <v>3</v>
      </c>
      <c r="I9" s="36" t="s">
        <v>8</v>
      </c>
      <c r="J9" s="36" t="s">
        <v>5</v>
      </c>
      <c r="K9" s="36" t="s">
        <v>6</v>
      </c>
    </row>
    <row r="10" spans="1:11" x14ac:dyDescent="0.25">
      <c r="A10" s="13">
        <v>2</v>
      </c>
      <c r="B10" s="12">
        <v>7</v>
      </c>
      <c r="C10" s="12">
        <v>7.5</v>
      </c>
      <c r="D10" s="12">
        <v>3.93</v>
      </c>
      <c r="E10" s="12">
        <v>0</v>
      </c>
      <c r="H10" s="36"/>
      <c r="I10" s="36"/>
      <c r="J10" s="36"/>
      <c r="K10" s="36"/>
    </row>
    <row r="11" spans="1:11" x14ac:dyDescent="0.25">
      <c r="A11" s="13">
        <v>3</v>
      </c>
      <c r="B11" s="12">
        <v>7</v>
      </c>
      <c r="C11" s="12">
        <v>6.5</v>
      </c>
      <c r="D11" s="12">
        <v>3.1</v>
      </c>
      <c r="E11" s="12">
        <v>0</v>
      </c>
      <c r="G11" s="1" t="s">
        <v>9</v>
      </c>
      <c r="H11" s="14">
        <f>B39-B40</f>
        <v>6.5974157012748496</v>
      </c>
      <c r="I11" s="14">
        <f>C39-C40</f>
        <v>6.1389230987271652</v>
      </c>
      <c r="J11" s="14">
        <f>D39-D40</f>
        <v>2.5132533430050668</v>
      </c>
      <c r="K11" s="14">
        <f>E39-E40</f>
        <v>0</v>
      </c>
    </row>
    <row r="12" spans="1:11" x14ac:dyDescent="0.25">
      <c r="A12" s="13">
        <v>4</v>
      </c>
      <c r="B12" s="12">
        <v>8</v>
      </c>
      <c r="C12" s="12">
        <v>7.5</v>
      </c>
      <c r="D12" s="12">
        <v>3.04</v>
      </c>
      <c r="E12" s="12">
        <v>0</v>
      </c>
      <c r="G12" s="1" t="s">
        <v>10</v>
      </c>
      <c r="H12" s="14">
        <f>B39+B40</f>
        <v>10.10258429872515</v>
      </c>
      <c r="I12" s="14">
        <f>C39+C40</f>
        <v>7.6944102346061687</v>
      </c>
      <c r="J12" s="14">
        <f>D39+D40</f>
        <v>4.3634133236616002</v>
      </c>
      <c r="K12" s="14">
        <f>E39+E40</f>
        <v>0</v>
      </c>
    </row>
    <row r="13" spans="1:11" x14ac:dyDescent="0.25">
      <c r="A13" s="13">
        <v>5</v>
      </c>
      <c r="B13" s="12">
        <v>9</v>
      </c>
      <c r="C13" s="12">
        <v>6.5</v>
      </c>
      <c r="D13" s="12">
        <v>2.6</v>
      </c>
      <c r="E13" s="12">
        <v>0</v>
      </c>
    </row>
    <row r="14" spans="1:11" x14ac:dyDescent="0.25">
      <c r="A14" s="13">
        <v>6</v>
      </c>
      <c r="B14" s="12">
        <v>8.5</v>
      </c>
      <c r="C14" s="12">
        <v>6</v>
      </c>
      <c r="D14" s="12">
        <v>4.0599999999999996</v>
      </c>
      <c r="E14" s="12">
        <v>0</v>
      </c>
    </row>
    <row r="15" spans="1:11" ht="15" customHeight="1" x14ac:dyDescent="0.25">
      <c r="A15" s="13">
        <v>7</v>
      </c>
      <c r="B15" s="12">
        <v>7.5</v>
      </c>
      <c r="C15" s="12">
        <v>7.5</v>
      </c>
      <c r="D15" s="12">
        <v>3.44</v>
      </c>
      <c r="E15" s="12">
        <v>0</v>
      </c>
    </row>
    <row r="16" spans="1:11" x14ac:dyDescent="0.25">
      <c r="A16" s="13">
        <v>8</v>
      </c>
      <c r="B16" s="12">
        <v>8</v>
      </c>
      <c r="C16" s="12">
        <v>7.5</v>
      </c>
      <c r="D16" s="12">
        <v>4.0599999999999996</v>
      </c>
      <c r="E16" s="12">
        <v>0</v>
      </c>
    </row>
    <row r="17" spans="1:5" x14ac:dyDescent="0.25">
      <c r="A17" s="13">
        <v>9</v>
      </c>
      <c r="B17" s="12">
        <v>8.5</v>
      </c>
      <c r="C17" s="12">
        <v>7.5</v>
      </c>
      <c r="D17" s="12">
        <v>3.5</v>
      </c>
      <c r="E17" s="12">
        <v>0</v>
      </c>
    </row>
    <row r="18" spans="1:5" x14ac:dyDescent="0.25">
      <c r="A18" s="13">
        <v>10</v>
      </c>
      <c r="B18" s="12">
        <v>8</v>
      </c>
      <c r="C18" s="12">
        <v>7</v>
      </c>
      <c r="D18" s="12">
        <v>3.02</v>
      </c>
      <c r="E18" s="12">
        <v>0</v>
      </c>
    </row>
    <row r="19" spans="1:5" ht="14.1" customHeight="1" x14ac:dyDescent="0.25">
      <c r="A19" s="13">
        <v>11</v>
      </c>
      <c r="B19" s="12">
        <v>5.5</v>
      </c>
      <c r="C19" s="12">
        <v>5</v>
      </c>
      <c r="D19" s="12">
        <v>0.88</v>
      </c>
      <c r="E19" s="12">
        <v>0</v>
      </c>
    </row>
    <row r="20" spans="1:5" x14ac:dyDescent="0.25">
      <c r="A20" s="13">
        <v>12</v>
      </c>
      <c r="B20" s="12">
        <v>8.5</v>
      </c>
      <c r="C20" s="12">
        <v>6.5</v>
      </c>
      <c r="D20" s="12">
        <v>4.1399999999999997</v>
      </c>
      <c r="E20" s="12">
        <v>0</v>
      </c>
    </row>
    <row r="21" spans="1:5" x14ac:dyDescent="0.25">
      <c r="A21" s="13">
        <v>13</v>
      </c>
      <c r="B21" s="12">
        <v>7.5</v>
      </c>
      <c r="C21" s="12">
        <v>7.5</v>
      </c>
      <c r="D21" s="12">
        <v>2.73</v>
      </c>
      <c r="E21" s="12">
        <v>0</v>
      </c>
    </row>
    <row r="22" spans="1:5" x14ac:dyDescent="0.25">
      <c r="A22" s="13">
        <v>14</v>
      </c>
      <c r="B22" s="12">
        <v>7.5</v>
      </c>
      <c r="C22" s="12">
        <v>7</v>
      </c>
      <c r="D22" s="12">
        <v>3.31</v>
      </c>
      <c r="E22" s="12">
        <v>0</v>
      </c>
    </row>
    <row r="23" spans="1:5" x14ac:dyDescent="0.25">
      <c r="A23" s="13">
        <v>15</v>
      </c>
      <c r="B23" s="1">
        <v>6</v>
      </c>
      <c r="C23" s="12">
        <v>5</v>
      </c>
      <c r="D23" s="12">
        <v>1.86</v>
      </c>
      <c r="E23" s="12">
        <v>0</v>
      </c>
    </row>
    <row r="24" spans="1:5" x14ac:dyDescent="0.25">
      <c r="A24" s="13">
        <v>16</v>
      </c>
      <c r="B24" s="12">
        <v>9</v>
      </c>
      <c r="C24" s="12">
        <v>7</v>
      </c>
      <c r="D24" s="12">
        <v>3.25</v>
      </c>
      <c r="E24" s="12">
        <v>0</v>
      </c>
    </row>
    <row r="25" spans="1:5" x14ac:dyDescent="0.25">
      <c r="A25" s="13">
        <v>17</v>
      </c>
      <c r="B25" s="12">
        <v>8.5</v>
      </c>
      <c r="C25" s="12">
        <v>7.5</v>
      </c>
      <c r="D25" s="12">
        <v>3.8</v>
      </c>
      <c r="E25" s="12">
        <v>0</v>
      </c>
    </row>
    <row r="26" spans="1:5" x14ac:dyDescent="0.25">
      <c r="A26" s="13">
        <v>18</v>
      </c>
      <c r="B26" s="12">
        <v>7.5</v>
      </c>
      <c r="C26" s="12">
        <v>7.5</v>
      </c>
      <c r="D26" s="12">
        <v>3.47</v>
      </c>
      <c r="E26" s="12">
        <v>0</v>
      </c>
    </row>
    <row r="27" spans="1:5" x14ac:dyDescent="0.25">
      <c r="A27" s="13">
        <v>19</v>
      </c>
      <c r="B27" s="12">
        <v>8.5</v>
      </c>
      <c r="C27" s="12">
        <v>6</v>
      </c>
      <c r="D27" s="12">
        <v>3.84</v>
      </c>
      <c r="E27" s="12">
        <v>0</v>
      </c>
    </row>
    <row r="28" spans="1:5" x14ac:dyDescent="0.25">
      <c r="A28" s="13">
        <v>20</v>
      </c>
      <c r="B28" s="12">
        <v>9.5</v>
      </c>
      <c r="C28" s="12">
        <v>7</v>
      </c>
      <c r="D28" s="12">
        <v>4.2300000000000004</v>
      </c>
      <c r="E28" s="12">
        <v>0</v>
      </c>
    </row>
    <row r="29" spans="1:5" x14ac:dyDescent="0.25">
      <c r="A29" s="13">
        <v>21</v>
      </c>
      <c r="B29" s="12">
        <v>8</v>
      </c>
      <c r="C29" s="12">
        <v>7</v>
      </c>
      <c r="D29" s="12">
        <v>3.37</v>
      </c>
      <c r="E29" s="12">
        <v>0</v>
      </c>
    </row>
    <row r="30" spans="1:5" x14ac:dyDescent="0.25">
      <c r="A30" s="13">
        <v>22</v>
      </c>
      <c r="B30" s="12">
        <v>8.5</v>
      </c>
      <c r="C30" s="12">
        <v>8</v>
      </c>
      <c r="D30" s="12">
        <v>4.12</v>
      </c>
      <c r="E30" s="12">
        <v>0</v>
      </c>
    </row>
    <row r="31" spans="1:5" x14ac:dyDescent="0.25">
      <c r="A31" s="13">
        <v>23</v>
      </c>
      <c r="B31" s="12">
        <v>11</v>
      </c>
      <c r="C31" s="12">
        <v>7.5</v>
      </c>
      <c r="D31" s="12">
        <v>4.3</v>
      </c>
      <c r="E31" s="12">
        <v>0</v>
      </c>
    </row>
    <row r="32" spans="1:5" x14ac:dyDescent="0.25">
      <c r="A32" s="13">
        <v>24</v>
      </c>
      <c r="B32" s="12">
        <v>12</v>
      </c>
      <c r="C32" s="12">
        <v>7</v>
      </c>
      <c r="D32" s="12">
        <v>4.46</v>
      </c>
      <c r="E32" s="12">
        <v>0</v>
      </c>
    </row>
    <row r="33" spans="1:6" x14ac:dyDescent="0.25">
      <c r="A33" s="13">
        <v>25</v>
      </c>
      <c r="B33" s="12">
        <v>6</v>
      </c>
      <c r="C33" s="12">
        <v>6</v>
      </c>
      <c r="D33" s="12">
        <v>1.68</v>
      </c>
      <c r="E33" s="12">
        <v>0</v>
      </c>
    </row>
    <row r="34" spans="1:6" x14ac:dyDescent="0.25">
      <c r="A34" s="13">
        <v>26</v>
      </c>
      <c r="B34" s="12">
        <v>9.5</v>
      </c>
      <c r="C34" s="12">
        <v>6.5</v>
      </c>
      <c r="D34" s="12">
        <v>3.56</v>
      </c>
      <c r="E34" s="12">
        <v>0</v>
      </c>
    </row>
    <row r="35" spans="1:6" x14ac:dyDescent="0.25">
      <c r="A35" s="13">
        <v>27</v>
      </c>
      <c r="B35" s="12">
        <v>14</v>
      </c>
      <c r="C35" s="12">
        <v>7.5</v>
      </c>
      <c r="D35" s="12">
        <v>5.13</v>
      </c>
      <c r="E35" s="12">
        <v>0</v>
      </c>
    </row>
    <row r="36" spans="1:6" x14ac:dyDescent="0.25">
      <c r="A36" s="13">
        <v>28</v>
      </c>
      <c r="B36" s="12">
        <v>8</v>
      </c>
      <c r="C36" s="12">
        <v>7</v>
      </c>
      <c r="D36" s="12">
        <v>4.25</v>
      </c>
      <c r="E36" s="12">
        <v>0</v>
      </c>
    </row>
    <row r="37" spans="1:6" x14ac:dyDescent="0.25">
      <c r="A37" s="13">
        <v>29</v>
      </c>
      <c r="B37" s="12">
        <v>9.5</v>
      </c>
      <c r="C37" s="12">
        <v>7.5</v>
      </c>
      <c r="D37" s="12">
        <v>4.3899999999999997</v>
      </c>
      <c r="E37" s="12">
        <v>0</v>
      </c>
    </row>
    <row r="38" spans="1:6" x14ac:dyDescent="0.25">
      <c r="A38" s="13">
        <v>30</v>
      </c>
      <c r="B38" s="12">
        <v>8.5</v>
      </c>
      <c r="C38" s="12">
        <v>8</v>
      </c>
      <c r="D38" s="12">
        <v>3.55</v>
      </c>
      <c r="E38" s="12">
        <v>0</v>
      </c>
    </row>
    <row r="39" spans="1:6" x14ac:dyDescent="0.25">
      <c r="A39" s="15" t="s">
        <v>11</v>
      </c>
      <c r="B39" s="16">
        <f>AVERAGE(B9:B38)</f>
        <v>8.35</v>
      </c>
      <c r="C39" s="16">
        <f>AVERAGE(C9:C38)</f>
        <v>6.916666666666667</v>
      </c>
      <c r="D39" s="16">
        <f>AVERAGE(D9:D38)</f>
        <v>3.4383333333333335</v>
      </c>
      <c r="E39" s="16">
        <f>AVERAGE(E9:E38)</f>
        <v>0</v>
      </c>
      <c r="F39" s="2" t="s">
        <v>12</v>
      </c>
    </row>
    <row r="40" spans="1:6" x14ac:dyDescent="0.25">
      <c r="A40" s="12" t="s">
        <v>13</v>
      </c>
      <c r="B40" s="17">
        <f>STDEV(B9:B38)</f>
        <v>1.7525842987251496</v>
      </c>
      <c r="C40" s="17">
        <f>STDEV(C9:C38)</f>
        <v>0.77774356793950217</v>
      </c>
      <c r="D40" s="17">
        <f>STDEV(D9:D38)</f>
        <v>0.92507999032826693</v>
      </c>
      <c r="E40" s="17">
        <f>STDEV(E9:E38)</f>
        <v>0</v>
      </c>
      <c r="F40" s="2">
        <v>15</v>
      </c>
    </row>
    <row r="41" spans="1:6" x14ac:dyDescent="0.25">
      <c r="B41" s="14"/>
      <c r="C41" s="14"/>
      <c r="D41" s="14"/>
      <c r="E41" s="14"/>
    </row>
    <row r="43" spans="1:6" ht="19.8" customHeight="1" x14ac:dyDescent="0.25">
      <c r="A43" s="18" t="s">
        <v>51</v>
      </c>
      <c r="B43" s="36" t="s">
        <v>3</v>
      </c>
      <c r="C43" s="36" t="s">
        <v>4</v>
      </c>
      <c r="D43" s="36" t="s">
        <v>5</v>
      </c>
      <c r="E43" s="36" t="s">
        <v>6</v>
      </c>
    </row>
    <row r="44" spans="1:6" x14ac:dyDescent="0.25">
      <c r="A44" s="10" t="s">
        <v>7</v>
      </c>
      <c r="B44" s="36"/>
      <c r="C44" s="36"/>
      <c r="D44" s="36"/>
      <c r="E44" s="36"/>
    </row>
    <row r="45" spans="1:6" ht="15" customHeight="1" x14ac:dyDescent="0.25">
      <c r="A45" s="11">
        <v>1</v>
      </c>
      <c r="B45" s="12">
        <v>9</v>
      </c>
      <c r="C45" s="12">
        <v>7</v>
      </c>
      <c r="D45" s="12">
        <v>3.25</v>
      </c>
      <c r="E45" s="12">
        <v>0</v>
      </c>
    </row>
    <row r="46" spans="1:6" x14ac:dyDescent="0.25">
      <c r="A46" s="13">
        <v>2</v>
      </c>
      <c r="B46" s="12">
        <v>8.5</v>
      </c>
      <c r="C46" s="12">
        <v>7.5</v>
      </c>
      <c r="D46" s="12">
        <v>3.8</v>
      </c>
      <c r="E46" s="12">
        <v>0</v>
      </c>
    </row>
    <row r="47" spans="1:6" x14ac:dyDescent="0.25">
      <c r="A47" s="13">
        <v>3</v>
      </c>
      <c r="B47" s="12">
        <v>7.5</v>
      </c>
      <c r="C47" s="12">
        <v>7.5</v>
      </c>
      <c r="D47" s="12">
        <v>3.47</v>
      </c>
      <c r="E47" s="12">
        <v>0</v>
      </c>
    </row>
    <row r="48" spans="1:6" x14ac:dyDescent="0.25">
      <c r="A48" s="13">
        <v>4</v>
      </c>
      <c r="B48" s="12">
        <v>8.5</v>
      </c>
      <c r="C48" s="12">
        <v>6</v>
      </c>
      <c r="D48" s="12">
        <v>3.84</v>
      </c>
      <c r="E48" s="12">
        <v>0</v>
      </c>
    </row>
    <row r="49" spans="1:6" x14ac:dyDescent="0.25">
      <c r="A49" s="13">
        <v>5</v>
      </c>
      <c r="B49" s="12">
        <v>9.5</v>
      </c>
      <c r="C49" s="12">
        <v>7</v>
      </c>
      <c r="D49" s="12">
        <v>4.2300000000000004</v>
      </c>
      <c r="E49" s="12">
        <v>0</v>
      </c>
    </row>
    <row r="50" spans="1:6" x14ac:dyDescent="0.25">
      <c r="A50" s="13">
        <v>6</v>
      </c>
      <c r="B50" s="12">
        <v>8</v>
      </c>
      <c r="C50" s="12">
        <v>7</v>
      </c>
      <c r="D50" s="12">
        <v>3.37</v>
      </c>
      <c r="E50" s="12">
        <v>0</v>
      </c>
    </row>
    <row r="51" spans="1:6" ht="15" customHeight="1" x14ac:dyDescent="0.25">
      <c r="A51" s="13">
        <v>7</v>
      </c>
      <c r="B51" s="12">
        <v>8.5</v>
      </c>
      <c r="C51" s="12">
        <v>8</v>
      </c>
      <c r="D51" s="12">
        <v>4.12</v>
      </c>
      <c r="E51" s="12">
        <v>0</v>
      </c>
    </row>
    <row r="52" spans="1:6" x14ac:dyDescent="0.25">
      <c r="A52" s="13">
        <v>8</v>
      </c>
      <c r="B52" s="12">
        <v>11</v>
      </c>
      <c r="C52" s="12">
        <v>7.5</v>
      </c>
      <c r="D52" s="12">
        <v>4.3</v>
      </c>
      <c r="E52" s="12">
        <v>0</v>
      </c>
    </row>
    <row r="53" spans="1:6" x14ac:dyDescent="0.25">
      <c r="A53" s="13">
        <v>9</v>
      </c>
      <c r="B53" s="12">
        <v>12</v>
      </c>
      <c r="C53" s="12">
        <v>7</v>
      </c>
      <c r="D53" s="12">
        <v>4.46</v>
      </c>
      <c r="E53" s="12">
        <v>0</v>
      </c>
    </row>
    <row r="54" spans="1:6" x14ac:dyDescent="0.25">
      <c r="A54" s="13">
        <v>10</v>
      </c>
      <c r="B54" s="12">
        <v>6</v>
      </c>
      <c r="C54" s="12">
        <v>6</v>
      </c>
      <c r="D54" s="12">
        <v>1.68</v>
      </c>
      <c r="E54" s="12">
        <v>0</v>
      </c>
    </row>
    <row r="55" spans="1:6" x14ac:dyDescent="0.25">
      <c r="A55" s="13">
        <v>11</v>
      </c>
      <c r="B55" s="12">
        <v>9.5</v>
      </c>
      <c r="C55" s="12">
        <v>6.5</v>
      </c>
      <c r="D55" s="12">
        <v>3.56</v>
      </c>
      <c r="E55" s="12">
        <v>0</v>
      </c>
    </row>
    <row r="56" spans="1:6" x14ac:dyDescent="0.25">
      <c r="A56" s="13">
        <v>12</v>
      </c>
      <c r="B56" s="12">
        <v>14</v>
      </c>
      <c r="C56" s="12">
        <v>7.5</v>
      </c>
      <c r="D56" s="12">
        <v>5.13</v>
      </c>
      <c r="E56" s="12">
        <v>0</v>
      </c>
    </row>
    <row r="57" spans="1:6" x14ac:dyDescent="0.25">
      <c r="A57" s="13">
        <v>13</v>
      </c>
      <c r="B57" s="12">
        <v>8</v>
      </c>
      <c r="C57" s="12">
        <v>7</v>
      </c>
      <c r="D57" s="12">
        <v>4.25</v>
      </c>
      <c r="E57" s="12">
        <v>0</v>
      </c>
    </row>
    <row r="58" spans="1:6" x14ac:dyDescent="0.25">
      <c r="A58" s="13">
        <v>14</v>
      </c>
      <c r="B58" s="12">
        <v>9.5</v>
      </c>
      <c r="C58" s="12">
        <v>7.5</v>
      </c>
      <c r="D58" s="12">
        <v>4.3899999999999997</v>
      </c>
      <c r="E58" s="12">
        <v>0</v>
      </c>
    </row>
    <row r="59" spans="1:6" x14ac:dyDescent="0.25">
      <c r="A59" s="13">
        <v>15</v>
      </c>
      <c r="B59" s="12">
        <v>8.5</v>
      </c>
      <c r="C59" s="12">
        <v>8</v>
      </c>
      <c r="D59" s="12">
        <v>3.55</v>
      </c>
      <c r="E59" s="12">
        <v>0</v>
      </c>
    </row>
    <row r="60" spans="1:6" x14ac:dyDescent="0.25">
      <c r="A60" s="15" t="s">
        <v>11</v>
      </c>
      <c r="B60" s="16">
        <f>AVERAGE(B45:B59)</f>
        <v>9.1999999999999993</v>
      </c>
      <c r="C60" s="16">
        <f>AVERAGE(C45:C59)</f>
        <v>7.1333333333333337</v>
      </c>
      <c r="D60" s="16">
        <f>AVERAGE(D45:D59)</f>
        <v>3.8266666666666671</v>
      </c>
      <c r="E60" s="16">
        <f>AVERAGE(E45:E59)</f>
        <v>0</v>
      </c>
      <c r="F60" s="2" t="s">
        <v>12</v>
      </c>
    </row>
    <row r="61" spans="1:6" x14ac:dyDescent="0.25">
      <c r="A61" s="12" t="s">
        <v>13</v>
      </c>
      <c r="B61" s="17">
        <f>STDEV(B45:B59)</f>
        <v>1.9346465162548816</v>
      </c>
      <c r="C61" s="17">
        <f>STDEV(C45:C59)</f>
        <v>0.61139964328540775</v>
      </c>
      <c r="D61" s="17">
        <f>STDEV(D45:D59)</f>
        <v>0.77892477783403691</v>
      </c>
      <c r="E61" s="17">
        <f>STDEV(E45:E59)</f>
        <v>0</v>
      </c>
      <c r="F61" s="2">
        <v>15</v>
      </c>
    </row>
    <row r="64" spans="1:6" ht="23.4" customHeight="1" x14ac:dyDescent="0.25">
      <c r="A64" s="18" t="s">
        <v>53</v>
      </c>
      <c r="B64" s="36" t="s">
        <v>3</v>
      </c>
      <c r="C64" s="36" t="s">
        <v>4</v>
      </c>
      <c r="D64" s="36" t="s">
        <v>5</v>
      </c>
      <c r="E64" s="36" t="s">
        <v>6</v>
      </c>
    </row>
    <row r="65" spans="1:5" x14ac:dyDescent="0.25">
      <c r="A65" s="10" t="s">
        <v>7</v>
      </c>
      <c r="B65" s="36"/>
      <c r="C65" s="36"/>
      <c r="D65" s="36"/>
      <c r="E65" s="36"/>
    </row>
    <row r="66" spans="1:5" ht="15" customHeight="1" x14ac:dyDescent="0.25">
      <c r="A66" s="11">
        <v>1</v>
      </c>
      <c r="B66" s="12">
        <v>2.5</v>
      </c>
      <c r="C66" s="12">
        <v>3</v>
      </c>
      <c r="D66" s="12">
        <v>0.47</v>
      </c>
      <c r="E66" s="12">
        <v>1</v>
      </c>
    </row>
    <row r="67" spans="1:5" x14ac:dyDescent="0.25">
      <c r="A67" s="13">
        <v>2</v>
      </c>
      <c r="B67" s="12">
        <v>2</v>
      </c>
      <c r="C67" s="12">
        <v>3.5</v>
      </c>
      <c r="D67" s="12">
        <v>0.35</v>
      </c>
      <c r="E67" s="12">
        <v>1</v>
      </c>
    </row>
    <row r="68" spans="1:5" x14ac:dyDescent="0.25">
      <c r="A68" s="13">
        <v>3</v>
      </c>
      <c r="B68" s="12">
        <v>2.5</v>
      </c>
      <c r="C68" s="12">
        <v>2.5</v>
      </c>
      <c r="D68" s="12">
        <v>0.25</v>
      </c>
      <c r="E68" s="12">
        <v>1</v>
      </c>
    </row>
    <row r="69" spans="1:5" x14ac:dyDescent="0.25">
      <c r="A69" s="13">
        <v>4</v>
      </c>
      <c r="B69" s="12">
        <v>2.5</v>
      </c>
      <c r="C69" s="12">
        <v>2</v>
      </c>
      <c r="D69" s="12">
        <v>0.17</v>
      </c>
      <c r="E69" s="12">
        <v>1</v>
      </c>
    </row>
    <row r="70" spans="1:5" x14ac:dyDescent="0.25">
      <c r="A70" s="13">
        <v>5</v>
      </c>
      <c r="B70" s="12">
        <v>3.5</v>
      </c>
      <c r="C70" s="12">
        <v>3</v>
      </c>
      <c r="D70" s="12">
        <v>0.46</v>
      </c>
      <c r="E70" s="12">
        <v>1</v>
      </c>
    </row>
    <row r="71" spans="1:5" x14ac:dyDescent="0.25">
      <c r="A71" s="13">
        <v>6</v>
      </c>
      <c r="B71" s="12">
        <v>4</v>
      </c>
      <c r="C71" s="12">
        <v>3.5</v>
      </c>
      <c r="D71" s="12">
        <v>0.79</v>
      </c>
      <c r="E71" s="12">
        <v>1</v>
      </c>
    </row>
    <row r="72" spans="1:5" ht="15" customHeight="1" x14ac:dyDescent="0.25">
      <c r="A72" s="13">
        <v>7</v>
      </c>
      <c r="B72" s="12">
        <v>4</v>
      </c>
      <c r="C72" s="12">
        <v>4</v>
      </c>
      <c r="D72" s="12">
        <v>0.72</v>
      </c>
      <c r="E72" s="12">
        <v>1</v>
      </c>
    </row>
    <row r="73" spans="1:5" x14ac:dyDescent="0.25">
      <c r="A73" s="13">
        <v>8</v>
      </c>
      <c r="B73" s="12">
        <v>4.5</v>
      </c>
      <c r="C73" s="12">
        <v>4</v>
      </c>
      <c r="D73" s="12">
        <v>0.96</v>
      </c>
      <c r="E73" s="12">
        <v>1</v>
      </c>
    </row>
    <row r="74" spans="1:5" x14ac:dyDescent="0.25">
      <c r="A74" s="13">
        <v>9</v>
      </c>
      <c r="B74" s="12">
        <v>3.5</v>
      </c>
      <c r="C74" s="12">
        <v>4</v>
      </c>
      <c r="D74" s="12">
        <v>0.65</v>
      </c>
      <c r="E74" s="12">
        <v>1</v>
      </c>
    </row>
    <row r="75" spans="1:5" x14ac:dyDescent="0.25">
      <c r="A75" s="13">
        <v>10</v>
      </c>
      <c r="B75" s="12">
        <v>6.5</v>
      </c>
      <c r="C75" s="12">
        <v>5</v>
      </c>
      <c r="D75" s="12">
        <v>2.64</v>
      </c>
      <c r="E75" s="12">
        <v>1</v>
      </c>
    </row>
    <row r="76" spans="1:5" x14ac:dyDescent="0.25">
      <c r="A76" s="13">
        <v>11</v>
      </c>
      <c r="B76" s="12">
        <v>5</v>
      </c>
      <c r="C76" s="12">
        <v>5</v>
      </c>
      <c r="D76" s="12">
        <v>1.03</v>
      </c>
      <c r="E76" s="12">
        <v>1</v>
      </c>
    </row>
    <row r="77" spans="1:5" x14ac:dyDescent="0.25">
      <c r="A77" s="13">
        <v>12</v>
      </c>
      <c r="B77" s="12">
        <v>5</v>
      </c>
      <c r="C77" s="12">
        <v>5.5</v>
      </c>
      <c r="D77" s="12">
        <v>2.0499999999999998</v>
      </c>
      <c r="E77" s="12">
        <v>1</v>
      </c>
    </row>
    <row r="78" spans="1:5" x14ac:dyDescent="0.25">
      <c r="A78" s="13">
        <v>13</v>
      </c>
      <c r="B78" s="12">
        <v>5.5</v>
      </c>
      <c r="C78" s="12">
        <v>5.5</v>
      </c>
      <c r="D78" s="12">
        <v>1.72</v>
      </c>
      <c r="E78" s="12">
        <v>1</v>
      </c>
    </row>
    <row r="79" spans="1:5" x14ac:dyDescent="0.25">
      <c r="A79" s="13">
        <v>14</v>
      </c>
      <c r="B79" s="12">
        <v>7</v>
      </c>
      <c r="C79" s="12">
        <v>5.5</v>
      </c>
      <c r="D79" s="12">
        <v>1.99</v>
      </c>
      <c r="E79" s="12">
        <v>1</v>
      </c>
    </row>
    <row r="80" spans="1:5" x14ac:dyDescent="0.25">
      <c r="A80" s="13">
        <v>15</v>
      </c>
      <c r="B80" s="12">
        <v>4</v>
      </c>
      <c r="C80" s="12">
        <v>4.5</v>
      </c>
      <c r="D80" s="12">
        <v>0.88</v>
      </c>
      <c r="E80" s="12">
        <v>1</v>
      </c>
    </row>
    <row r="81" spans="1:6" x14ac:dyDescent="0.25">
      <c r="A81" s="15" t="s">
        <v>11</v>
      </c>
      <c r="B81" s="16">
        <f>AVERAGE(B66:B80)</f>
        <v>4.1333333333333337</v>
      </c>
      <c r="C81" s="16">
        <f>AVERAGE(C66:C80)</f>
        <v>4.0333333333333332</v>
      </c>
      <c r="D81" s="16">
        <f>AVERAGE(D66:D80)</f>
        <v>1.0086666666666668</v>
      </c>
      <c r="E81" s="16">
        <f>AVERAGE(E66:E80)</f>
        <v>1</v>
      </c>
      <c r="F81" s="2" t="s">
        <v>12</v>
      </c>
    </row>
    <row r="82" spans="1:6" x14ac:dyDescent="0.25">
      <c r="A82" s="12" t="s">
        <v>13</v>
      </c>
      <c r="B82" s="17">
        <f>STDEV(B66:B80)</f>
        <v>1.4816335900748525</v>
      </c>
      <c r="C82" s="17">
        <f>STDEV(C66:C80)</f>
        <v>1.1254628677422751</v>
      </c>
      <c r="D82" s="17">
        <f>STDEV(D66:D80)</f>
        <v>0.7463134793930829</v>
      </c>
      <c r="E82" s="17">
        <f>STDEV(E66:E80)</f>
        <v>0</v>
      </c>
      <c r="F82" s="2">
        <v>15</v>
      </c>
    </row>
    <row r="85" spans="1:6" ht="22.2" customHeight="1" x14ac:dyDescent="0.25">
      <c r="A85" s="18" t="s">
        <v>54</v>
      </c>
      <c r="B85" s="36" t="s">
        <v>3</v>
      </c>
      <c r="C85" s="36" t="s">
        <v>4</v>
      </c>
      <c r="D85" s="36" t="s">
        <v>5</v>
      </c>
      <c r="E85" s="36" t="s">
        <v>6</v>
      </c>
    </row>
    <row r="86" spans="1:6" x14ac:dyDescent="0.25">
      <c r="A86" s="10" t="s">
        <v>7</v>
      </c>
      <c r="B86" s="36"/>
      <c r="C86" s="36"/>
      <c r="D86" s="36"/>
      <c r="E86" s="36"/>
    </row>
    <row r="87" spans="1:6" ht="15" customHeight="1" x14ac:dyDescent="0.25">
      <c r="A87" s="11">
        <v>1</v>
      </c>
      <c r="B87" s="12">
        <v>4</v>
      </c>
      <c r="C87" s="12">
        <v>4</v>
      </c>
      <c r="D87" s="12">
        <v>1.01</v>
      </c>
      <c r="E87" s="12">
        <v>1</v>
      </c>
    </row>
    <row r="88" spans="1:6" x14ac:dyDescent="0.25">
      <c r="A88" s="13">
        <v>2</v>
      </c>
      <c r="B88" s="12">
        <v>5.5</v>
      </c>
      <c r="C88" s="12">
        <v>5.5</v>
      </c>
      <c r="D88" s="12">
        <v>1.46</v>
      </c>
      <c r="E88" s="12">
        <v>1</v>
      </c>
    </row>
    <row r="89" spans="1:6" x14ac:dyDescent="0.25">
      <c r="A89" s="13">
        <v>3</v>
      </c>
      <c r="B89" s="12">
        <v>4.5</v>
      </c>
      <c r="C89" s="12">
        <v>5</v>
      </c>
      <c r="D89" s="12">
        <v>1.22</v>
      </c>
      <c r="E89" s="12">
        <v>1</v>
      </c>
    </row>
    <row r="90" spans="1:6" x14ac:dyDescent="0.25">
      <c r="A90" s="13">
        <v>4</v>
      </c>
      <c r="B90" s="12">
        <v>5</v>
      </c>
      <c r="C90" s="12">
        <v>4</v>
      </c>
      <c r="D90" s="12">
        <v>1.42</v>
      </c>
      <c r="E90" s="12">
        <v>1</v>
      </c>
    </row>
    <row r="91" spans="1:6" x14ac:dyDescent="0.25">
      <c r="A91" s="13">
        <v>5</v>
      </c>
      <c r="B91" s="12">
        <v>5.5</v>
      </c>
      <c r="C91" s="12">
        <v>5.5</v>
      </c>
      <c r="D91" s="12">
        <v>1.67</v>
      </c>
      <c r="E91" s="12">
        <v>1</v>
      </c>
    </row>
    <row r="92" spans="1:6" x14ac:dyDescent="0.25">
      <c r="A92" s="13">
        <v>6</v>
      </c>
      <c r="B92" s="12">
        <v>4.5</v>
      </c>
      <c r="C92" s="12">
        <v>4</v>
      </c>
      <c r="D92" s="12">
        <v>0.79</v>
      </c>
      <c r="E92" s="12">
        <v>1</v>
      </c>
    </row>
    <row r="93" spans="1:6" ht="15" customHeight="1" x14ac:dyDescent="0.25">
      <c r="A93" s="13">
        <v>7</v>
      </c>
      <c r="B93" s="12">
        <v>4.5</v>
      </c>
      <c r="C93" s="12">
        <v>4</v>
      </c>
      <c r="D93" s="12">
        <v>1.29</v>
      </c>
      <c r="E93" s="12">
        <v>1</v>
      </c>
    </row>
    <row r="94" spans="1:6" x14ac:dyDescent="0.25">
      <c r="A94" s="13">
        <v>8</v>
      </c>
      <c r="B94" s="12">
        <v>5.5</v>
      </c>
      <c r="C94" s="12">
        <v>5</v>
      </c>
      <c r="D94" s="12">
        <v>1.81</v>
      </c>
      <c r="E94" s="12">
        <v>1</v>
      </c>
    </row>
    <row r="95" spans="1:6" x14ac:dyDescent="0.25">
      <c r="A95" s="13">
        <v>9</v>
      </c>
      <c r="B95" s="12">
        <v>6</v>
      </c>
      <c r="C95" s="12">
        <v>5</v>
      </c>
      <c r="D95" s="12">
        <v>1.98</v>
      </c>
      <c r="E95" s="12">
        <v>0.5</v>
      </c>
    </row>
    <row r="96" spans="1:6" x14ac:dyDescent="0.25">
      <c r="A96" s="13">
        <v>10</v>
      </c>
      <c r="B96" s="12">
        <v>5.5</v>
      </c>
      <c r="C96" s="12">
        <v>5.5</v>
      </c>
      <c r="D96" s="12">
        <v>2.08</v>
      </c>
      <c r="E96" s="12">
        <v>1</v>
      </c>
    </row>
    <row r="97" spans="1:6" x14ac:dyDescent="0.25">
      <c r="A97" s="13">
        <v>11</v>
      </c>
      <c r="B97" s="12">
        <v>6</v>
      </c>
      <c r="C97" s="12">
        <v>6</v>
      </c>
      <c r="D97" s="12">
        <v>2.06</v>
      </c>
      <c r="E97" s="12">
        <v>1</v>
      </c>
    </row>
    <row r="98" spans="1:6" x14ac:dyDescent="0.25">
      <c r="A98" s="13">
        <v>12</v>
      </c>
      <c r="B98" s="12">
        <v>5</v>
      </c>
      <c r="C98" s="12">
        <v>5</v>
      </c>
      <c r="D98" s="12">
        <v>1.84</v>
      </c>
      <c r="E98" s="12">
        <v>1</v>
      </c>
    </row>
    <row r="99" spans="1:6" x14ac:dyDescent="0.25">
      <c r="A99" s="13">
        <v>13</v>
      </c>
      <c r="B99" s="12">
        <v>4</v>
      </c>
      <c r="C99" s="12">
        <v>3.5</v>
      </c>
      <c r="D99" s="12">
        <v>0.7</v>
      </c>
      <c r="E99" s="12">
        <v>1</v>
      </c>
    </row>
    <row r="100" spans="1:6" x14ac:dyDescent="0.25">
      <c r="A100" s="13">
        <v>14</v>
      </c>
      <c r="B100" s="12">
        <v>6.5</v>
      </c>
      <c r="C100" s="12">
        <v>7</v>
      </c>
      <c r="D100" s="12">
        <v>2.57</v>
      </c>
      <c r="E100" s="12">
        <v>1</v>
      </c>
    </row>
    <row r="101" spans="1:6" x14ac:dyDescent="0.25">
      <c r="A101" s="13">
        <v>15</v>
      </c>
      <c r="B101" s="12">
        <v>3.5</v>
      </c>
      <c r="C101" s="12">
        <v>3.5</v>
      </c>
      <c r="D101" s="12">
        <v>0.44</v>
      </c>
      <c r="E101" s="12">
        <v>1</v>
      </c>
    </row>
    <row r="102" spans="1:6" x14ac:dyDescent="0.25">
      <c r="A102" s="15" t="s">
        <v>11</v>
      </c>
      <c r="B102" s="16">
        <f>AVERAGE(B87:B101)</f>
        <v>5.0333333333333332</v>
      </c>
      <c r="C102" s="16">
        <f>AVERAGE(C87:C101)</f>
        <v>4.833333333333333</v>
      </c>
      <c r="D102" s="16">
        <f>AVERAGE(D87:D101)</f>
        <v>1.4893333333333334</v>
      </c>
      <c r="E102" s="16">
        <f>AVERAGE(E87:E101)</f>
        <v>0.96666666666666667</v>
      </c>
      <c r="F102" s="2" t="s">
        <v>12</v>
      </c>
    </row>
    <row r="103" spans="1:6" x14ac:dyDescent="0.25">
      <c r="A103" s="12" t="s">
        <v>13</v>
      </c>
      <c r="B103" s="17">
        <f>STDEV(B87:B101)</f>
        <v>0.8549575316659781</v>
      </c>
      <c r="C103" s="17">
        <f>STDEV(C87:C101)</f>
        <v>0.99402979738800423</v>
      </c>
      <c r="D103" s="17">
        <f>STDEV(D87:D101)</f>
        <v>0.59175847711553331</v>
      </c>
      <c r="E103" s="17">
        <f>STDEV(E87:E101)</f>
        <v>0.12909944487358033</v>
      </c>
      <c r="F103" s="2">
        <v>15</v>
      </c>
    </row>
    <row r="106" spans="1:6" ht="22.2" customHeight="1" x14ac:dyDescent="0.25">
      <c r="A106" s="18" t="s">
        <v>55</v>
      </c>
      <c r="B106" s="36" t="s">
        <v>3</v>
      </c>
      <c r="C106" s="36" t="s">
        <v>4</v>
      </c>
      <c r="D106" s="36" t="s">
        <v>5</v>
      </c>
      <c r="E106" s="36" t="s">
        <v>6</v>
      </c>
    </row>
    <row r="107" spans="1:6" x14ac:dyDescent="0.25">
      <c r="A107" s="10" t="s">
        <v>7</v>
      </c>
      <c r="B107" s="36"/>
      <c r="C107" s="36"/>
      <c r="D107" s="36"/>
      <c r="E107" s="36"/>
    </row>
    <row r="108" spans="1:6" ht="15" customHeight="1" x14ac:dyDescent="0.25">
      <c r="A108" s="11">
        <v>1</v>
      </c>
      <c r="B108" s="12">
        <v>6.5</v>
      </c>
      <c r="C108" s="12">
        <v>6</v>
      </c>
      <c r="D108" s="12">
        <v>2.27</v>
      </c>
      <c r="E108" s="12">
        <v>1</v>
      </c>
    </row>
    <row r="109" spans="1:6" x14ac:dyDescent="0.25">
      <c r="A109" s="13">
        <v>2</v>
      </c>
      <c r="B109" s="12">
        <v>8</v>
      </c>
      <c r="C109" s="12">
        <v>6.5</v>
      </c>
      <c r="D109" s="12">
        <v>2.75</v>
      </c>
      <c r="E109" s="12">
        <v>0</v>
      </c>
    </row>
    <row r="110" spans="1:6" x14ac:dyDescent="0.25">
      <c r="A110" s="13">
        <v>3</v>
      </c>
      <c r="B110" s="12">
        <v>8.5</v>
      </c>
      <c r="C110" s="12">
        <v>7</v>
      </c>
      <c r="D110" s="12">
        <v>3.44</v>
      </c>
      <c r="E110" s="12">
        <v>0</v>
      </c>
    </row>
    <row r="111" spans="1:6" x14ac:dyDescent="0.25">
      <c r="A111" s="13">
        <v>4</v>
      </c>
      <c r="B111" s="12">
        <v>6.5</v>
      </c>
      <c r="C111" s="12">
        <v>6.5</v>
      </c>
      <c r="D111" s="12">
        <v>1.94</v>
      </c>
      <c r="E111" s="12">
        <v>1</v>
      </c>
    </row>
    <row r="112" spans="1:6" x14ac:dyDescent="0.25">
      <c r="A112" s="13">
        <v>5</v>
      </c>
      <c r="B112" s="12">
        <v>9</v>
      </c>
      <c r="C112" s="12">
        <v>6</v>
      </c>
      <c r="D112" s="12">
        <v>2.56</v>
      </c>
      <c r="E112" s="12">
        <v>1</v>
      </c>
    </row>
    <row r="113" spans="1:6" x14ac:dyDescent="0.25">
      <c r="A113" s="13">
        <v>6</v>
      </c>
      <c r="B113" s="12">
        <v>6.5</v>
      </c>
      <c r="C113" s="12">
        <v>5.5</v>
      </c>
      <c r="D113" s="12">
        <v>2.0099999999999998</v>
      </c>
      <c r="E113" s="12">
        <v>1</v>
      </c>
    </row>
    <row r="114" spans="1:6" ht="15" customHeight="1" x14ac:dyDescent="0.25">
      <c r="A114" s="13">
        <v>7</v>
      </c>
      <c r="B114" s="12">
        <v>7</v>
      </c>
      <c r="C114" s="12">
        <v>6.5</v>
      </c>
      <c r="D114" s="12">
        <v>2.42</v>
      </c>
      <c r="E114" s="12">
        <v>1</v>
      </c>
    </row>
    <row r="115" spans="1:6" x14ac:dyDescent="0.25">
      <c r="A115" s="13">
        <v>8</v>
      </c>
      <c r="B115" s="12">
        <v>4.5</v>
      </c>
      <c r="C115" s="12">
        <v>3.5</v>
      </c>
      <c r="D115" s="12">
        <v>0.61</v>
      </c>
      <c r="E115" s="12">
        <v>1</v>
      </c>
    </row>
    <row r="116" spans="1:6" x14ac:dyDescent="0.25">
      <c r="A116" s="13">
        <v>9</v>
      </c>
      <c r="B116" s="12">
        <v>8</v>
      </c>
      <c r="C116" s="12">
        <v>7</v>
      </c>
      <c r="D116" s="12">
        <v>2.54</v>
      </c>
      <c r="E116" s="12">
        <v>0</v>
      </c>
    </row>
    <row r="117" spans="1:6" x14ac:dyDescent="0.25">
      <c r="A117" s="13">
        <v>10</v>
      </c>
      <c r="B117" s="12">
        <v>6.5</v>
      </c>
      <c r="C117" s="12">
        <v>5.5</v>
      </c>
      <c r="D117" s="12">
        <v>2.08</v>
      </c>
      <c r="E117" s="12">
        <v>1</v>
      </c>
    </row>
    <row r="118" spans="1:6" x14ac:dyDescent="0.25">
      <c r="A118" s="13">
        <v>11</v>
      </c>
      <c r="B118" s="12">
        <v>6.5</v>
      </c>
      <c r="C118" s="12">
        <v>6</v>
      </c>
      <c r="D118" s="12">
        <v>1.94</v>
      </c>
      <c r="E118" s="12">
        <v>1</v>
      </c>
    </row>
    <row r="119" spans="1:6" x14ac:dyDescent="0.25">
      <c r="A119" s="13">
        <v>12</v>
      </c>
      <c r="B119" s="12">
        <v>5</v>
      </c>
      <c r="C119" s="12">
        <v>4.5</v>
      </c>
      <c r="D119" s="12">
        <v>1.22</v>
      </c>
      <c r="E119" s="12">
        <v>1</v>
      </c>
    </row>
    <row r="120" spans="1:6" x14ac:dyDescent="0.25">
      <c r="A120" s="13">
        <v>13</v>
      </c>
      <c r="B120" s="12">
        <v>5</v>
      </c>
      <c r="C120" s="12">
        <v>4.5</v>
      </c>
      <c r="D120" s="12">
        <v>1.07</v>
      </c>
      <c r="E120" s="12">
        <v>1</v>
      </c>
    </row>
    <row r="121" spans="1:6" x14ac:dyDescent="0.25">
      <c r="A121" s="13">
        <v>14</v>
      </c>
      <c r="B121" s="12">
        <v>6.5</v>
      </c>
      <c r="C121" s="12">
        <v>5.5</v>
      </c>
      <c r="D121" s="12">
        <v>1.49</v>
      </c>
      <c r="E121" s="12">
        <v>1</v>
      </c>
    </row>
    <row r="122" spans="1:6" x14ac:dyDescent="0.25">
      <c r="A122" s="13">
        <v>15</v>
      </c>
      <c r="B122" s="12">
        <v>6.5</v>
      </c>
      <c r="C122" s="12">
        <v>5.5</v>
      </c>
      <c r="D122" s="12">
        <v>2</v>
      </c>
      <c r="E122" s="12">
        <v>1</v>
      </c>
    </row>
    <row r="123" spans="1:6" x14ac:dyDescent="0.25">
      <c r="A123" s="15" t="s">
        <v>11</v>
      </c>
      <c r="B123" s="16">
        <f>AVERAGE(B108:B122)</f>
        <v>6.7</v>
      </c>
      <c r="C123" s="16">
        <f>AVERAGE(C108:C122)</f>
        <v>5.7333333333333334</v>
      </c>
      <c r="D123" s="16">
        <f>AVERAGE(D108:D122)</f>
        <v>2.0226666666666664</v>
      </c>
      <c r="E123" s="16">
        <f>AVERAGE(E108:E122)</f>
        <v>0.8</v>
      </c>
      <c r="F123" s="2" t="s">
        <v>12</v>
      </c>
    </row>
    <row r="124" spans="1:6" x14ac:dyDescent="0.25">
      <c r="A124" s="12" t="s">
        <v>13</v>
      </c>
      <c r="B124" s="17">
        <f>STDEV(B108:B122)</f>
        <v>1.2789504625724502</v>
      </c>
      <c r="C124" s="17">
        <f>STDEV(C108:C122)</f>
        <v>0.97955286203645475</v>
      </c>
      <c r="D124" s="17">
        <f>STDEV(D108:D122)</f>
        <v>0.71524687712572088</v>
      </c>
      <c r="E124" s="17">
        <f>STDEV(E108:E122)</f>
        <v>0.41403933560541256</v>
      </c>
      <c r="F124" s="2">
        <v>15</v>
      </c>
    </row>
    <row r="127" spans="1:6" ht="25.2" customHeight="1" x14ac:dyDescent="0.25">
      <c r="A127" s="18" t="s">
        <v>56</v>
      </c>
      <c r="B127" s="36" t="s">
        <v>3</v>
      </c>
      <c r="C127" s="36" t="s">
        <v>4</v>
      </c>
      <c r="D127" s="36" t="s">
        <v>5</v>
      </c>
      <c r="E127" s="36" t="s">
        <v>6</v>
      </c>
    </row>
    <row r="128" spans="1:6" x14ac:dyDescent="0.25">
      <c r="A128" s="10" t="s">
        <v>7</v>
      </c>
      <c r="B128" s="36"/>
      <c r="C128" s="36"/>
      <c r="D128" s="36"/>
      <c r="E128" s="36"/>
    </row>
    <row r="129" spans="1:6" ht="15" customHeight="1" x14ac:dyDescent="0.25">
      <c r="A129" s="11">
        <v>1</v>
      </c>
      <c r="B129" s="12">
        <v>8.5</v>
      </c>
      <c r="C129" s="12">
        <v>6.5</v>
      </c>
      <c r="D129" s="12">
        <v>3.19</v>
      </c>
      <c r="E129" s="12">
        <v>1</v>
      </c>
    </row>
    <row r="130" spans="1:6" x14ac:dyDescent="0.25">
      <c r="A130" s="13">
        <v>2</v>
      </c>
      <c r="B130" s="12">
        <v>6</v>
      </c>
      <c r="C130" s="12">
        <v>8</v>
      </c>
      <c r="D130" s="12">
        <v>3.43</v>
      </c>
      <c r="E130" s="12">
        <v>1</v>
      </c>
    </row>
    <row r="131" spans="1:6" x14ac:dyDescent="0.25">
      <c r="A131" s="13">
        <v>3</v>
      </c>
      <c r="B131" s="12">
        <v>6.5</v>
      </c>
      <c r="C131" s="12">
        <v>7</v>
      </c>
      <c r="D131" s="12">
        <v>1.37</v>
      </c>
      <c r="E131" s="12">
        <v>1</v>
      </c>
    </row>
    <row r="132" spans="1:6" x14ac:dyDescent="0.25">
      <c r="A132" s="13">
        <v>4</v>
      </c>
      <c r="B132" s="12">
        <v>5.5</v>
      </c>
      <c r="C132" s="12">
        <v>6</v>
      </c>
      <c r="D132" s="12">
        <v>1.97</v>
      </c>
      <c r="E132" s="12">
        <v>1</v>
      </c>
    </row>
    <row r="133" spans="1:6" x14ac:dyDescent="0.25">
      <c r="A133" s="13">
        <v>5</v>
      </c>
      <c r="B133" s="12">
        <v>5.5</v>
      </c>
      <c r="C133" s="12">
        <v>5.5</v>
      </c>
      <c r="D133" s="12">
        <v>2.4300000000000002</v>
      </c>
      <c r="E133" s="12">
        <v>1</v>
      </c>
    </row>
    <row r="134" spans="1:6" x14ac:dyDescent="0.25">
      <c r="A134" s="13">
        <v>6</v>
      </c>
      <c r="B134" s="12">
        <v>7.5</v>
      </c>
      <c r="C134" s="12">
        <v>6.5</v>
      </c>
      <c r="D134" s="12">
        <v>1.84</v>
      </c>
      <c r="E134" s="12">
        <v>1</v>
      </c>
    </row>
    <row r="135" spans="1:6" ht="15" customHeight="1" x14ac:dyDescent="0.25">
      <c r="A135" s="13">
        <v>7</v>
      </c>
      <c r="B135" s="12">
        <v>4.5</v>
      </c>
      <c r="C135" s="12">
        <v>5.5</v>
      </c>
      <c r="D135" s="12">
        <v>1.42</v>
      </c>
      <c r="E135" s="12">
        <v>1</v>
      </c>
    </row>
    <row r="136" spans="1:6" x14ac:dyDescent="0.25">
      <c r="A136" s="13">
        <v>8</v>
      </c>
      <c r="B136" s="12">
        <v>6.5</v>
      </c>
      <c r="C136" s="12">
        <v>6</v>
      </c>
      <c r="D136" s="12">
        <v>2.37</v>
      </c>
      <c r="E136" s="12">
        <v>1</v>
      </c>
    </row>
    <row r="137" spans="1:6" x14ac:dyDescent="0.25">
      <c r="A137" s="13">
        <v>9</v>
      </c>
      <c r="B137" s="12">
        <v>7.5</v>
      </c>
      <c r="C137" s="12">
        <v>6</v>
      </c>
      <c r="D137" s="12">
        <v>2.1800000000000002</v>
      </c>
      <c r="E137" s="12">
        <v>1</v>
      </c>
    </row>
    <row r="138" spans="1:6" x14ac:dyDescent="0.25">
      <c r="A138" s="13">
        <v>10</v>
      </c>
      <c r="B138" s="12">
        <v>4.5</v>
      </c>
      <c r="C138" s="12">
        <v>4.5</v>
      </c>
      <c r="D138" s="12">
        <v>0.99</v>
      </c>
      <c r="E138" s="12">
        <v>1</v>
      </c>
    </row>
    <row r="139" spans="1:6" x14ac:dyDescent="0.25">
      <c r="A139" s="13">
        <v>11</v>
      </c>
      <c r="B139" s="12">
        <v>8</v>
      </c>
      <c r="C139" s="12">
        <v>6</v>
      </c>
      <c r="D139" s="12">
        <v>1.91</v>
      </c>
      <c r="E139" s="12">
        <v>1</v>
      </c>
    </row>
    <row r="140" spans="1:6" x14ac:dyDescent="0.25">
      <c r="A140" s="13">
        <v>12</v>
      </c>
      <c r="B140" s="12">
        <v>7.5</v>
      </c>
      <c r="C140" s="12">
        <v>7</v>
      </c>
      <c r="D140" s="12">
        <v>2.63</v>
      </c>
      <c r="E140" s="12">
        <v>1</v>
      </c>
    </row>
    <row r="141" spans="1:6" x14ac:dyDescent="0.25">
      <c r="A141" s="13">
        <v>13</v>
      </c>
      <c r="B141" s="12">
        <v>7</v>
      </c>
      <c r="C141" s="12">
        <v>7</v>
      </c>
      <c r="D141" s="12">
        <v>2.85</v>
      </c>
      <c r="E141" s="12">
        <v>0.5</v>
      </c>
    </row>
    <row r="142" spans="1:6" x14ac:dyDescent="0.25">
      <c r="A142" s="13">
        <v>14</v>
      </c>
      <c r="B142" s="12">
        <v>5.5</v>
      </c>
      <c r="C142" s="12">
        <v>5</v>
      </c>
      <c r="D142" s="12">
        <v>1.1000000000000001</v>
      </c>
      <c r="E142" s="12">
        <v>1</v>
      </c>
    </row>
    <row r="143" spans="1:6" x14ac:dyDescent="0.25">
      <c r="A143" s="13">
        <v>15</v>
      </c>
      <c r="B143" s="12"/>
      <c r="C143" s="12"/>
      <c r="D143" s="12"/>
      <c r="E143" s="12"/>
    </row>
    <row r="144" spans="1:6" x14ac:dyDescent="0.25">
      <c r="A144" s="15" t="s">
        <v>11</v>
      </c>
      <c r="B144" s="16">
        <f>AVERAGE(B129:B143)</f>
        <v>6.4642857142857144</v>
      </c>
      <c r="C144" s="16">
        <f>AVERAGE(C129:C143)</f>
        <v>6.1785714285714288</v>
      </c>
      <c r="D144" s="16">
        <f>AVERAGE(D129:D143)</f>
        <v>2.12</v>
      </c>
      <c r="E144" s="16">
        <f>AVERAGE(E129:E143)</f>
        <v>0.9642857142857143</v>
      </c>
      <c r="F144" s="2" t="s">
        <v>12</v>
      </c>
    </row>
    <row r="145" spans="1:6" x14ac:dyDescent="0.25">
      <c r="A145" s="12" t="s">
        <v>13</v>
      </c>
      <c r="B145" s="17">
        <f>STDEV(B129:B143)</f>
        <v>1.2628460792116443</v>
      </c>
      <c r="C145" s="17">
        <f>STDEV(C129:C143)</f>
        <v>0.91161612318121998</v>
      </c>
      <c r="D145" s="17">
        <f>STDEV(D129:D143)</f>
        <v>0.75094811866271838</v>
      </c>
      <c r="E145" s="17">
        <f>STDEV(E129:E143)</f>
        <v>0.13363062095621234</v>
      </c>
      <c r="F145" s="2">
        <v>15</v>
      </c>
    </row>
    <row r="148" spans="1:6" ht="22.2" customHeight="1" x14ac:dyDescent="0.25">
      <c r="A148" s="18" t="s">
        <v>57</v>
      </c>
      <c r="B148" s="36" t="s">
        <v>3</v>
      </c>
      <c r="C148" s="36" t="s">
        <v>4</v>
      </c>
      <c r="D148" s="36" t="s">
        <v>5</v>
      </c>
      <c r="E148" s="36" t="s">
        <v>6</v>
      </c>
    </row>
    <row r="149" spans="1:6" x14ac:dyDescent="0.25">
      <c r="A149" s="10" t="s">
        <v>7</v>
      </c>
      <c r="B149" s="36"/>
      <c r="C149" s="36"/>
      <c r="D149" s="36"/>
      <c r="E149" s="36"/>
    </row>
    <row r="150" spans="1:6" ht="15" customHeight="1" x14ac:dyDescent="0.25">
      <c r="A150" s="11">
        <v>1</v>
      </c>
      <c r="B150" s="12">
        <v>6</v>
      </c>
      <c r="C150" s="12">
        <v>6</v>
      </c>
      <c r="D150" s="12">
        <v>1.91</v>
      </c>
      <c r="E150" s="12">
        <v>1</v>
      </c>
    </row>
    <row r="151" spans="1:6" x14ac:dyDescent="0.25">
      <c r="A151" s="13">
        <v>2</v>
      </c>
      <c r="B151" s="12">
        <v>2</v>
      </c>
      <c r="C151" s="12">
        <v>3</v>
      </c>
      <c r="D151" s="12">
        <v>0.17</v>
      </c>
      <c r="E151" s="12">
        <v>1</v>
      </c>
    </row>
    <row r="152" spans="1:6" x14ac:dyDescent="0.25">
      <c r="A152" s="13">
        <v>3</v>
      </c>
      <c r="B152" s="12">
        <v>5.5</v>
      </c>
      <c r="C152" s="12">
        <v>5</v>
      </c>
      <c r="D152" s="12">
        <v>1.35</v>
      </c>
      <c r="E152" s="12">
        <v>1</v>
      </c>
    </row>
    <row r="153" spans="1:6" x14ac:dyDescent="0.25">
      <c r="A153" s="13">
        <v>4</v>
      </c>
      <c r="B153" s="12">
        <v>6.5</v>
      </c>
      <c r="C153" s="12">
        <v>5.5</v>
      </c>
      <c r="D153" s="12">
        <v>1.5</v>
      </c>
      <c r="E153" s="12">
        <v>1</v>
      </c>
    </row>
    <row r="154" spans="1:6" x14ac:dyDescent="0.25">
      <c r="A154" s="13">
        <v>5</v>
      </c>
      <c r="B154" s="12">
        <v>6</v>
      </c>
      <c r="C154" s="12">
        <v>5</v>
      </c>
      <c r="D154" s="12">
        <v>1.66</v>
      </c>
      <c r="E154" s="12">
        <v>1</v>
      </c>
    </row>
    <row r="155" spans="1:6" x14ac:dyDescent="0.25">
      <c r="A155" s="13">
        <v>6</v>
      </c>
      <c r="B155" s="12">
        <v>6.5</v>
      </c>
      <c r="C155" s="12">
        <v>5</v>
      </c>
      <c r="D155" s="12">
        <v>1.7</v>
      </c>
      <c r="E155" s="12">
        <v>1</v>
      </c>
    </row>
    <row r="156" spans="1:6" ht="15" customHeight="1" x14ac:dyDescent="0.25">
      <c r="A156" s="13">
        <v>7</v>
      </c>
      <c r="B156" s="12">
        <v>6.5</v>
      </c>
      <c r="C156" s="12">
        <v>6.5</v>
      </c>
      <c r="D156" s="12">
        <v>2.58</v>
      </c>
      <c r="E156" s="12">
        <v>1</v>
      </c>
    </row>
    <row r="157" spans="1:6" x14ac:dyDescent="0.25">
      <c r="A157" s="13">
        <v>8</v>
      </c>
      <c r="B157" s="12">
        <v>8</v>
      </c>
      <c r="C157" s="12">
        <v>5.5</v>
      </c>
      <c r="D157" s="12">
        <v>2.23</v>
      </c>
      <c r="E157" s="12">
        <v>1</v>
      </c>
    </row>
    <row r="158" spans="1:6" x14ac:dyDescent="0.25">
      <c r="A158" s="13">
        <v>9</v>
      </c>
      <c r="B158" s="12">
        <v>8</v>
      </c>
      <c r="C158" s="12">
        <v>5.5</v>
      </c>
      <c r="D158" s="12">
        <v>2.35</v>
      </c>
      <c r="E158" s="12">
        <v>1</v>
      </c>
    </row>
    <row r="159" spans="1:6" x14ac:dyDescent="0.25">
      <c r="A159" s="13">
        <v>10</v>
      </c>
      <c r="B159" s="12">
        <v>6</v>
      </c>
      <c r="C159" s="12">
        <v>5</v>
      </c>
      <c r="D159" s="12">
        <v>1.79</v>
      </c>
      <c r="E159" s="12">
        <v>1</v>
      </c>
    </row>
    <row r="160" spans="1:6" x14ac:dyDescent="0.25">
      <c r="A160" s="13">
        <v>11</v>
      </c>
      <c r="B160" s="12">
        <v>9</v>
      </c>
      <c r="C160" s="12">
        <v>5.5</v>
      </c>
      <c r="D160" s="12">
        <v>2.91</v>
      </c>
      <c r="E160" s="12">
        <v>1</v>
      </c>
    </row>
    <row r="161" spans="1:6" x14ac:dyDescent="0.25">
      <c r="A161" s="13">
        <v>12</v>
      </c>
      <c r="B161" s="12">
        <v>5.5</v>
      </c>
      <c r="C161" s="12">
        <v>3.5</v>
      </c>
      <c r="D161" s="12">
        <v>0.56999999999999995</v>
      </c>
      <c r="E161" s="12">
        <v>1</v>
      </c>
    </row>
    <row r="162" spans="1:6" x14ac:dyDescent="0.25">
      <c r="A162" s="13">
        <v>13</v>
      </c>
      <c r="B162" s="12">
        <v>6</v>
      </c>
      <c r="C162" s="12">
        <v>6</v>
      </c>
      <c r="D162" s="12">
        <v>1.59</v>
      </c>
      <c r="E162" s="12">
        <v>1</v>
      </c>
    </row>
    <row r="163" spans="1:6" x14ac:dyDescent="0.25">
      <c r="A163" s="13">
        <v>14</v>
      </c>
      <c r="B163" s="12">
        <v>6.5</v>
      </c>
      <c r="C163" s="12">
        <v>5.5</v>
      </c>
      <c r="D163" s="12">
        <v>2.4700000000000002</v>
      </c>
      <c r="E163" s="12">
        <v>0.5</v>
      </c>
    </row>
    <row r="164" spans="1:6" x14ac:dyDescent="0.25">
      <c r="A164" s="13">
        <v>15</v>
      </c>
      <c r="B164" s="12">
        <v>4.5</v>
      </c>
      <c r="C164" s="12">
        <v>4.5</v>
      </c>
      <c r="D164" s="12">
        <v>1.02</v>
      </c>
      <c r="E164" s="12">
        <v>1</v>
      </c>
    </row>
    <row r="165" spans="1:6" x14ac:dyDescent="0.25">
      <c r="A165" s="15" t="s">
        <v>11</v>
      </c>
      <c r="B165" s="16">
        <f>AVERAGE(B150:B164)</f>
        <v>6.166666666666667</v>
      </c>
      <c r="C165" s="16">
        <f>AVERAGE(C150:C164)</f>
        <v>5.1333333333333337</v>
      </c>
      <c r="D165" s="16">
        <f>AVERAGE(D150:D164)</f>
        <v>1.7199999999999998</v>
      </c>
      <c r="E165" s="16">
        <f>AVERAGE(E150:E164)</f>
        <v>0.96666666666666667</v>
      </c>
      <c r="F165" s="2" t="s">
        <v>12</v>
      </c>
    </row>
    <row r="166" spans="1:6" x14ac:dyDescent="0.25">
      <c r="A166" s="12" t="s">
        <v>13</v>
      </c>
      <c r="B166" s="17">
        <f>STDEV(B150:B164)</f>
        <v>1.6109742689559314</v>
      </c>
      <c r="C166" s="17">
        <f>STDEV(C150:C164)</f>
        <v>0.91547541643412755</v>
      </c>
      <c r="D166" s="17">
        <f>STDEV(D150:D164)</f>
        <v>0.74820738148877308</v>
      </c>
      <c r="E166" s="17">
        <f>STDEV(E150:E164)</f>
        <v>0.12909944487358033</v>
      </c>
      <c r="F166" s="2">
        <v>15</v>
      </c>
    </row>
    <row r="169" spans="1:6" ht="22.2" customHeight="1" x14ac:dyDescent="0.25">
      <c r="A169" s="18" t="s">
        <v>58</v>
      </c>
      <c r="B169" s="36" t="s">
        <v>3</v>
      </c>
      <c r="C169" s="36" t="s">
        <v>4</v>
      </c>
      <c r="D169" s="36" t="s">
        <v>5</v>
      </c>
      <c r="E169" s="36" t="s">
        <v>6</v>
      </c>
    </row>
    <row r="170" spans="1:6" x14ac:dyDescent="0.25">
      <c r="A170" s="10" t="s">
        <v>7</v>
      </c>
      <c r="B170" s="36"/>
      <c r="C170" s="36"/>
      <c r="D170" s="36"/>
      <c r="E170" s="36"/>
    </row>
    <row r="171" spans="1:6" ht="15" customHeight="1" x14ac:dyDescent="0.25">
      <c r="A171" s="11">
        <v>1</v>
      </c>
      <c r="B171" s="12">
        <v>6</v>
      </c>
      <c r="C171" s="12">
        <v>4</v>
      </c>
      <c r="D171" s="12">
        <v>1.75</v>
      </c>
      <c r="E171" s="12">
        <v>1</v>
      </c>
    </row>
    <row r="172" spans="1:6" x14ac:dyDescent="0.25">
      <c r="A172" s="13">
        <v>2</v>
      </c>
      <c r="B172" s="12">
        <v>7.5</v>
      </c>
      <c r="C172" s="12">
        <v>7</v>
      </c>
      <c r="D172" s="12">
        <v>3.21</v>
      </c>
      <c r="E172" s="12">
        <v>0</v>
      </c>
    </row>
    <row r="173" spans="1:6" x14ac:dyDescent="0.25">
      <c r="A173" s="13">
        <v>3</v>
      </c>
      <c r="B173" s="12">
        <v>7.5</v>
      </c>
      <c r="C173" s="12">
        <v>7</v>
      </c>
      <c r="D173" s="12">
        <v>3.65</v>
      </c>
      <c r="E173" s="12">
        <v>0</v>
      </c>
    </row>
    <row r="174" spans="1:6" x14ac:dyDescent="0.25">
      <c r="A174" s="13">
        <v>4</v>
      </c>
      <c r="B174" s="12">
        <v>6.5</v>
      </c>
      <c r="C174" s="12">
        <v>5</v>
      </c>
      <c r="D174" s="12">
        <v>1.89</v>
      </c>
      <c r="E174" s="12">
        <v>1</v>
      </c>
    </row>
    <row r="175" spans="1:6" x14ac:dyDescent="0.25">
      <c r="A175" s="13">
        <v>5</v>
      </c>
      <c r="B175" s="12">
        <v>6.5</v>
      </c>
      <c r="C175" s="12">
        <v>5.5</v>
      </c>
      <c r="D175" s="12">
        <v>1.4</v>
      </c>
      <c r="E175" s="12">
        <v>1</v>
      </c>
    </row>
    <row r="176" spans="1:6" x14ac:dyDescent="0.25">
      <c r="A176" s="13">
        <v>6</v>
      </c>
      <c r="B176" s="12">
        <v>6.5</v>
      </c>
      <c r="C176" s="12">
        <v>5.5</v>
      </c>
      <c r="D176" s="12">
        <v>2.19</v>
      </c>
      <c r="E176" s="12">
        <v>1</v>
      </c>
    </row>
    <row r="177" spans="1:6" ht="15" customHeight="1" x14ac:dyDescent="0.25">
      <c r="A177" s="13">
        <v>7</v>
      </c>
      <c r="B177" s="12">
        <v>6</v>
      </c>
      <c r="C177" s="12">
        <v>7.5</v>
      </c>
      <c r="D177" s="12">
        <v>2.1800000000000002</v>
      </c>
      <c r="E177" s="12">
        <v>1</v>
      </c>
    </row>
    <row r="178" spans="1:6" x14ac:dyDescent="0.25">
      <c r="A178" s="13">
        <v>8</v>
      </c>
      <c r="B178" s="12">
        <v>6</v>
      </c>
      <c r="C178" s="12">
        <v>7</v>
      </c>
      <c r="D178" s="12">
        <v>2.3199999999999998</v>
      </c>
      <c r="E178" s="12">
        <v>1</v>
      </c>
    </row>
    <row r="179" spans="1:6" x14ac:dyDescent="0.25">
      <c r="A179" s="13">
        <v>9</v>
      </c>
      <c r="B179" s="12">
        <v>6.5</v>
      </c>
      <c r="C179" s="12">
        <v>7</v>
      </c>
      <c r="D179" s="12">
        <v>2.81</v>
      </c>
      <c r="E179" s="12">
        <v>1</v>
      </c>
    </row>
    <row r="180" spans="1:6" x14ac:dyDescent="0.25">
      <c r="A180" s="13">
        <v>10</v>
      </c>
      <c r="B180" s="12">
        <v>8</v>
      </c>
      <c r="C180" s="12">
        <v>5</v>
      </c>
      <c r="D180" s="12">
        <v>3.56</v>
      </c>
      <c r="E180" s="12">
        <v>1</v>
      </c>
    </row>
    <row r="181" spans="1:6" x14ac:dyDescent="0.25">
      <c r="A181" s="13">
        <v>11</v>
      </c>
      <c r="B181" s="12">
        <v>6</v>
      </c>
      <c r="C181" s="12">
        <v>5</v>
      </c>
      <c r="D181" s="12">
        <v>1.28</v>
      </c>
      <c r="E181" s="12">
        <v>1</v>
      </c>
    </row>
    <row r="182" spans="1:6" x14ac:dyDescent="0.25">
      <c r="A182" s="13">
        <v>12</v>
      </c>
      <c r="B182" s="12">
        <v>6</v>
      </c>
      <c r="C182" s="12">
        <v>5</v>
      </c>
      <c r="D182" s="12">
        <v>1.22</v>
      </c>
      <c r="E182" s="12">
        <v>1</v>
      </c>
    </row>
    <row r="183" spans="1:6" x14ac:dyDescent="0.25">
      <c r="A183" s="13">
        <v>13</v>
      </c>
      <c r="B183" s="12">
        <v>7.5</v>
      </c>
      <c r="C183" s="12">
        <v>7</v>
      </c>
      <c r="D183" s="12">
        <v>2.66</v>
      </c>
      <c r="E183" s="12">
        <v>1</v>
      </c>
    </row>
    <row r="184" spans="1:6" x14ac:dyDescent="0.25">
      <c r="A184" s="13">
        <v>14</v>
      </c>
      <c r="B184" s="12">
        <v>7</v>
      </c>
      <c r="C184" s="12">
        <v>6</v>
      </c>
      <c r="D184" s="12">
        <v>2.94</v>
      </c>
      <c r="E184" s="12">
        <v>0.5</v>
      </c>
    </row>
    <row r="185" spans="1:6" x14ac:dyDescent="0.25">
      <c r="A185" s="13">
        <v>15</v>
      </c>
      <c r="B185" s="12">
        <v>7</v>
      </c>
      <c r="C185" s="12">
        <v>7.5</v>
      </c>
      <c r="D185" s="12">
        <v>2.9</v>
      </c>
      <c r="E185" s="12">
        <v>0.5</v>
      </c>
    </row>
    <row r="186" spans="1:6" x14ac:dyDescent="0.25">
      <c r="A186" s="15" t="s">
        <v>11</v>
      </c>
      <c r="B186" s="16">
        <f>AVERAGE(B171:B185)</f>
        <v>6.7</v>
      </c>
      <c r="C186" s="16">
        <f>AVERAGE(C171:C185)</f>
        <v>6.0666666666666664</v>
      </c>
      <c r="D186" s="16">
        <f>AVERAGE(D171:D185)</f>
        <v>2.3973333333333331</v>
      </c>
      <c r="E186" s="16">
        <f>AVERAGE(E171:E185)</f>
        <v>0.8</v>
      </c>
      <c r="F186" s="2" t="s">
        <v>12</v>
      </c>
    </row>
    <row r="187" spans="1:6" x14ac:dyDescent="0.25">
      <c r="A187" s="12" t="s">
        <v>13</v>
      </c>
      <c r="B187" s="17">
        <f>STDEV(B171:B185)</f>
        <v>0.67612340378281321</v>
      </c>
      <c r="C187" s="17">
        <f>STDEV(C171:C185)</f>
        <v>1.1317916685293177</v>
      </c>
      <c r="D187" s="17">
        <f>STDEV(D171:D185)</f>
        <v>0.79145856914096824</v>
      </c>
      <c r="E187" s="17">
        <f>STDEV(E171:E185)</f>
        <v>0.36839419880650365</v>
      </c>
      <c r="F187" s="2">
        <v>15</v>
      </c>
    </row>
    <row r="190" spans="1:6" ht="24" customHeight="1" x14ac:dyDescent="0.25">
      <c r="A190" s="18" t="s">
        <v>59</v>
      </c>
      <c r="B190" s="36" t="s">
        <v>3</v>
      </c>
      <c r="C190" s="36" t="s">
        <v>4</v>
      </c>
      <c r="D190" s="36" t="s">
        <v>5</v>
      </c>
      <c r="E190" s="36" t="s">
        <v>6</v>
      </c>
    </row>
    <row r="191" spans="1:6" x14ac:dyDescent="0.25">
      <c r="A191" s="10" t="s">
        <v>7</v>
      </c>
      <c r="B191" s="36"/>
      <c r="C191" s="36"/>
      <c r="D191" s="36"/>
      <c r="E191" s="36"/>
    </row>
    <row r="192" spans="1:6" ht="15" customHeight="1" x14ac:dyDescent="0.25">
      <c r="A192" s="11">
        <v>1</v>
      </c>
      <c r="B192" s="12">
        <v>4</v>
      </c>
      <c r="C192" s="12">
        <v>4</v>
      </c>
      <c r="D192" s="12">
        <v>0.88</v>
      </c>
      <c r="E192" s="12">
        <v>1</v>
      </c>
    </row>
    <row r="193" spans="1:6" x14ac:dyDescent="0.25">
      <c r="A193" s="13">
        <v>2</v>
      </c>
      <c r="B193" s="12">
        <v>3.5</v>
      </c>
      <c r="C193" s="12">
        <v>4.5</v>
      </c>
      <c r="D193" s="12">
        <v>1.0900000000000001</v>
      </c>
      <c r="E193" s="12">
        <v>1</v>
      </c>
    </row>
    <row r="194" spans="1:6" x14ac:dyDescent="0.25">
      <c r="A194" s="13">
        <v>3</v>
      </c>
      <c r="B194" s="12">
        <v>5.5</v>
      </c>
      <c r="C194" s="12">
        <v>5</v>
      </c>
      <c r="D194" s="12">
        <v>1.76</v>
      </c>
      <c r="E194" s="12">
        <v>1</v>
      </c>
    </row>
    <row r="195" spans="1:6" x14ac:dyDescent="0.25">
      <c r="A195" s="13">
        <v>4</v>
      </c>
      <c r="B195" s="12">
        <v>2.5</v>
      </c>
      <c r="C195" s="12">
        <v>3</v>
      </c>
      <c r="D195" s="12">
        <v>0.4</v>
      </c>
      <c r="E195" s="12">
        <v>1</v>
      </c>
    </row>
    <row r="196" spans="1:6" x14ac:dyDescent="0.25">
      <c r="A196" s="13">
        <v>5</v>
      </c>
      <c r="B196" s="12">
        <v>7</v>
      </c>
      <c r="C196" s="12">
        <v>5.5</v>
      </c>
      <c r="D196" s="12">
        <v>3.68</v>
      </c>
      <c r="E196" s="12">
        <v>0</v>
      </c>
    </row>
    <row r="197" spans="1:6" x14ac:dyDescent="0.25">
      <c r="A197" s="13">
        <v>6</v>
      </c>
      <c r="B197" s="12">
        <v>4</v>
      </c>
      <c r="C197" s="12">
        <v>4</v>
      </c>
      <c r="D197" s="12">
        <v>0.95</v>
      </c>
      <c r="E197" s="12">
        <v>1</v>
      </c>
    </row>
    <row r="198" spans="1:6" ht="15" customHeight="1" x14ac:dyDescent="0.25">
      <c r="A198" s="13">
        <v>7</v>
      </c>
      <c r="B198" s="12">
        <v>2.5</v>
      </c>
      <c r="C198" s="12">
        <v>3</v>
      </c>
      <c r="D198" s="12">
        <v>0.33</v>
      </c>
      <c r="E198" s="12">
        <v>1</v>
      </c>
    </row>
    <row r="199" spans="1:6" x14ac:dyDescent="0.25">
      <c r="A199" s="13">
        <v>8</v>
      </c>
      <c r="B199" s="12">
        <v>5</v>
      </c>
      <c r="C199" s="12">
        <v>4.5</v>
      </c>
      <c r="D199" s="12">
        <v>1.1499999999999999</v>
      </c>
      <c r="E199" s="12">
        <v>1</v>
      </c>
    </row>
    <row r="200" spans="1:6" x14ac:dyDescent="0.25">
      <c r="A200" s="13">
        <v>9</v>
      </c>
      <c r="B200" s="12">
        <v>4.5</v>
      </c>
      <c r="C200" s="12">
        <v>5.5</v>
      </c>
      <c r="D200" s="12">
        <v>1.25</v>
      </c>
      <c r="E200" s="12">
        <v>1</v>
      </c>
    </row>
    <row r="201" spans="1:6" x14ac:dyDescent="0.25">
      <c r="A201" s="13">
        <v>10</v>
      </c>
      <c r="B201" s="12">
        <v>6.5</v>
      </c>
      <c r="C201" s="12">
        <v>5.5</v>
      </c>
      <c r="D201" s="12">
        <v>2.15</v>
      </c>
      <c r="E201" s="12">
        <v>1</v>
      </c>
    </row>
    <row r="202" spans="1:6" x14ac:dyDescent="0.25">
      <c r="A202" s="13">
        <v>11</v>
      </c>
      <c r="B202" s="12">
        <v>7.5</v>
      </c>
      <c r="C202" s="12">
        <v>6</v>
      </c>
      <c r="D202" s="12">
        <v>3.11</v>
      </c>
      <c r="E202" s="12">
        <v>1</v>
      </c>
    </row>
    <row r="203" spans="1:6" x14ac:dyDescent="0.25">
      <c r="A203" s="13">
        <v>12</v>
      </c>
      <c r="B203" s="12">
        <v>4.5</v>
      </c>
      <c r="C203" s="12">
        <v>4.5</v>
      </c>
      <c r="D203" s="12">
        <v>1.1599999999999999</v>
      </c>
      <c r="E203" s="12">
        <v>1</v>
      </c>
    </row>
    <row r="204" spans="1:6" x14ac:dyDescent="0.25">
      <c r="A204" s="13">
        <v>13</v>
      </c>
      <c r="B204" s="12">
        <v>4.5</v>
      </c>
      <c r="C204" s="12">
        <v>4</v>
      </c>
      <c r="D204" s="12">
        <v>0.97</v>
      </c>
      <c r="E204" s="12">
        <v>1</v>
      </c>
    </row>
    <row r="205" spans="1:6" x14ac:dyDescent="0.25">
      <c r="A205" s="13">
        <v>14</v>
      </c>
      <c r="B205" s="12">
        <v>6.5</v>
      </c>
      <c r="C205" s="12">
        <v>6.5</v>
      </c>
      <c r="D205" s="12">
        <v>3.04</v>
      </c>
      <c r="E205" s="12">
        <v>0</v>
      </c>
    </row>
    <row r="206" spans="1:6" x14ac:dyDescent="0.25">
      <c r="A206" s="13">
        <v>15</v>
      </c>
      <c r="B206" s="12">
        <v>6</v>
      </c>
      <c r="C206" s="12">
        <v>5.5</v>
      </c>
      <c r="D206" s="12">
        <v>2.3199999999999998</v>
      </c>
      <c r="E206" s="12">
        <v>1</v>
      </c>
    </row>
    <row r="207" spans="1:6" x14ac:dyDescent="0.25">
      <c r="A207" s="15" t="s">
        <v>11</v>
      </c>
      <c r="B207" s="16">
        <f>AVERAGE(B192:B206)</f>
        <v>4.9333333333333336</v>
      </c>
      <c r="C207" s="16">
        <f>AVERAGE(C192:C206)</f>
        <v>4.7333333333333334</v>
      </c>
      <c r="D207" s="16">
        <f>AVERAGE(D192:D206)</f>
        <v>1.6159999999999999</v>
      </c>
      <c r="E207" s="16">
        <f>AVERAGE(E192:E206)</f>
        <v>0.8666666666666667</v>
      </c>
      <c r="F207" s="2" t="s">
        <v>12</v>
      </c>
    </row>
    <row r="208" spans="1:6" x14ac:dyDescent="0.25">
      <c r="A208" s="12" t="s">
        <v>13</v>
      </c>
      <c r="B208" s="17">
        <f>STDEV(B192:B206)</f>
        <v>1.5453463165566605</v>
      </c>
      <c r="C208" s="17">
        <f>STDEV(C192:C206)</f>
        <v>1.0327955589886446</v>
      </c>
      <c r="D208" s="17">
        <f>STDEV(D192:D206)</f>
        <v>1.0244217881322124</v>
      </c>
      <c r="E208" s="17">
        <f>STDEV(E192:E206)</f>
        <v>0.3518657752744983</v>
      </c>
      <c r="F208" s="2">
        <v>15</v>
      </c>
    </row>
    <row r="209" spans="1:5" x14ac:dyDescent="0.25">
      <c r="B209" s="14"/>
      <c r="C209" s="14"/>
      <c r="D209" s="14"/>
    </row>
    <row r="211" spans="1:5" ht="31.5" customHeight="1" x14ac:dyDescent="0.25">
      <c r="A211" s="18" t="s">
        <v>60</v>
      </c>
      <c r="B211" s="36" t="s">
        <v>3</v>
      </c>
      <c r="C211" s="36" t="s">
        <v>4</v>
      </c>
      <c r="D211" s="36" t="s">
        <v>5</v>
      </c>
      <c r="E211" s="36" t="s">
        <v>6</v>
      </c>
    </row>
    <row r="212" spans="1:5" x14ac:dyDescent="0.25">
      <c r="A212" s="10" t="s">
        <v>7</v>
      </c>
      <c r="B212" s="36"/>
      <c r="C212" s="36"/>
      <c r="D212" s="36"/>
      <c r="E212" s="36"/>
    </row>
    <row r="213" spans="1:5" ht="15" customHeight="1" x14ac:dyDescent="0.25">
      <c r="A213" s="11">
        <v>1</v>
      </c>
      <c r="B213" s="12">
        <v>6</v>
      </c>
      <c r="C213" s="12">
        <v>4.5</v>
      </c>
      <c r="D213" s="12">
        <v>2.12</v>
      </c>
      <c r="E213" s="12">
        <v>1</v>
      </c>
    </row>
    <row r="214" spans="1:5" x14ac:dyDescent="0.25">
      <c r="A214" s="13">
        <v>2</v>
      </c>
      <c r="B214" s="12">
        <v>3.5</v>
      </c>
      <c r="C214" s="12">
        <v>3.5</v>
      </c>
      <c r="D214" s="12">
        <v>0.94</v>
      </c>
      <c r="E214" s="12">
        <v>1</v>
      </c>
    </row>
    <row r="215" spans="1:5" x14ac:dyDescent="0.25">
      <c r="A215" s="13">
        <v>3</v>
      </c>
      <c r="B215" s="12">
        <v>4</v>
      </c>
      <c r="C215" s="12">
        <v>4.5</v>
      </c>
      <c r="D215" s="12">
        <v>0.53</v>
      </c>
      <c r="E215" s="12">
        <v>1</v>
      </c>
    </row>
    <row r="216" spans="1:5" x14ac:dyDescent="0.25">
      <c r="A216" s="13">
        <v>4</v>
      </c>
      <c r="B216" s="12">
        <v>2</v>
      </c>
      <c r="C216" s="12">
        <v>2</v>
      </c>
      <c r="D216" s="12">
        <v>0.08</v>
      </c>
      <c r="E216" s="12">
        <v>1</v>
      </c>
    </row>
    <row r="217" spans="1:5" x14ac:dyDescent="0.25">
      <c r="A217" s="13">
        <v>5</v>
      </c>
      <c r="B217" s="12">
        <v>6</v>
      </c>
      <c r="C217" s="12">
        <v>5</v>
      </c>
      <c r="D217" s="12">
        <v>2.29</v>
      </c>
      <c r="E217" s="12">
        <v>1</v>
      </c>
    </row>
    <row r="218" spans="1:5" x14ac:dyDescent="0.25">
      <c r="A218" s="13">
        <v>6</v>
      </c>
      <c r="B218" s="12">
        <v>4</v>
      </c>
      <c r="C218" s="12">
        <v>3.5</v>
      </c>
      <c r="D218" s="12">
        <v>0.86</v>
      </c>
      <c r="E218" s="12">
        <v>1</v>
      </c>
    </row>
    <row r="219" spans="1:5" ht="15" customHeight="1" x14ac:dyDescent="0.25">
      <c r="A219" s="13">
        <v>7</v>
      </c>
      <c r="B219" s="12">
        <v>5</v>
      </c>
      <c r="C219" s="12">
        <v>3.5</v>
      </c>
      <c r="D219" s="12">
        <v>0.87</v>
      </c>
      <c r="E219" s="12">
        <v>1</v>
      </c>
    </row>
    <row r="220" spans="1:5" x14ac:dyDescent="0.25">
      <c r="A220" s="13">
        <v>8</v>
      </c>
      <c r="B220" s="12">
        <v>7</v>
      </c>
      <c r="C220" s="12">
        <v>4.5</v>
      </c>
      <c r="D220" s="12">
        <v>2.23</v>
      </c>
      <c r="E220" s="12">
        <v>1</v>
      </c>
    </row>
    <row r="221" spans="1:5" x14ac:dyDescent="0.25">
      <c r="A221" s="13">
        <v>9</v>
      </c>
      <c r="B221" s="12">
        <v>4</v>
      </c>
      <c r="C221" s="12">
        <v>4</v>
      </c>
      <c r="D221" s="12">
        <v>0.78</v>
      </c>
      <c r="E221" s="12">
        <v>1</v>
      </c>
    </row>
    <row r="222" spans="1:5" x14ac:dyDescent="0.25">
      <c r="A222" s="13">
        <v>10</v>
      </c>
      <c r="B222" s="12">
        <v>6</v>
      </c>
      <c r="C222" s="12">
        <v>6</v>
      </c>
      <c r="D222" s="12">
        <v>2.94</v>
      </c>
      <c r="E222" s="12">
        <v>1</v>
      </c>
    </row>
    <row r="223" spans="1:5" x14ac:dyDescent="0.25">
      <c r="A223" s="13">
        <v>11</v>
      </c>
      <c r="B223" s="12">
        <v>5.5</v>
      </c>
      <c r="C223" s="12">
        <v>4</v>
      </c>
      <c r="D223" s="12">
        <v>1.1299999999999999</v>
      </c>
      <c r="E223" s="12">
        <v>1</v>
      </c>
    </row>
    <row r="224" spans="1:5" x14ac:dyDescent="0.25">
      <c r="A224" s="13">
        <v>12</v>
      </c>
      <c r="B224" s="12">
        <v>5</v>
      </c>
      <c r="C224" s="12">
        <v>5</v>
      </c>
      <c r="D224" s="12">
        <v>1.49</v>
      </c>
      <c r="E224" s="12">
        <v>1</v>
      </c>
    </row>
    <row r="225" spans="1:6" x14ac:dyDescent="0.25">
      <c r="A225" s="13">
        <v>13</v>
      </c>
      <c r="B225" s="12">
        <v>5</v>
      </c>
      <c r="C225" s="12">
        <v>4.5</v>
      </c>
      <c r="D225" s="12">
        <v>1.48</v>
      </c>
      <c r="E225" s="12">
        <v>1</v>
      </c>
    </row>
    <row r="226" spans="1:6" x14ac:dyDescent="0.25">
      <c r="A226" s="13">
        <v>14</v>
      </c>
      <c r="B226" s="12">
        <v>2.5</v>
      </c>
      <c r="C226" s="12">
        <v>3</v>
      </c>
      <c r="D226" s="12">
        <v>0.35</v>
      </c>
      <c r="E226" s="12">
        <v>1</v>
      </c>
    </row>
    <row r="227" spans="1:6" x14ac:dyDescent="0.25">
      <c r="A227" s="13">
        <v>15</v>
      </c>
      <c r="B227" s="12">
        <v>6</v>
      </c>
      <c r="C227" s="12">
        <v>7.5</v>
      </c>
      <c r="D227" s="12">
        <v>3.14</v>
      </c>
      <c r="E227" s="12">
        <v>1</v>
      </c>
    </row>
    <row r="228" spans="1:6" x14ac:dyDescent="0.25">
      <c r="A228" s="15" t="s">
        <v>11</v>
      </c>
      <c r="B228" s="16">
        <f>AVERAGE(B213:B227)</f>
        <v>4.7666666666666666</v>
      </c>
      <c r="C228" s="16">
        <f>AVERAGE(C213:C227)</f>
        <v>4.333333333333333</v>
      </c>
      <c r="D228" s="16">
        <f>AVERAGE(D213:D227)</f>
        <v>1.4153333333333333</v>
      </c>
      <c r="E228" s="16">
        <f>AVERAGE(E213:E227)</f>
        <v>1</v>
      </c>
      <c r="F228" s="2" t="s">
        <v>12</v>
      </c>
    </row>
    <row r="229" spans="1:6" x14ac:dyDescent="0.25">
      <c r="A229" s="12" t="s">
        <v>13</v>
      </c>
      <c r="B229" s="17">
        <f>STDEV(B213:B227)</f>
        <v>1.4125289714685838</v>
      </c>
      <c r="C229" s="17">
        <f>STDEV(C213:C227)</f>
        <v>1.2909944487358052</v>
      </c>
      <c r="D229" s="17">
        <f>STDEV(D213:D227)</f>
        <v>0.93552022705984028</v>
      </c>
      <c r="E229" s="17">
        <f>STDEV(E213:E227)</f>
        <v>0</v>
      </c>
      <c r="F229" s="2">
        <v>15</v>
      </c>
    </row>
    <row r="232" spans="1:6" ht="23.4" customHeight="1" x14ac:dyDescent="0.25">
      <c r="A232" s="8" t="s">
        <v>61</v>
      </c>
      <c r="B232" s="36" t="s">
        <v>3</v>
      </c>
      <c r="C232" s="36" t="s">
        <v>4</v>
      </c>
      <c r="D232" s="36" t="s">
        <v>5</v>
      </c>
      <c r="E232" s="36" t="s">
        <v>6</v>
      </c>
    </row>
    <row r="233" spans="1:6" x14ac:dyDescent="0.25">
      <c r="A233" s="10" t="s">
        <v>7</v>
      </c>
      <c r="B233" s="36"/>
      <c r="C233" s="36"/>
      <c r="D233" s="36"/>
      <c r="E233" s="36"/>
    </row>
    <row r="234" spans="1:6" ht="15" customHeight="1" x14ac:dyDescent="0.25">
      <c r="A234" s="11">
        <v>1</v>
      </c>
      <c r="B234" s="12">
        <v>7.5</v>
      </c>
      <c r="C234" s="12">
        <v>4.5</v>
      </c>
      <c r="D234" s="12">
        <v>3.14</v>
      </c>
      <c r="E234" s="12">
        <v>1</v>
      </c>
    </row>
    <row r="235" spans="1:6" x14ac:dyDescent="0.25">
      <c r="A235" s="13">
        <v>2</v>
      </c>
      <c r="B235" s="12">
        <v>3.2</v>
      </c>
      <c r="C235" s="12">
        <v>5.5</v>
      </c>
      <c r="D235" s="12">
        <v>2.2999999999999998</v>
      </c>
      <c r="E235" s="12">
        <v>0</v>
      </c>
    </row>
    <row r="236" spans="1:6" x14ac:dyDescent="0.25">
      <c r="A236" s="13">
        <v>3</v>
      </c>
      <c r="B236" s="12">
        <v>5.5</v>
      </c>
      <c r="C236" s="12">
        <v>6.5</v>
      </c>
      <c r="D236" s="12">
        <v>2.2999999999999998</v>
      </c>
      <c r="E236" s="12">
        <v>0.5</v>
      </c>
    </row>
    <row r="237" spans="1:6" x14ac:dyDescent="0.25">
      <c r="A237" s="13">
        <v>4</v>
      </c>
      <c r="B237" s="12">
        <v>6.5</v>
      </c>
      <c r="C237" s="12">
        <v>6</v>
      </c>
      <c r="D237" s="12">
        <v>2.1800000000000002</v>
      </c>
      <c r="E237" s="12">
        <v>0</v>
      </c>
    </row>
    <row r="238" spans="1:6" x14ac:dyDescent="0.25">
      <c r="A238" s="13">
        <v>5</v>
      </c>
      <c r="B238" s="12">
        <v>8</v>
      </c>
      <c r="C238" s="12">
        <v>5.5</v>
      </c>
      <c r="D238" s="12">
        <v>2.16</v>
      </c>
      <c r="E238" s="12">
        <v>1</v>
      </c>
    </row>
    <row r="239" spans="1:6" x14ac:dyDescent="0.25">
      <c r="A239" s="13">
        <v>6</v>
      </c>
      <c r="B239" s="12">
        <v>7</v>
      </c>
      <c r="C239" s="12">
        <v>6.5</v>
      </c>
      <c r="D239" s="12">
        <v>2.4</v>
      </c>
      <c r="E239" s="12">
        <v>0</v>
      </c>
    </row>
    <row r="240" spans="1:6" ht="15" customHeight="1" x14ac:dyDescent="0.25">
      <c r="A240" s="13">
        <v>7</v>
      </c>
      <c r="B240" s="12">
        <v>6</v>
      </c>
      <c r="C240" s="12">
        <v>6</v>
      </c>
      <c r="D240" s="12">
        <v>2.17</v>
      </c>
      <c r="E240" s="12">
        <v>1</v>
      </c>
    </row>
    <row r="241" spans="1:6" x14ac:dyDescent="0.25">
      <c r="A241" s="13">
        <v>8</v>
      </c>
      <c r="B241" s="12">
        <v>5.5</v>
      </c>
      <c r="C241" s="12">
        <v>5</v>
      </c>
      <c r="D241" s="12">
        <v>1.39</v>
      </c>
      <c r="E241" s="12">
        <v>1</v>
      </c>
    </row>
    <row r="242" spans="1:6" x14ac:dyDescent="0.25">
      <c r="A242" s="13">
        <v>9</v>
      </c>
      <c r="B242" s="12">
        <v>4.5</v>
      </c>
      <c r="C242" s="12">
        <v>4</v>
      </c>
      <c r="D242" s="12">
        <v>1.03</v>
      </c>
      <c r="E242" s="12">
        <v>1</v>
      </c>
    </row>
    <row r="243" spans="1:6" x14ac:dyDescent="0.25">
      <c r="A243" s="13">
        <v>10</v>
      </c>
      <c r="B243" s="12">
        <v>5</v>
      </c>
      <c r="C243" s="12">
        <v>5.5</v>
      </c>
      <c r="D243" s="12">
        <v>1.35</v>
      </c>
      <c r="E243" s="12">
        <v>1</v>
      </c>
    </row>
    <row r="244" spans="1:6" x14ac:dyDescent="0.25">
      <c r="A244" s="13">
        <v>11</v>
      </c>
      <c r="B244" s="12">
        <v>6</v>
      </c>
      <c r="C244" s="12">
        <v>5</v>
      </c>
      <c r="D244" s="12">
        <v>2.37</v>
      </c>
      <c r="E244" s="12">
        <v>1</v>
      </c>
    </row>
    <row r="245" spans="1:6" x14ac:dyDescent="0.25">
      <c r="A245" s="13">
        <v>12</v>
      </c>
      <c r="B245" s="12">
        <v>6.5</v>
      </c>
      <c r="C245" s="12">
        <v>6.5</v>
      </c>
      <c r="D245" s="12">
        <v>2.56</v>
      </c>
      <c r="E245" s="12">
        <v>1</v>
      </c>
    </row>
    <row r="246" spans="1:6" x14ac:dyDescent="0.25">
      <c r="A246" s="13">
        <v>13</v>
      </c>
      <c r="B246" s="12">
        <v>5</v>
      </c>
      <c r="C246" s="12">
        <v>5</v>
      </c>
      <c r="D246" s="12">
        <v>1.64</v>
      </c>
      <c r="E246" s="12">
        <v>1</v>
      </c>
    </row>
    <row r="247" spans="1:6" x14ac:dyDescent="0.25">
      <c r="A247" s="13">
        <v>14</v>
      </c>
      <c r="B247" s="12">
        <v>6</v>
      </c>
      <c r="C247" s="12">
        <v>5</v>
      </c>
      <c r="D247" s="12">
        <v>1.46</v>
      </c>
      <c r="E247" s="12">
        <v>1</v>
      </c>
    </row>
    <row r="248" spans="1:6" x14ac:dyDescent="0.25">
      <c r="A248" s="13">
        <v>15</v>
      </c>
      <c r="B248" s="12">
        <v>6.5</v>
      </c>
      <c r="C248" s="12">
        <v>6</v>
      </c>
      <c r="D248" s="12">
        <v>2.68</v>
      </c>
      <c r="E248" s="12">
        <v>1</v>
      </c>
    </row>
    <row r="249" spans="1:6" x14ac:dyDescent="0.25">
      <c r="A249" s="15" t="s">
        <v>11</v>
      </c>
      <c r="B249" s="16">
        <f>AVERAGE(B234:B248)</f>
        <v>5.9133333333333331</v>
      </c>
      <c r="C249" s="16">
        <f>AVERAGE(C234:C248)</f>
        <v>5.5</v>
      </c>
      <c r="D249" s="16">
        <f>AVERAGE(D234:D248)</f>
        <v>2.0753333333333335</v>
      </c>
      <c r="E249" s="16">
        <f>AVERAGE(E234:E248)</f>
        <v>0.76666666666666672</v>
      </c>
      <c r="F249" s="2" t="s">
        <v>12</v>
      </c>
    </row>
    <row r="250" spans="1:6" x14ac:dyDescent="0.25">
      <c r="A250" s="12" t="s">
        <v>13</v>
      </c>
      <c r="B250" s="17">
        <f>STDEV(B234:B248)</f>
        <v>1.2094075684675789</v>
      </c>
      <c r="C250" s="17">
        <f>STDEV(C234:C248)</f>
        <v>0.7559289460184544</v>
      </c>
      <c r="D250" s="17">
        <f>STDEV(D234:D248)</f>
        <v>0.58008455869648423</v>
      </c>
      <c r="E250" s="17">
        <f>STDEV(E234:E248)</f>
        <v>0.41690469391639601</v>
      </c>
      <c r="F250" s="2">
        <v>15</v>
      </c>
    </row>
    <row r="251" spans="1:6" x14ac:dyDescent="0.25">
      <c r="B251" s="14"/>
      <c r="C251" s="14"/>
      <c r="D251" s="14"/>
      <c r="E251" s="14"/>
    </row>
    <row r="253" spans="1:6" ht="24" customHeight="1" x14ac:dyDescent="0.25">
      <c r="A253" s="8" t="s">
        <v>62</v>
      </c>
      <c r="B253" s="36" t="s">
        <v>3</v>
      </c>
      <c r="C253" s="36" t="s">
        <v>4</v>
      </c>
      <c r="D253" s="36" t="s">
        <v>5</v>
      </c>
      <c r="E253" s="36" t="s">
        <v>6</v>
      </c>
    </row>
    <row r="254" spans="1:6" x14ac:dyDescent="0.25">
      <c r="A254" s="10" t="s">
        <v>7</v>
      </c>
      <c r="B254" s="36"/>
      <c r="C254" s="36"/>
      <c r="D254" s="36"/>
      <c r="E254" s="36"/>
    </row>
    <row r="255" spans="1:6" ht="15" customHeight="1" x14ac:dyDescent="0.25">
      <c r="A255" s="11">
        <v>1</v>
      </c>
      <c r="B255" s="12">
        <v>5</v>
      </c>
      <c r="C255" s="12">
        <v>5</v>
      </c>
      <c r="D255" s="12">
        <v>1.2</v>
      </c>
      <c r="E255" s="12">
        <v>1</v>
      </c>
    </row>
    <row r="256" spans="1:6" x14ac:dyDescent="0.25">
      <c r="A256" s="13">
        <v>2</v>
      </c>
      <c r="B256" s="12">
        <v>7</v>
      </c>
      <c r="C256" s="12">
        <v>6.5</v>
      </c>
      <c r="D256" s="12">
        <v>2.33</v>
      </c>
      <c r="E256" s="12">
        <v>0.5</v>
      </c>
    </row>
    <row r="257" spans="1:6" x14ac:dyDescent="0.25">
      <c r="A257" s="13">
        <v>3</v>
      </c>
      <c r="B257" s="12">
        <v>5</v>
      </c>
      <c r="C257" s="12">
        <v>4</v>
      </c>
      <c r="D257" s="12">
        <v>2.09</v>
      </c>
      <c r="E257" s="12">
        <v>1</v>
      </c>
    </row>
    <row r="258" spans="1:6" x14ac:dyDescent="0.25">
      <c r="A258" s="13">
        <v>4</v>
      </c>
      <c r="B258" s="12">
        <v>5</v>
      </c>
      <c r="C258" s="12">
        <v>5</v>
      </c>
      <c r="D258" s="12">
        <v>1.03</v>
      </c>
      <c r="E258" s="12">
        <v>1</v>
      </c>
    </row>
    <row r="259" spans="1:6" x14ac:dyDescent="0.25">
      <c r="A259" s="13">
        <v>5</v>
      </c>
      <c r="B259" s="12">
        <v>7</v>
      </c>
      <c r="C259" s="12">
        <v>5.5</v>
      </c>
      <c r="D259" s="12">
        <v>2.12</v>
      </c>
      <c r="E259" s="12">
        <v>1</v>
      </c>
    </row>
    <row r="260" spans="1:6" x14ac:dyDescent="0.25">
      <c r="A260" s="13">
        <v>6</v>
      </c>
      <c r="B260" s="12">
        <v>4.5</v>
      </c>
      <c r="C260" s="12">
        <v>4</v>
      </c>
      <c r="D260" s="12">
        <v>1.0900000000000001</v>
      </c>
      <c r="E260" s="12">
        <v>1</v>
      </c>
    </row>
    <row r="261" spans="1:6" ht="15" customHeight="1" x14ac:dyDescent="0.25">
      <c r="A261" s="13">
        <v>7</v>
      </c>
      <c r="B261" s="12">
        <v>10</v>
      </c>
      <c r="C261" s="12">
        <v>7</v>
      </c>
      <c r="D261" s="12">
        <v>3.92</v>
      </c>
      <c r="E261" s="12">
        <v>0</v>
      </c>
    </row>
    <row r="262" spans="1:6" x14ac:dyDescent="0.25">
      <c r="A262" s="13">
        <v>8</v>
      </c>
      <c r="B262" s="12">
        <v>8</v>
      </c>
      <c r="C262" s="12">
        <v>6.5</v>
      </c>
      <c r="D262" s="12">
        <v>2.76</v>
      </c>
      <c r="E262" s="12">
        <v>1</v>
      </c>
    </row>
    <row r="263" spans="1:6" x14ac:dyDescent="0.25">
      <c r="A263" s="13">
        <v>9</v>
      </c>
      <c r="B263" s="12">
        <v>5</v>
      </c>
      <c r="C263" s="12">
        <v>5</v>
      </c>
      <c r="D263" s="12">
        <v>1.44</v>
      </c>
      <c r="E263" s="12">
        <v>1</v>
      </c>
    </row>
    <row r="264" spans="1:6" x14ac:dyDescent="0.25">
      <c r="A264" s="13">
        <v>10</v>
      </c>
      <c r="B264" s="12">
        <v>5.5</v>
      </c>
      <c r="C264" s="12">
        <v>5</v>
      </c>
      <c r="D264" s="12">
        <v>1.67</v>
      </c>
      <c r="E264" s="12">
        <v>1</v>
      </c>
    </row>
    <row r="265" spans="1:6" x14ac:dyDescent="0.25">
      <c r="A265" s="13">
        <v>11</v>
      </c>
      <c r="B265" s="12">
        <v>8</v>
      </c>
      <c r="C265" s="12">
        <v>6.5</v>
      </c>
      <c r="D265" s="12">
        <v>3.41</v>
      </c>
      <c r="E265" s="12">
        <v>0</v>
      </c>
    </row>
    <row r="266" spans="1:6" x14ac:dyDescent="0.25">
      <c r="A266" s="13">
        <v>12</v>
      </c>
      <c r="B266" s="12">
        <v>6.5</v>
      </c>
      <c r="C266" s="12">
        <v>5</v>
      </c>
      <c r="D266" s="12">
        <v>2.2799999999999998</v>
      </c>
      <c r="E266" s="12">
        <v>1</v>
      </c>
    </row>
    <row r="267" spans="1:6" x14ac:dyDescent="0.25">
      <c r="A267" s="13">
        <v>13</v>
      </c>
      <c r="B267" s="12">
        <v>5</v>
      </c>
      <c r="C267" s="12">
        <v>5.5</v>
      </c>
      <c r="D267" s="12">
        <v>2.35</v>
      </c>
      <c r="E267" s="12">
        <v>1</v>
      </c>
    </row>
    <row r="268" spans="1:6" x14ac:dyDescent="0.25">
      <c r="A268" s="13">
        <v>14</v>
      </c>
      <c r="B268" s="12">
        <v>4</v>
      </c>
      <c r="C268" s="12">
        <v>3.5</v>
      </c>
      <c r="D268" s="12">
        <v>1.7</v>
      </c>
      <c r="E268" s="12">
        <v>1</v>
      </c>
    </row>
    <row r="269" spans="1:6" x14ac:dyDescent="0.25">
      <c r="A269" s="13">
        <v>15</v>
      </c>
      <c r="B269" s="12">
        <v>5.5</v>
      </c>
      <c r="C269" s="12">
        <v>5</v>
      </c>
      <c r="D269" s="12">
        <v>2.37</v>
      </c>
      <c r="E269" s="12">
        <v>1</v>
      </c>
    </row>
    <row r="270" spans="1:6" x14ac:dyDescent="0.25">
      <c r="A270" s="15" t="s">
        <v>11</v>
      </c>
      <c r="B270" s="16">
        <f>AVERAGE(B255:B269)</f>
        <v>6.0666666666666664</v>
      </c>
      <c r="C270" s="16">
        <f>AVERAGE(C255:C269)</f>
        <v>5.2666666666666666</v>
      </c>
      <c r="D270" s="16">
        <f>AVERAGE(D255:D269)</f>
        <v>2.1173333333333333</v>
      </c>
      <c r="E270" s="16">
        <f>AVERAGE(E255:E269)</f>
        <v>0.83333333333333337</v>
      </c>
      <c r="F270" s="2" t="s">
        <v>12</v>
      </c>
    </row>
    <row r="271" spans="1:6" x14ac:dyDescent="0.25">
      <c r="A271" s="12" t="s">
        <v>13</v>
      </c>
      <c r="B271" s="17">
        <f>STDEV(B255:B269)</f>
        <v>1.6460631244043484</v>
      </c>
      <c r="C271" s="17">
        <f>STDEV(C255:C269)</f>
        <v>1.0153582525160179</v>
      </c>
      <c r="D271" s="17">
        <f>STDEV(D255:D269)</f>
        <v>0.82098779064061034</v>
      </c>
      <c r="E271" s="17">
        <f>STDEV(E255:E269)</f>
        <v>0.36187343222787299</v>
      </c>
      <c r="F271" s="2">
        <v>15</v>
      </c>
    </row>
  </sheetData>
  <sheetProtection selectLockedCells="1" selectUnlockedCells="1"/>
  <mergeCells count="52">
    <mergeCell ref="B7:B8"/>
    <mergeCell ref="C7:C8"/>
    <mergeCell ref="D7:D8"/>
    <mergeCell ref="E7:E8"/>
    <mergeCell ref="I9:I10"/>
    <mergeCell ref="J9:J10"/>
    <mergeCell ref="K9:K10"/>
    <mergeCell ref="B43:B44"/>
    <mergeCell ref="C43:C44"/>
    <mergeCell ref="D43:D44"/>
    <mergeCell ref="E43:E44"/>
    <mergeCell ref="H9:H10"/>
    <mergeCell ref="B85:B86"/>
    <mergeCell ref="C85:C86"/>
    <mergeCell ref="D85:D86"/>
    <mergeCell ref="E85:E86"/>
    <mergeCell ref="B64:B65"/>
    <mergeCell ref="C64:C65"/>
    <mergeCell ref="D64:D65"/>
    <mergeCell ref="E64:E65"/>
    <mergeCell ref="B127:B128"/>
    <mergeCell ref="C127:C128"/>
    <mergeCell ref="D127:D128"/>
    <mergeCell ref="E127:E128"/>
    <mergeCell ref="B106:B107"/>
    <mergeCell ref="C106:C107"/>
    <mergeCell ref="D106:D107"/>
    <mergeCell ref="E106:E107"/>
    <mergeCell ref="B169:B170"/>
    <mergeCell ref="C169:C170"/>
    <mergeCell ref="D169:D170"/>
    <mergeCell ref="E169:E170"/>
    <mergeCell ref="B148:B149"/>
    <mergeCell ref="C148:C149"/>
    <mergeCell ref="D148:D149"/>
    <mergeCell ref="E148:E149"/>
    <mergeCell ref="B211:B212"/>
    <mergeCell ref="C211:C212"/>
    <mergeCell ref="D211:D212"/>
    <mergeCell ref="E211:E212"/>
    <mergeCell ref="B190:B191"/>
    <mergeCell ref="C190:C191"/>
    <mergeCell ref="D190:D191"/>
    <mergeCell ref="E190:E191"/>
    <mergeCell ref="B253:B254"/>
    <mergeCell ref="C253:C254"/>
    <mergeCell ref="D253:D254"/>
    <mergeCell ref="E253:E254"/>
    <mergeCell ref="B232:B233"/>
    <mergeCell ref="C232:C233"/>
    <mergeCell ref="D232:D233"/>
    <mergeCell ref="E232:E233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zoomScale="80" zoomScaleNormal="80" workbookViewId="0">
      <selection activeCell="N22" sqref="N22"/>
    </sheetView>
  </sheetViews>
  <sheetFormatPr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e">
        <f>'Tabelle 1'!#REF!</f>
        <v>#REF!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 xml:space="preserve">date of measurement: </v>
      </c>
    </row>
    <row r="5" spans="1:13" ht="32.1" customHeight="1" x14ac:dyDescent="0.25">
      <c r="A5" s="12"/>
      <c r="B5" s="19" t="str">
        <f>'Tabelle 1'!A7</f>
        <v xml:space="preserve">MOCK A </v>
      </c>
      <c r="C5" s="9" t="str">
        <f>'Tabelle 1'!A43</f>
        <v>MOCK B</v>
      </c>
      <c r="D5" s="9" t="str">
        <f>'Tabelle 1'!A64</f>
        <v>WT A</v>
      </c>
      <c r="E5" s="9" t="str">
        <f>'Tabelle 1'!A85</f>
        <v>WT B</v>
      </c>
      <c r="F5" s="9" t="str">
        <f>'Tabelle 1'!A106</f>
        <v>ΔNML1 c8</v>
      </c>
      <c r="G5" s="9" t="str">
        <f>'Tabelle 1'!A127</f>
        <v>ΔNML1 c9</v>
      </c>
      <c r="H5" s="9" t="str">
        <f>'Tabelle 1'!A148</f>
        <v>ΔAML1 c2</v>
      </c>
      <c r="I5" s="9" t="str">
        <f>'Tabelle 1'!A169</f>
        <v>ΔAML1 c3</v>
      </c>
      <c r="J5" s="9" t="str">
        <f>'Tabelle 1'!A190</f>
        <v>AML1-NoGFP c2</v>
      </c>
      <c r="K5" s="9" t="str">
        <f>'Tabelle 1'!A211</f>
        <v>AML1-NoGFP c10</v>
      </c>
      <c r="L5" s="9" t="str">
        <f>'Tabelle 1'!A232</f>
        <v>AML1-GFP c12</v>
      </c>
      <c r="M5" s="9" t="str">
        <f>'Tabelle 1'!A253</f>
        <v>AML1-GFP c14</v>
      </c>
    </row>
    <row r="6" spans="1:13" ht="12.75" customHeight="1" x14ac:dyDescent="0.3">
      <c r="A6" s="37" t="s">
        <v>14</v>
      </c>
      <c r="B6" s="20">
        <f>'Tabelle 1'!B39</f>
        <v>8.35</v>
      </c>
      <c r="C6" s="16">
        <f>'Tabelle 1'!B60</f>
        <v>9.1999999999999993</v>
      </c>
      <c r="D6" s="21">
        <f>'Tabelle 1'!B81</f>
        <v>4.1333333333333337</v>
      </c>
      <c r="E6" s="21">
        <f>'Tabelle 1'!B102</f>
        <v>5.0333333333333332</v>
      </c>
      <c r="F6" s="20">
        <f>'Tabelle 1'!B123</f>
        <v>6.7</v>
      </c>
      <c r="G6" s="20">
        <f>'Tabelle 1'!B144</f>
        <v>6.4642857142857144</v>
      </c>
      <c r="H6" s="20">
        <f>'Tabelle 1'!B165</f>
        <v>6.166666666666667</v>
      </c>
      <c r="I6" s="20">
        <f>'Tabelle 1'!B186</f>
        <v>6.7</v>
      </c>
      <c r="J6" s="20">
        <f>'Tabelle 1'!B207</f>
        <v>4.9333333333333336</v>
      </c>
      <c r="K6" s="20">
        <f>'Tabelle 1'!B228</f>
        <v>4.7666666666666666</v>
      </c>
      <c r="L6" s="20">
        <f>'Tabelle 1'!B249</f>
        <v>5.9133333333333331</v>
      </c>
      <c r="M6" s="20">
        <f>'Tabelle 1'!B270</f>
        <v>6.0666666666666664</v>
      </c>
    </row>
    <row r="7" spans="1:13" ht="14.4" x14ac:dyDescent="0.3">
      <c r="A7" s="37"/>
      <c r="B7" s="17">
        <f>'Tabelle 1'!B40</f>
        <v>1.7525842987251496</v>
      </c>
      <c r="C7" s="22">
        <f>'Tabelle 1'!B61</f>
        <v>1.9346465162548816</v>
      </c>
      <c r="D7" s="23">
        <f>'Tabelle 1'!B82</f>
        <v>1.4816335900748525</v>
      </c>
      <c r="E7" s="23">
        <f>'Tabelle 1'!B103</f>
        <v>0.8549575316659781</v>
      </c>
      <c r="F7" s="17">
        <f>'Tabelle 1'!B124</f>
        <v>1.2789504625724502</v>
      </c>
      <c r="G7" s="17">
        <f>'Tabelle 1'!B145</f>
        <v>1.2628460792116443</v>
      </c>
      <c r="H7" s="17">
        <f>'Tabelle 1'!B166</f>
        <v>1.6109742689559314</v>
      </c>
      <c r="I7" s="17">
        <f>'Tabelle 1'!B187</f>
        <v>0.67612340378281321</v>
      </c>
      <c r="J7" s="17">
        <f>'Tabelle 1'!B208</f>
        <v>1.5453463165566605</v>
      </c>
      <c r="K7" s="17">
        <f>'Tabelle 1'!B229</f>
        <v>1.4125289714685838</v>
      </c>
      <c r="L7" s="17">
        <f>'Tabelle 1'!B250</f>
        <v>1.2094075684675789</v>
      </c>
      <c r="M7" s="17">
        <f>'Tabelle 1'!B271</f>
        <v>1.6460631244043484</v>
      </c>
    </row>
    <row r="8" spans="1:13" ht="12.75" customHeight="1" x14ac:dyDescent="0.3">
      <c r="A8" s="37" t="s">
        <v>15</v>
      </c>
      <c r="B8" s="20">
        <f>'Tabelle 1'!C39</f>
        <v>6.916666666666667</v>
      </c>
      <c r="C8" s="16">
        <f>'Tabelle 1'!C60</f>
        <v>7.1333333333333337</v>
      </c>
      <c r="D8" s="21">
        <f>'Tabelle 1'!C81</f>
        <v>4.0333333333333332</v>
      </c>
      <c r="E8" s="21">
        <f>'Tabelle 1'!C102</f>
        <v>4.833333333333333</v>
      </c>
      <c r="F8" s="20">
        <f>'Tabelle 1'!C123</f>
        <v>5.7333333333333334</v>
      </c>
      <c r="G8" s="20">
        <f>'Tabelle 1'!C144</f>
        <v>6.1785714285714288</v>
      </c>
      <c r="H8" s="20">
        <f>'Tabelle 1'!C165</f>
        <v>5.1333333333333337</v>
      </c>
      <c r="I8" s="20">
        <f>'Tabelle 1'!C186</f>
        <v>6.0666666666666664</v>
      </c>
      <c r="J8" s="20">
        <f>'Tabelle 1'!C207</f>
        <v>4.7333333333333334</v>
      </c>
      <c r="K8" s="20">
        <f>'Tabelle 1'!C228</f>
        <v>4.333333333333333</v>
      </c>
      <c r="L8" s="20">
        <f>'Tabelle 1'!C249</f>
        <v>5.5</v>
      </c>
      <c r="M8" s="20">
        <f>'Tabelle 1'!C270</f>
        <v>5.2666666666666666</v>
      </c>
    </row>
    <row r="9" spans="1:13" ht="14.4" x14ac:dyDescent="0.3">
      <c r="A9" s="37"/>
      <c r="B9" s="17">
        <f>'Tabelle 1'!C40</f>
        <v>0.77774356793950217</v>
      </c>
      <c r="C9" s="22">
        <f>'Tabelle 1'!C61</f>
        <v>0.61139964328540775</v>
      </c>
      <c r="D9" s="23">
        <f>'Tabelle 1'!C82</f>
        <v>1.1254628677422751</v>
      </c>
      <c r="E9" s="23">
        <f>'Tabelle 1'!C103</f>
        <v>0.99402979738800423</v>
      </c>
      <c r="F9" s="17">
        <f>'Tabelle 1'!C124</f>
        <v>0.97955286203645475</v>
      </c>
      <c r="G9" s="17">
        <f>'Tabelle 1'!C145</f>
        <v>0.91161612318121998</v>
      </c>
      <c r="H9" s="17">
        <f>'Tabelle 1'!C166</f>
        <v>0.91547541643412755</v>
      </c>
      <c r="I9" s="17">
        <f>'Tabelle 1'!C187</f>
        <v>1.1317916685293177</v>
      </c>
      <c r="J9" s="17">
        <f>'Tabelle 1'!C208</f>
        <v>1.0327955589886446</v>
      </c>
      <c r="K9" s="17">
        <f>'Tabelle 1'!C229</f>
        <v>1.2909944487358052</v>
      </c>
      <c r="L9" s="17">
        <f>'Tabelle 1'!C250</f>
        <v>0.7559289460184544</v>
      </c>
      <c r="M9" s="17">
        <f>'Tabelle 1'!C271</f>
        <v>1.0153582525160179</v>
      </c>
    </row>
    <row r="10" spans="1:13" ht="12.75" customHeight="1" x14ac:dyDescent="0.3">
      <c r="A10" s="37" t="s">
        <v>5</v>
      </c>
      <c r="B10" s="20">
        <f>'Tabelle 1'!D39</f>
        <v>3.4383333333333335</v>
      </c>
      <c r="C10" s="16">
        <f>'Tabelle 1'!D60</f>
        <v>3.8266666666666671</v>
      </c>
      <c r="D10" s="21">
        <f>'Tabelle 1'!D81</f>
        <v>1.0086666666666668</v>
      </c>
      <c r="E10" s="21">
        <f>'Tabelle 1'!D102</f>
        <v>1.4893333333333334</v>
      </c>
      <c r="F10" s="20">
        <f>'Tabelle 1'!D123</f>
        <v>2.0226666666666664</v>
      </c>
      <c r="G10" s="20">
        <f>'Tabelle 1'!D144</f>
        <v>2.12</v>
      </c>
      <c r="H10" s="20">
        <f>'Tabelle 1'!D165</f>
        <v>1.7199999999999998</v>
      </c>
      <c r="I10" s="20">
        <f>'Tabelle 1'!D186</f>
        <v>2.3973333333333331</v>
      </c>
      <c r="J10" s="20">
        <f>'Tabelle 1'!D207</f>
        <v>1.6159999999999999</v>
      </c>
      <c r="K10" s="20">
        <f>'Tabelle 1'!D228</f>
        <v>1.4153333333333333</v>
      </c>
      <c r="L10" s="20">
        <f>'Tabelle 1'!D249</f>
        <v>2.0753333333333335</v>
      </c>
      <c r="M10" s="20">
        <f>'Tabelle 1'!D270</f>
        <v>2.1173333333333333</v>
      </c>
    </row>
    <row r="11" spans="1:13" ht="14.4" x14ac:dyDescent="0.3">
      <c r="A11" s="37"/>
      <c r="B11" s="17">
        <f>'Tabelle 1'!D40</f>
        <v>0.92507999032826693</v>
      </c>
      <c r="C11" s="22">
        <f>'Tabelle 1'!D61</f>
        <v>0.77892477783403691</v>
      </c>
      <c r="D11" s="23">
        <f>'Tabelle 1'!D82</f>
        <v>0.7463134793930829</v>
      </c>
      <c r="E11" s="23">
        <f>'Tabelle 1'!D103</f>
        <v>0.59175847711553331</v>
      </c>
      <c r="F11" s="17">
        <f>'Tabelle 1'!D124</f>
        <v>0.71524687712572088</v>
      </c>
      <c r="G11" s="17">
        <f>'Tabelle 1'!D145</f>
        <v>0.75094811866271838</v>
      </c>
      <c r="H11" s="17">
        <f>'Tabelle 1'!D166</f>
        <v>0.74820738148877308</v>
      </c>
      <c r="I11" s="17">
        <f>'Tabelle 1'!D187</f>
        <v>0.79145856914096824</v>
      </c>
      <c r="J11" s="17">
        <f>'Tabelle 1'!D208</f>
        <v>1.0244217881322124</v>
      </c>
      <c r="K11" s="17">
        <f>'Tabelle 1'!D229</f>
        <v>0.93552022705984028</v>
      </c>
      <c r="L11" s="17">
        <f>'Tabelle 1'!D250</f>
        <v>0.58008455869648423</v>
      </c>
      <c r="M11" s="17">
        <f>'Tabelle 1'!D271</f>
        <v>0.82098779064061034</v>
      </c>
    </row>
    <row r="12" spans="1:13" ht="12.75" customHeight="1" x14ac:dyDescent="0.3">
      <c r="A12" s="37" t="s">
        <v>16</v>
      </c>
      <c r="B12" s="20">
        <f>'Tabelle 1'!E39</f>
        <v>0</v>
      </c>
      <c r="C12" s="16">
        <f>'Tabelle 1'!E60</f>
        <v>0</v>
      </c>
      <c r="D12" s="21">
        <f>'Tabelle 1'!E81</f>
        <v>1</v>
      </c>
      <c r="E12" s="21">
        <f>'Tabelle 1'!E102</f>
        <v>0.96666666666666667</v>
      </c>
      <c r="F12" s="20">
        <f>'Tabelle 1'!E123</f>
        <v>0.8</v>
      </c>
      <c r="G12" s="20">
        <f>'Tabelle 1'!E144</f>
        <v>0.9642857142857143</v>
      </c>
      <c r="H12" s="20">
        <f>'Tabelle 1'!E165</f>
        <v>0.96666666666666667</v>
      </c>
      <c r="I12" s="20">
        <f>'Tabelle 1'!E186</f>
        <v>0.8</v>
      </c>
      <c r="J12" s="20">
        <f>'Tabelle 1'!E207</f>
        <v>0.8666666666666667</v>
      </c>
      <c r="K12" s="20">
        <f>'Tabelle 1'!E228</f>
        <v>1</v>
      </c>
      <c r="L12" s="20">
        <f>'Tabelle 1'!E249</f>
        <v>0.76666666666666672</v>
      </c>
      <c r="M12" s="20">
        <f>'Tabelle 1'!E270</f>
        <v>0.83333333333333337</v>
      </c>
    </row>
    <row r="13" spans="1:13" ht="14.4" x14ac:dyDescent="0.3">
      <c r="A13" s="37"/>
      <c r="B13" s="17">
        <f>'Tabelle 1'!E40</f>
        <v>0</v>
      </c>
      <c r="C13" s="22">
        <f>'Tabelle 1'!E61</f>
        <v>0</v>
      </c>
      <c r="D13" s="23">
        <f>'Tabelle 1'!E82</f>
        <v>0</v>
      </c>
      <c r="E13" s="23">
        <f>'Tabelle 1'!E103</f>
        <v>0.12909944487358033</v>
      </c>
      <c r="F13" s="17">
        <f>'Tabelle 1'!E124</f>
        <v>0.41403933560541256</v>
      </c>
      <c r="G13" s="17">
        <f>'Tabelle 1'!E145</f>
        <v>0.13363062095621234</v>
      </c>
      <c r="H13" s="17">
        <f>'Tabelle 1'!E166</f>
        <v>0.12909944487358033</v>
      </c>
      <c r="I13" s="17">
        <f>'Tabelle 1'!E187</f>
        <v>0.36839419880650365</v>
      </c>
      <c r="J13" s="17">
        <f>'Tabelle 1'!E208</f>
        <v>0.3518657752744983</v>
      </c>
      <c r="K13" s="17">
        <f>'Tabelle 1'!E229</f>
        <v>0</v>
      </c>
      <c r="L13" s="17">
        <f>'Tabelle 1'!E250</f>
        <v>0.41690469391639601</v>
      </c>
      <c r="M13" s="17">
        <f>'Tabelle 1'!E271</f>
        <v>0.36187343222787299</v>
      </c>
    </row>
    <row r="14" spans="1:13" x14ac:dyDescent="0.25">
      <c r="A14" s="1" t="s">
        <v>12</v>
      </c>
      <c r="B14" s="1">
        <f>'Tabelle 1'!F40</f>
        <v>15</v>
      </c>
      <c r="C14" s="1">
        <f>'Tabelle 1'!F61</f>
        <v>15</v>
      </c>
      <c r="D14" s="1">
        <f>'Tabelle 1'!F82</f>
        <v>15</v>
      </c>
      <c r="E14" s="1">
        <f>'Tabelle 1'!F103</f>
        <v>15</v>
      </c>
      <c r="F14" s="1">
        <f>'Tabelle 1'!F124</f>
        <v>15</v>
      </c>
      <c r="G14" s="1">
        <f>'Tabelle 1'!F145</f>
        <v>15</v>
      </c>
      <c r="H14" s="1">
        <f>'Tabelle 1'!F166</f>
        <v>15</v>
      </c>
      <c r="I14" s="1">
        <f>'Tabelle 1'!F187</f>
        <v>15</v>
      </c>
      <c r="J14" s="1">
        <f>'Tabelle 1'!F208</f>
        <v>15</v>
      </c>
      <c r="K14" s="1">
        <f>'Tabelle 1'!F229</f>
        <v>15</v>
      </c>
      <c r="L14" s="1">
        <f>'Tabelle 1'!F250</f>
        <v>15</v>
      </c>
      <c r="M14" s="1">
        <f>'Tabelle 1'!F271</f>
        <v>15</v>
      </c>
    </row>
    <row r="15" spans="1:13" ht="14.4" x14ac:dyDescent="0.3">
      <c r="A15" s="24"/>
      <c r="B15" s="24"/>
      <c r="C15" s="24"/>
      <c r="D15" s="24"/>
      <c r="E15" s="24"/>
      <c r="F15" s="24"/>
      <c r="G15" s="24"/>
      <c r="H15" s="24"/>
    </row>
    <row r="16" spans="1:13" ht="14.4" x14ac:dyDescent="0.3">
      <c r="A16" s="24"/>
      <c r="B16" s="24"/>
      <c r="C16" s="24"/>
      <c r="D16" s="24"/>
      <c r="E16" s="24"/>
      <c r="F16" s="24"/>
      <c r="G16" s="24"/>
      <c r="H16" s="24"/>
      <c r="I16" s="25" t="s">
        <v>17</v>
      </c>
      <c r="J16" s="24"/>
    </row>
    <row r="17" spans="1:10" ht="14.4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.4" x14ac:dyDescent="0.3">
      <c r="I18" s="25" t="s">
        <v>18</v>
      </c>
      <c r="J18" s="24"/>
    </row>
    <row r="19" spans="1:10" x14ac:dyDescent="0.25">
      <c r="I19" s="9"/>
    </row>
    <row r="20" spans="1:10" x14ac:dyDescent="0.25">
      <c r="I20" s="9"/>
    </row>
    <row r="21" spans="1:10" ht="21" x14ac:dyDescent="0.4">
      <c r="A21" s="26"/>
      <c r="I21" s="9"/>
    </row>
    <row r="22" spans="1:10" x14ac:dyDescent="0.25">
      <c r="I22" s="9"/>
    </row>
    <row r="25" spans="1:10" ht="14.4" x14ac:dyDescent="0.3">
      <c r="I25" s="25" t="s">
        <v>8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5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4"/>
      <c r="H44" s="24"/>
    </row>
    <row r="45" spans="7:9" ht="14.4" x14ac:dyDescent="0.3">
      <c r="G45" s="24"/>
      <c r="H45" s="24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4"/>
      <c r="H53" s="24"/>
    </row>
    <row r="54" spans="7:8" ht="14.4" x14ac:dyDescent="0.3">
      <c r="G54" s="24"/>
      <c r="H54" s="24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C1" zoomScale="98" workbookViewId="0">
      <selection activeCell="G13" sqref="G13"/>
    </sheetView>
  </sheetViews>
  <sheetFormatPr defaultColWidth="10.88671875" defaultRowHeight="15.6" x14ac:dyDescent="0.3"/>
  <cols>
    <col min="1" max="2" width="10.88671875" style="27"/>
    <col min="3" max="3" width="9.44140625" style="27" customWidth="1"/>
    <col min="4" max="4" width="4" style="27" customWidth="1"/>
    <col min="5" max="5" width="9.44140625" style="27" customWidth="1"/>
    <col min="6" max="6" width="11.88671875" style="27" customWidth="1"/>
    <col min="7" max="16384" width="10.88671875" style="27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e">
        <f>'Tabelle 1'!#REF!</f>
        <v>#REF!</v>
      </c>
    </row>
    <row r="2" spans="1:12" x14ac:dyDescent="0.3">
      <c r="A2" s="28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8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8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29" t="s">
        <v>22</v>
      </c>
      <c r="B8" s="30" t="s">
        <v>23</v>
      </c>
      <c r="C8" s="30" t="s">
        <v>19</v>
      </c>
      <c r="D8" s="30"/>
      <c r="E8" s="29" t="s">
        <v>24</v>
      </c>
      <c r="F8" s="30"/>
      <c r="G8" s="30"/>
      <c r="H8" s="30" t="s">
        <v>25</v>
      </c>
    </row>
    <row r="9" spans="1:12" x14ac:dyDescent="0.3">
      <c r="B9" s="30" t="s">
        <v>30</v>
      </c>
      <c r="C9" s="27">
        <v>0</v>
      </c>
      <c r="F9" s="30">
        <f>C9</f>
        <v>0</v>
      </c>
      <c r="G9" s="30">
        <v>0</v>
      </c>
      <c r="H9" s="30">
        <v>5</v>
      </c>
      <c r="J9" s="32">
        <v>0</v>
      </c>
      <c r="K9" s="32">
        <v>5</v>
      </c>
      <c r="L9" s="32" t="s">
        <v>31</v>
      </c>
    </row>
    <row r="10" spans="1:12" x14ac:dyDescent="0.3">
      <c r="B10" s="30" t="s">
        <v>29</v>
      </c>
      <c r="C10" s="27">
        <v>0.1</v>
      </c>
      <c r="E10" s="29">
        <v>39</v>
      </c>
      <c r="F10" s="30">
        <f>0.001*G13</f>
        <v>8.3499999999999998E-3</v>
      </c>
      <c r="G10" s="30">
        <f>0.39*G13</f>
        <v>3.2565</v>
      </c>
      <c r="H10" s="30">
        <v>4</v>
      </c>
      <c r="J10" s="32">
        <f>F10</f>
        <v>8.3499999999999998E-3</v>
      </c>
      <c r="K10" s="32">
        <v>4</v>
      </c>
      <c r="L10" s="27" t="s">
        <v>33</v>
      </c>
    </row>
    <row r="11" spans="1:12" x14ac:dyDescent="0.3">
      <c r="B11" s="30" t="s">
        <v>28</v>
      </c>
      <c r="C11" s="30">
        <v>40</v>
      </c>
      <c r="D11" s="30" t="s">
        <v>20</v>
      </c>
      <c r="E11" s="29">
        <v>59</v>
      </c>
      <c r="F11" s="30">
        <f>0.4*G13</f>
        <v>3.34</v>
      </c>
      <c r="G11" s="30">
        <f>0.59*G13</f>
        <v>4.9264999999999999</v>
      </c>
      <c r="H11" s="30">
        <v>3</v>
      </c>
      <c r="J11" s="32">
        <f>F11</f>
        <v>3.34</v>
      </c>
      <c r="K11" s="32">
        <v>3</v>
      </c>
    </row>
    <row r="12" spans="1:12" x14ac:dyDescent="0.3">
      <c r="B12" s="30" t="s">
        <v>27</v>
      </c>
      <c r="C12" s="30">
        <v>60</v>
      </c>
      <c r="D12" s="30" t="s">
        <v>20</v>
      </c>
      <c r="E12" s="29">
        <v>79</v>
      </c>
      <c r="F12" s="30">
        <f>0.6*G13</f>
        <v>5.01</v>
      </c>
      <c r="G12" s="30">
        <f>0.79*G13</f>
        <v>6.5964999999999998</v>
      </c>
      <c r="H12" s="30">
        <v>2</v>
      </c>
      <c r="J12" s="32">
        <f>F12</f>
        <v>5.01</v>
      </c>
      <c r="K12" s="32">
        <v>2</v>
      </c>
    </row>
    <row r="13" spans="1:12" x14ac:dyDescent="0.3">
      <c r="B13" s="29" t="s">
        <v>26</v>
      </c>
      <c r="C13" s="29">
        <v>80</v>
      </c>
      <c r="D13" s="29" t="s">
        <v>20</v>
      </c>
      <c r="E13" s="29">
        <v>100</v>
      </c>
      <c r="F13" s="30">
        <f>0.8*G13</f>
        <v>6.68</v>
      </c>
      <c r="G13" s="31">
        <f>'Tabelle 1'!B39</f>
        <v>8.35</v>
      </c>
      <c r="H13" s="30">
        <v>1</v>
      </c>
      <c r="J13" s="32">
        <f>F13</f>
        <v>6.68</v>
      </c>
      <c r="K13" s="32">
        <v>1</v>
      </c>
    </row>
    <row r="14" spans="1:12" x14ac:dyDescent="0.3">
      <c r="A14" s="30"/>
      <c r="B14" s="30"/>
      <c r="C14" s="30"/>
      <c r="D14" s="30"/>
      <c r="E14" s="30"/>
      <c r="F14" s="30"/>
      <c r="G14" s="30"/>
      <c r="H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</row>
    <row r="17" spans="1:11" x14ac:dyDescent="0.3">
      <c r="A17" s="29" t="s">
        <v>32</v>
      </c>
      <c r="B17" s="30" t="s">
        <v>23</v>
      </c>
      <c r="C17" s="30" t="s">
        <v>19</v>
      </c>
      <c r="E17" s="29" t="s">
        <v>24</v>
      </c>
      <c r="F17" s="30"/>
      <c r="G17" s="30"/>
      <c r="H17" s="30" t="s">
        <v>25</v>
      </c>
    </row>
    <row r="18" spans="1:11" x14ac:dyDescent="0.3">
      <c r="B18" s="30" t="s">
        <v>30</v>
      </c>
      <c r="C18" s="27">
        <v>0</v>
      </c>
      <c r="F18" s="27">
        <f>C18</f>
        <v>0</v>
      </c>
      <c r="H18" s="27">
        <v>5</v>
      </c>
      <c r="J18" s="27">
        <f>F18</f>
        <v>0</v>
      </c>
      <c r="K18" s="27">
        <f>H18</f>
        <v>5</v>
      </c>
    </row>
    <row r="19" spans="1:11" x14ac:dyDescent="0.3">
      <c r="B19" s="30" t="s">
        <v>29</v>
      </c>
      <c r="C19" s="27">
        <v>0.1</v>
      </c>
      <c r="E19" s="29">
        <v>39</v>
      </c>
      <c r="F19" s="30">
        <f>0.001*G22</f>
        <v>6.9166666666666673E-3</v>
      </c>
      <c r="G19" s="30">
        <f>0.39*G22</f>
        <v>2.6975000000000002</v>
      </c>
      <c r="H19" s="30">
        <v>4</v>
      </c>
      <c r="J19" s="27">
        <f>F19</f>
        <v>6.9166666666666673E-3</v>
      </c>
      <c r="K19" s="27">
        <f>H19</f>
        <v>4</v>
      </c>
    </row>
    <row r="20" spans="1:11" x14ac:dyDescent="0.3">
      <c r="B20" s="30" t="s">
        <v>28</v>
      </c>
      <c r="C20" s="30">
        <v>40</v>
      </c>
      <c r="D20" s="30" t="s">
        <v>20</v>
      </c>
      <c r="E20" s="29">
        <v>59</v>
      </c>
      <c r="F20" s="30">
        <f>0.4*G22</f>
        <v>2.7666666666666671</v>
      </c>
      <c r="G20" s="30">
        <f>0.59*G22</f>
        <v>4.0808333333333335</v>
      </c>
      <c r="H20" s="30">
        <v>3</v>
      </c>
      <c r="J20" s="27">
        <f>F20</f>
        <v>2.7666666666666671</v>
      </c>
      <c r="K20" s="27">
        <f>H20</f>
        <v>3</v>
      </c>
    </row>
    <row r="21" spans="1:11" x14ac:dyDescent="0.3">
      <c r="B21" s="30" t="s">
        <v>27</v>
      </c>
      <c r="C21" s="30">
        <v>60</v>
      </c>
      <c r="D21" s="30" t="s">
        <v>20</v>
      </c>
      <c r="E21" s="29">
        <v>79</v>
      </c>
      <c r="F21" s="30">
        <f>0.6*G22</f>
        <v>4.1500000000000004</v>
      </c>
      <c r="G21" s="30">
        <f>0.79*G22</f>
        <v>5.4641666666666673</v>
      </c>
      <c r="H21" s="30">
        <v>2</v>
      </c>
      <c r="J21" s="27">
        <f>F21</f>
        <v>4.1500000000000004</v>
      </c>
      <c r="K21" s="27">
        <f>H21</f>
        <v>2</v>
      </c>
    </row>
    <row r="22" spans="1:11" x14ac:dyDescent="0.3">
      <c r="B22" s="29" t="s">
        <v>26</v>
      </c>
      <c r="C22" s="29">
        <v>80</v>
      </c>
      <c r="D22" s="29" t="s">
        <v>20</v>
      </c>
      <c r="E22" s="29">
        <v>100</v>
      </c>
      <c r="F22" s="30">
        <f>0.8*G22</f>
        <v>5.5333333333333341</v>
      </c>
      <c r="G22" s="31">
        <f>'Tabelle 1'!C39</f>
        <v>6.916666666666667</v>
      </c>
      <c r="H22" s="30">
        <v>1</v>
      </c>
      <c r="J22" s="27">
        <f>F22</f>
        <v>5.5333333333333341</v>
      </c>
      <c r="K22" s="27">
        <f>H22</f>
        <v>1</v>
      </c>
    </row>
    <row r="25" spans="1:11" x14ac:dyDescent="0.3">
      <c r="A25" s="30" t="s">
        <v>21</v>
      </c>
      <c r="B25" s="30" t="s">
        <v>23</v>
      </c>
      <c r="C25" s="30" t="s">
        <v>19</v>
      </c>
      <c r="E25" s="29" t="s">
        <v>24</v>
      </c>
      <c r="F25" s="30"/>
      <c r="G25" s="30"/>
      <c r="H25" s="30" t="s">
        <v>25</v>
      </c>
    </row>
    <row r="26" spans="1:11" x14ac:dyDescent="0.3">
      <c r="B26" s="30" t="s">
        <v>30</v>
      </c>
      <c r="C26" s="27">
        <v>0</v>
      </c>
      <c r="F26" s="27">
        <f>C26</f>
        <v>0</v>
      </c>
      <c r="H26" s="27">
        <v>5</v>
      </c>
      <c r="J26" s="27">
        <f>F26</f>
        <v>0</v>
      </c>
      <c r="K26" s="27">
        <f>H26</f>
        <v>5</v>
      </c>
    </row>
    <row r="27" spans="1:11" x14ac:dyDescent="0.3">
      <c r="B27" s="30" t="s">
        <v>29</v>
      </c>
      <c r="C27" s="27">
        <v>0.1</v>
      </c>
      <c r="E27" s="29">
        <v>39</v>
      </c>
      <c r="F27" s="30">
        <f>0.01*$G$30</f>
        <v>3.4383333333333335E-2</v>
      </c>
      <c r="G27" s="30">
        <f>0.39*$G$30</f>
        <v>1.3409500000000001</v>
      </c>
      <c r="H27" s="30">
        <v>4</v>
      </c>
      <c r="J27" s="27">
        <f>F27</f>
        <v>3.4383333333333335E-2</v>
      </c>
      <c r="K27" s="27">
        <f>H27</f>
        <v>4</v>
      </c>
    </row>
    <row r="28" spans="1:11" x14ac:dyDescent="0.3">
      <c r="B28" s="30" t="s">
        <v>28</v>
      </c>
      <c r="C28" s="30">
        <v>40</v>
      </c>
      <c r="D28" s="30" t="s">
        <v>20</v>
      </c>
      <c r="E28" s="29">
        <v>59</v>
      </c>
      <c r="F28" s="30">
        <f>0.4*$G$30</f>
        <v>1.3753333333333335</v>
      </c>
      <c r="G28" s="30">
        <f>0.59*$G$30</f>
        <v>2.0286166666666667</v>
      </c>
      <c r="H28" s="30">
        <v>3</v>
      </c>
      <c r="J28" s="27">
        <f>F28</f>
        <v>1.3753333333333335</v>
      </c>
      <c r="K28" s="27">
        <f>H28</f>
        <v>3</v>
      </c>
    </row>
    <row r="29" spans="1:11" x14ac:dyDescent="0.3">
      <c r="B29" s="30" t="s">
        <v>27</v>
      </c>
      <c r="C29" s="30">
        <v>60</v>
      </c>
      <c r="D29" s="30" t="s">
        <v>20</v>
      </c>
      <c r="E29" s="29">
        <v>79</v>
      </c>
      <c r="F29" s="30">
        <f>0.6*$G$30</f>
        <v>2.0630000000000002</v>
      </c>
      <c r="G29" s="30">
        <f>0.79*$G$30</f>
        <v>2.7162833333333336</v>
      </c>
      <c r="H29" s="30">
        <v>2</v>
      </c>
      <c r="J29" s="27">
        <f>F29</f>
        <v>2.0630000000000002</v>
      </c>
      <c r="K29" s="27">
        <f>H29</f>
        <v>2</v>
      </c>
    </row>
    <row r="30" spans="1:11" x14ac:dyDescent="0.3">
      <c r="B30" s="29" t="s">
        <v>26</v>
      </c>
      <c r="C30" s="29">
        <v>80</v>
      </c>
      <c r="D30" s="29" t="s">
        <v>20</v>
      </c>
      <c r="E30" s="29">
        <v>100</v>
      </c>
      <c r="F30" s="30">
        <f>0.8*$G$30</f>
        <v>2.750666666666667</v>
      </c>
      <c r="G30" s="31">
        <f>'Tabelle 1'!D39</f>
        <v>3.4383333333333335</v>
      </c>
      <c r="H30" s="30">
        <v>1</v>
      </c>
      <c r="J30" s="27">
        <f>F30</f>
        <v>2.750666666666667</v>
      </c>
      <c r="K30" s="27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69"/>
  <sheetViews>
    <sheetView topLeftCell="B1" zoomScale="99" workbookViewId="0">
      <selection activeCell="P1" sqref="P1:R8"/>
    </sheetView>
  </sheetViews>
  <sheetFormatPr defaultColWidth="10.88671875" defaultRowHeight="13.8" x14ac:dyDescent="0.25"/>
  <cols>
    <col min="1" max="11" width="10.88671875" style="1"/>
    <col min="12" max="12" width="21" style="1" customWidth="1"/>
    <col min="13" max="13" width="10.88671875" style="1"/>
    <col min="14" max="14" width="9.109375" style="1" customWidth="1"/>
    <col min="15" max="16" width="10.88671875" style="1"/>
    <col min="17" max="17" width="13.5546875" style="1" customWidth="1"/>
    <col min="18" max="18" width="12.88671875" style="1" customWidth="1"/>
    <col min="19" max="16384" width="10.88671875" style="1"/>
  </cols>
  <sheetData>
    <row r="1" spans="1:18" x14ac:dyDescent="0.25">
      <c r="A1" s="19" t="str">
        <f>'Tabelle 1'!A7</f>
        <v xml:space="preserve">MOCK A </v>
      </c>
      <c r="B1" s="19" t="s">
        <v>34</v>
      </c>
      <c r="C1" s="19" t="s">
        <v>35</v>
      </c>
      <c r="D1" s="19" t="s">
        <v>36</v>
      </c>
      <c r="E1" s="19" t="s">
        <v>37</v>
      </c>
      <c r="H1" s="33" t="s">
        <v>38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</row>
    <row r="2" spans="1:18" x14ac:dyDescent="0.25">
      <c r="A2" s="12">
        <v>1</v>
      </c>
      <c r="B2" s="12">
        <f>VLOOKUP('Tabelle 1'!B9,'Degree of Symptoms'!$J$9:$K$13,2)</f>
        <v>2</v>
      </c>
      <c r="C2" s="12">
        <f>VLOOKUP('Tabelle 1'!C9,'Degree of Symptoms'!$J$13:$K$22,2)</f>
        <v>1</v>
      </c>
      <c r="D2" s="12">
        <f>VLOOKUP('Tabelle 1'!D9,'Degree of Symptoms'!$J$26:$K$30,2)</f>
        <v>2</v>
      </c>
      <c r="E2" s="17">
        <f t="shared" ref="E2:E16" si="0">AVERAGE(B2:D2)</f>
        <v>1.6666666666666667</v>
      </c>
      <c r="G2" s="34" t="s">
        <v>39</v>
      </c>
      <c r="H2" s="1">
        <f>COUNTIFS($E$2:$E$16,"&lt;1,99",$E$2:$E$16,"&gt;=1")</f>
        <v>13</v>
      </c>
      <c r="J2" s="34" t="s">
        <v>39</v>
      </c>
      <c r="K2" s="34"/>
      <c r="L2" s="1" t="s">
        <v>26</v>
      </c>
      <c r="M2" s="1">
        <f>27+M13</f>
        <v>53</v>
      </c>
      <c r="N2" s="1">
        <v>3</v>
      </c>
      <c r="O2" s="1">
        <f>14+P13</f>
        <v>22</v>
      </c>
      <c r="P2" s="1">
        <f>13+O13</f>
        <v>24</v>
      </c>
      <c r="Q2" s="1">
        <v>6</v>
      </c>
      <c r="R2" s="1">
        <v>13</v>
      </c>
    </row>
    <row r="3" spans="1:18" x14ac:dyDescent="0.25">
      <c r="A3" s="12">
        <v>2</v>
      </c>
      <c r="B3" s="12">
        <f>VLOOKUP('Tabelle 1'!B10,'Degree of Symptoms'!$J$9:$K$13,2)</f>
        <v>1</v>
      </c>
      <c r="C3" s="12">
        <f>VLOOKUP('Tabelle 1'!C10,'Degree of Symptoms'!$J$13:$K$22,2)</f>
        <v>1</v>
      </c>
      <c r="D3" s="12">
        <f>VLOOKUP('Tabelle 1'!D10,'Degree of Symptoms'!$J$26:$K$30,2)</f>
        <v>1</v>
      </c>
      <c r="E3" s="17">
        <f t="shared" si="0"/>
        <v>1</v>
      </c>
      <c r="G3" s="34" t="s">
        <v>40</v>
      </c>
      <c r="H3" s="1">
        <f>COUNTIFS($E$2:$E$16,"&lt;2,99",$E$2:$E$16,"&gt;=2")</f>
        <v>2</v>
      </c>
      <c r="J3" s="34" t="s">
        <v>40</v>
      </c>
      <c r="K3" s="34"/>
      <c r="L3" s="1" t="s">
        <v>41</v>
      </c>
      <c r="M3" s="1">
        <v>4</v>
      </c>
      <c r="N3" s="1">
        <f>11+N14</f>
        <v>19</v>
      </c>
      <c r="O3" s="1">
        <f>11+P14</f>
        <v>20</v>
      </c>
      <c r="P3" s="1">
        <f>14+O14</f>
        <v>22</v>
      </c>
      <c r="Q3" s="1">
        <v>7</v>
      </c>
      <c r="R3" s="1">
        <v>11</v>
      </c>
    </row>
    <row r="4" spans="1:18" x14ac:dyDescent="0.25">
      <c r="A4" s="12">
        <v>3</v>
      </c>
      <c r="B4" s="12">
        <f>VLOOKUP('Tabelle 1'!B11,'Degree of Symptoms'!$J$9:$K$13,2)</f>
        <v>1</v>
      </c>
      <c r="C4" s="12">
        <f>VLOOKUP('Tabelle 1'!C11,'Degree of Symptoms'!$J$13:$K$22,2)</f>
        <v>1</v>
      </c>
      <c r="D4" s="12">
        <f>VLOOKUP('Tabelle 1'!D11,'Degree of Symptoms'!$J$26:$K$30,2)</f>
        <v>1</v>
      </c>
      <c r="E4" s="17">
        <f t="shared" si="0"/>
        <v>1</v>
      </c>
      <c r="G4" s="34" t="s">
        <v>42</v>
      </c>
      <c r="H4" s="1">
        <f>COUNTIFS($E$2:$E$16,"&lt;3,99",$E$2:$E$16,"&gt;=3")</f>
        <v>0</v>
      </c>
      <c r="J4" s="34" t="s">
        <v>42</v>
      </c>
      <c r="K4" s="34"/>
      <c r="L4" s="1" t="s">
        <v>43</v>
      </c>
      <c r="M4" s="1">
        <v>1</v>
      </c>
      <c r="N4" s="1">
        <f>16+N15</f>
        <v>29</v>
      </c>
      <c r="O4" s="1">
        <f>4+P15</f>
        <v>16</v>
      </c>
      <c r="P4" s="1">
        <v>10</v>
      </c>
      <c r="Q4" s="1">
        <v>16</v>
      </c>
      <c r="R4" s="1">
        <v>6</v>
      </c>
    </row>
    <row r="5" spans="1:18" x14ac:dyDescent="0.25">
      <c r="A5" s="12">
        <v>4</v>
      </c>
      <c r="B5" s="12">
        <f>VLOOKUP('Tabelle 1'!B12,'Degree of Symptoms'!$J$9:$K$13,2)</f>
        <v>1</v>
      </c>
      <c r="C5" s="12">
        <f>VLOOKUP('Tabelle 1'!C12,'Degree of Symptoms'!$J$13:$K$22,2)</f>
        <v>1</v>
      </c>
      <c r="D5" s="12">
        <f>VLOOKUP('Tabelle 1'!D12,'Degree of Symptoms'!$J$26:$K$30,2)</f>
        <v>1</v>
      </c>
      <c r="E5" s="17">
        <f t="shared" si="0"/>
        <v>1</v>
      </c>
      <c r="G5" s="34" t="s">
        <v>44</v>
      </c>
      <c r="H5" s="1">
        <f>COUNTIFS($E$2:$E$16,"&lt;4,99",$E$2:$E$16,"&gt;=4")</f>
        <v>0</v>
      </c>
      <c r="J5" s="34" t="s">
        <v>44</v>
      </c>
      <c r="K5" s="34"/>
      <c r="L5" s="1" t="s">
        <v>45</v>
      </c>
      <c r="M5" s="1">
        <f>H5</f>
        <v>0</v>
      </c>
      <c r="N5" s="1">
        <f>H47+N16</f>
        <v>7</v>
      </c>
      <c r="O5" s="1">
        <f>H89</f>
        <v>0</v>
      </c>
      <c r="P5" s="1">
        <v>4</v>
      </c>
      <c r="Q5" s="1">
        <v>1</v>
      </c>
      <c r="R5" s="1">
        <f>H215</f>
        <v>0</v>
      </c>
    </row>
    <row r="6" spans="1:18" x14ac:dyDescent="0.25">
      <c r="A6" s="12">
        <v>5</v>
      </c>
      <c r="B6" s="12">
        <f>VLOOKUP('Tabelle 1'!B13,'Degree of Symptoms'!$J$9:$K$13,2)</f>
        <v>1</v>
      </c>
      <c r="C6" s="12">
        <f>VLOOKUP('Tabelle 1'!C13,'Degree of Symptoms'!$J$13:$K$22,2)</f>
        <v>1</v>
      </c>
      <c r="D6" s="12">
        <f>VLOOKUP('Tabelle 1'!D13,'Degree of Symptoms'!$J$26:$K$30,2)</f>
        <v>2</v>
      </c>
      <c r="E6" s="17">
        <f t="shared" si="0"/>
        <v>1.3333333333333333</v>
      </c>
      <c r="G6" s="34">
        <v>5</v>
      </c>
      <c r="H6" s="1">
        <f>COUNTIF($E$2:$E$16,"&gt;=5")</f>
        <v>0</v>
      </c>
      <c r="J6" s="34">
        <v>5</v>
      </c>
      <c r="K6" s="34"/>
      <c r="L6" s="1" t="s">
        <v>30</v>
      </c>
      <c r="M6" s="1">
        <f>H6</f>
        <v>0</v>
      </c>
      <c r="N6" s="1">
        <f>H48</f>
        <v>0</v>
      </c>
      <c r="O6" s="1">
        <f>H90</f>
        <v>0</v>
      </c>
      <c r="P6" s="1">
        <f>H132</f>
        <v>0</v>
      </c>
      <c r="Q6" s="1">
        <f>H174</f>
        <v>0</v>
      </c>
      <c r="R6" s="1">
        <f>H216</f>
        <v>0</v>
      </c>
    </row>
    <row r="7" spans="1:18" x14ac:dyDescent="0.25">
      <c r="A7" s="12">
        <v>6</v>
      </c>
      <c r="B7" s="12">
        <f>VLOOKUP('Tabelle 1'!B14,'Degree of Symptoms'!$J$9:$K$13,2)</f>
        <v>1</v>
      </c>
      <c r="C7" s="12">
        <f>VLOOKUP('Tabelle 1'!C14,'Degree of Symptoms'!$J$13:$K$22,2)</f>
        <v>1</v>
      </c>
      <c r="D7" s="12">
        <f>VLOOKUP('Tabelle 1'!D14,'Degree of Symptoms'!$J$26:$K$30,2)</f>
        <v>1</v>
      </c>
      <c r="E7" s="17">
        <f t="shared" si="0"/>
        <v>1</v>
      </c>
      <c r="H7" s="1">
        <f>SUM(H2:H6)</f>
        <v>15</v>
      </c>
    </row>
    <row r="8" spans="1:18" x14ac:dyDescent="0.25">
      <c r="A8" s="12">
        <v>7</v>
      </c>
      <c r="B8" s="12">
        <f>VLOOKUP('Tabelle 1'!B15,'Degree of Symptoms'!$J$9:$K$13,2)</f>
        <v>1</v>
      </c>
      <c r="C8" s="12">
        <f>VLOOKUP('Tabelle 1'!C15,'Degree of Symptoms'!$J$13:$K$22,2)</f>
        <v>1</v>
      </c>
      <c r="D8" s="12">
        <f>VLOOKUP('Tabelle 1'!D15,'Degree of Symptoms'!$J$26:$K$30,2)</f>
        <v>1</v>
      </c>
      <c r="E8" s="17">
        <f t="shared" si="0"/>
        <v>1</v>
      </c>
      <c r="L8" s="1" t="s">
        <v>12</v>
      </c>
      <c r="M8" s="1">
        <f>SUM(M2:M6)</f>
        <v>58</v>
      </c>
      <c r="N8" s="1">
        <f t="shared" ref="N8:R8" si="1">SUM(N2:N6)</f>
        <v>58</v>
      </c>
      <c r="O8" s="1">
        <f t="shared" si="1"/>
        <v>58</v>
      </c>
      <c r="P8" s="1">
        <f t="shared" si="1"/>
        <v>60</v>
      </c>
      <c r="Q8" s="1">
        <f t="shared" si="1"/>
        <v>30</v>
      </c>
      <c r="R8" s="1">
        <f t="shared" si="1"/>
        <v>30</v>
      </c>
    </row>
    <row r="9" spans="1:18" x14ac:dyDescent="0.25">
      <c r="A9" s="12">
        <v>8</v>
      </c>
      <c r="B9" s="12">
        <f>VLOOKUP('Tabelle 1'!B16,'Degree of Symptoms'!$J$9:$K$13,2)</f>
        <v>1</v>
      </c>
      <c r="C9" s="12">
        <f>VLOOKUP('Tabelle 1'!C16,'Degree of Symptoms'!$J$13:$K$22,2)</f>
        <v>1</v>
      </c>
      <c r="D9" s="12">
        <f>VLOOKUP('Tabelle 1'!D16,'Degree of Symptoms'!$J$26:$K$30,2)</f>
        <v>1</v>
      </c>
      <c r="E9" s="17">
        <f t="shared" si="0"/>
        <v>1</v>
      </c>
    </row>
    <row r="10" spans="1:18" x14ac:dyDescent="0.25">
      <c r="A10" s="12">
        <v>9</v>
      </c>
      <c r="B10" s="12">
        <f>VLOOKUP('Tabelle 1'!B17,'Degree of Symptoms'!$J$9:$K$13,2)</f>
        <v>1</v>
      </c>
      <c r="C10" s="12">
        <f>VLOOKUP('Tabelle 1'!C17,'Degree of Symptoms'!$J$13:$K$22,2)</f>
        <v>1</v>
      </c>
      <c r="D10" s="12">
        <f>VLOOKUP('Tabelle 1'!D17,'Degree of Symptoms'!$J$26:$K$30,2)</f>
        <v>1</v>
      </c>
      <c r="E10" s="17">
        <f t="shared" si="0"/>
        <v>1</v>
      </c>
    </row>
    <row r="11" spans="1:18" x14ac:dyDescent="0.25">
      <c r="A11" s="12">
        <v>10</v>
      </c>
      <c r="B11" s="12">
        <f>VLOOKUP('Tabelle 1'!B18,'Degree of Symptoms'!$J$9:$K$13,2)</f>
        <v>1</v>
      </c>
      <c r="C11" s="12">
        <f>VLOOKUP('Tabelle 1'!C18,'Degree of Symptoms'!$J$13:$K$22,2)</f>
        <v>1</v>
      </c>
      <c r="D11" s="12">
        <f>VLOOKUP('Tabelle 1'!D18,'Degree of Symptoms'!$J$26:$K$30,2)</f>
        <v>1</v>
      </c>
      <c r="E11" s="17">
        <f t="shared" si="0"/>
        <v>1</v>
      </c>
    </row>
    <row r="12" spans="1:18" x14ac:dyDescent="0.25">
      <c r="A12" s="12">
        <v>11</v>
      </c>
      <c r="B12" s="12">
        <f>VLOOKUP('Tabelle 1'!B19,'Degree of Symptoms'!$J$9:$K$13,2)</f>
        <v>2</v>
      </c>
      <c r="C12" s="12">
        <f>VLOOKUP('Tabelle 1'!C19,'Degree of Symptoms'!$J$13:$K$22,2)</f>
        <v>2</v>
      </c>
      <c r="D12" s="12">
        <f>VLOOKUP('Tabelle 1'!D19,'Degree of Symptoms'!$J$26:$K$30,2)</f>
        <v>4</v>
      </c>
      <c r="E12" s="17">
        <f t="shared" si="0"/>
        <v>2.6666666666666665</v>
      </c>
      <c r="L12" s="38" t="s">
        <v>70</v>
      </c>
      <c r="M12" s="1" t="s">
        <v>63</v>
      </c>
      <c r="N12" s="1" t="s">
        <v>64</v>
      </c>
      <c r="O12" s="1" t="s">
        <v>69</v>
      </c>
      <c r="P12" s="1" t="s">
        <v>65</v>
      </c>
    </row>
    <row r="13" spans="1:18" x14ac:dyDescent="0.25">
      <c r="A13" s="12">
        <v>12</v>
      </c>
      <c r="B13" s="12">
        <f>VLOOKUP('Tabelle 1'!B20,'Degree of Symptoms'!$J$9:$K$13,2)</f>
        <v>1</v>
      </c>
      <c r="C13" s="12">
        <f>VLOOKUP('Tabelle 1'!C20,'Degree of Symptoms'!$J$13:$K$22,2)</f>
        <v>1</v>
      </c>
      <c r="D13" s="12">
        <f>VLOOKUP('Tabelle 1'!D20,'Degree of Symptoms'!$J$26:$K$30,2)</f>
        <v>1</v>
      </c>
      <c r="E13" s="17">
        <f t="shared" si="0"/>
        <v>1</v>
      </c>
      <c r="L13" s="38"/>
      <c r="M13" s="1">
        <v>26</v>
      </c>
      <c r="N13" s="1">
        <v>2</v>
      </c>
      <c r="O13" s="1">
        <v>11</v>
      </c>
      <c r="P13" s="1">
        <v>8</v>
      </c>
    </row>
    <row r="14" spans="1:18" x14ac:dyDescent="0.25">
      <c r="A14" s="12">
        <v>13</v>
      </c>
      <c r="B14" s="12">
        <f>VLOOKUP('Tabelle 1'!B21,'Degree of Symptoms'!$J$9:$K$13,2)</f>
        <v>1</v>
      </c>
      <c r="C14" s="12">
        <f>VLOOKUP('Tabelle 1'!C21,'Degree of Symptoms'!$J$13:$K$22,2)</f>
        <v>1</v>
      </c>
      <c r="D14" s="12">
        <f>VLOOKUP('Tabelle 1'!D21,'Degree of Symptoms'!$J$26:$K$30,2)</f>
        <v>2</v>
      </c>
      <c r="E14" s="17">
        <f t="shared" si="0"/>
        <v>1.3333333333333333</v>
      </c>
      <c r="L14" s="38"/>
      <c r="M14" s="1">
        <v>1</v>
      </c>
      <c r="N14" s="1">
        <v>8</v>
      </c>
      <c r="O14" s="1">
        <v>8</v>
      </c>
      <c r="P14" s="1">
        <v>9</v>
      </c>
    </row>
    <row r="15" spans="1:18" x14ac:dyDescent="0.25">
      <c r="A15" s="12">
        <v>14</v>
      </c>
      <c r="B15" s="12">
        <f>VLOOKUP('Tabelle 1'!B22,'Degree of Symptoms'!$J$9:$K$13,2)</f>
        <v>1</v>
      </c>
      <c r="C15" s="12">
        <f>VLOOKUP('Tabelle 1'!C22,'Degree of Symptoms'!$J$13:$K$22,2)</f>
        <v>1</v>
      </c>
      <c r="D15" s="12">
        <f>VLOOKUP('Tabelle 1'!D22,'Degree of Symptoms'!$J$26:$K$30,2)</f>
        <v>1</v>
      </c>
      <c r="E15" s="17">
        <f t="shared" si="0"/>
        <v>1</v>
      </c>
      <c r="L15" s="38"/>
      <c r="M15" s="1">
        <v>1</v>
      </c>
      <c r="N15" s="1">
        <v>13</v>
      </c>
      <c r="O15" s="1">
        <v>7</v>
      </c>
      <c r="P15" s="1">
        <v>12</v>
      </c>
    </row>
    <row r="16" spans="1:18" ht="14.4" x14ac:dyDescent="0.3">
      <c r="A16" s="12">
        <v>15</v>
      </c>
      <c r="B16" s="12">
        <f>VLOOKUP('Tabelle 1'!B23,'Degree of Symptoms'!$J$9:$K$13,2)</f>
        <v>2</v>
      </c>
      <c r="C16" s="12">
        <f>VLOOKUP('Tabelle 1'!C23,'Degree of Symptoms'!$J$13:$K$22,2)</f>
        <v>2</v>
      </c>
      <c r="D16" s="12">
        <f>VLOOKUP('Tabelle 1'!D23,'Degree of Symptoms'!$J$26:$K$30,2)</f>
        <v>3</v>
      </c>
      <c r="E16" s="17">
        <f t="shared" si="0"/>
        <v>2.3333333333333335</v>
      </c>
      <c r="L16" s="38"/>
      <c r="M16" s="1">
        <v>0</v>
      </c>
      <c r="N16" s="1">
        <v>5</v>
      </c>
      <c r="O16" s="35">
        <v>4</v>
      </c>
      <c r="P16" s="1">
        <v>0</v>
      </c>
    </row>
    <row r="17" spans="1:16" x14ac:dyDescent="0.25">
      <c r="A17" s="12"/>
      <c r="B17" s="12"/>
      <c r="C17" s="12"/>
      <c r="D17" s="12"/>
      <c r="E17" s="17"/>
      <c r="F17" s="2" t="s">
        <v>12</v>
      </c>
      <c r="L17" s="38"/>
      <c r="M17" s="1">
        <v>0</v>
      </c>
      <c r="N17" s="1">
        <v>0</v>
      </c>
      <c r="O17" s="1">
        <v>0</v>
      </c>
      <c r="P17" s="1">
        <v>0</v>
      </c>
    </row>
    <row r="18" spans="1:16" x14ac:dyDescent="0.25">
      <c r="A18" s="19" t="s">
        <v>46</v>
      </c>
      <c r="B18" s="12">
        <f>AVERAGE(B2:B16)</f>
        <v>1.2</v>
      </c>
      <c r="C18" s="12">
        <f>AVERAGE(C2:C16)</f>
        <v>1.1333333333333333</v>
      </c>
      <c r="D18" s="12">
        <f>AVERAGE(D2:D16)</f>
        <v>1.5333333333333334</v>
      </c>
      <c r="E18" s="17">
        <f>AVERAGE(E2:E16)</f>
        <v>1.2888888888888888</v>
      </c>
      <c r="F18" s="2">
        <f>'Tabelle 1'!F40</f>
        <v>15</v>
      </c>
      <c r="L18" s="38"/>
    </row>
    <row r="19" spans="1:16" x14ac:dyDescent="0.25">
      <c r="A19" s="19" t="s">
        <v>47</v>
      </c>
      <c r="B19" s="12">
        <f>STDEV(B2:B16)</f>
        <v>0.4140393356054124</v>
      </c>
      <c r="C19" s="12">
        <f>STDEV(C2:C16)</f>
        <v>0.35186577527449853</v>
      </c>
      <c r="D19" s="12">
        <f>STDEV(D2:D16)</f>
        <v>0.91547541643412689</v>
      </c>
      <c r="E19" s="17">
        <f>STDEV(E2:E16)</f>
        <v>0.53253909114532072</v>
      </c>
      <c r="M19" s="1">
        <v>28</v>
      </c>
      <c r="N19" s="1">
        <v>28</v>
      </c>
      <c r="O19" s="1">
        <v>30</v>
      </c>
      <c r="P19" s="1">
        <v>29</v>
      </c>
    </row>
    <row r="22" spans="1:16" x14ac:dyDescent="0.25">
      <c r="A22" s="19" t="str">
        <f>'Tabelle 1'!A43</f>
        <v>MOCK B</v>
      </c>
      <c r="B22" s="19" t="s">
        <v>34</v>
      </c>
      <c r="C22" s="19" t="s">
        <v>35</v>
      </c>
      <c r="D22" s="19" t="s">
        <v>36</v>
      </c>
      <c r="E22" s="19" t="s">
        <v>37</v>
      </c>
      <c r="H22" s="33" t="s">
        <v>38</v>
      </c>
    </row>
    <row r="23" spans="1:16" x14ac:dyDescent="0.25">
      <c r="A23" s="12">
        <v>1</v>
      </c>
      <c r="B23" s="12">
        <f>VLOOKUP('Tabelle 1'!B45,'Degree of Symptoms'!$J$9:$K$13,2)</f>
        <v>1</v>
      </c>
      <c r="C23" s="12">
        <f>VLOOKUP('Tabelle 1'!C45,'Degree of Symptoms'!$J$13:$K$22,2)</f>
        <v>1</v>
      </c>
      <c r="D23" s="12">
        <f>VLOOKUP('Tabelle 1'!D45,'Degree of Symptoms'!$J$26:$K$30,2)</f>
        <v>1</v>
      </c>
      <c r="E23" s="17">
        <f t="shared" ref="E23:E37" si="2">AVERAGE(B23:D23)</f>
        <v>1</v>
      </c>
      <c r="G23" s="34" t="s">
        <v>39</v>
      </c>
      <c r="H23" s="1">
        <f>COUNTIFS($E$23:$E$37,"&lt;1,99",$E$23:$E$37,"&gt;=1")</f>
        <v>14</v>
      </c>
    </row>
    <row r="24" spans="1:16" x14ac:dyDescent="0.25">
      <c r="A24" s="12">
        <v>2</v>
      </c>
      <c r="B24" s="12">
        <f>VLOOKUP('Tabelle 1'!B46,'Degree of Symptoms'!$J$9:$K$13,2)</f>
        <v>1</v>
      </c>
      <c r="C24" s="12">
        <f>VLOOKUP('Tabelle 1'!C46,'Degree of Symptoms'!$J$13:$K$22,2)</f>
        <v>1</v>
      </c>
      <c r="D24" s="12">
        <f>VLOOKUP('Tabelle 1'!D46,'Degree of Symptoms'!$J$26:$K$30,2)</f>
        <v>1</v>
      </c>
      <c r="E24" s="17">
        <f t="shared" si="2"/>
        <v>1</v>
      </c>
      <c r="G24" s="34" t="s">
        <v>40</v>
      </c>
      <c r="H24" s="1">
        <f>COUNTIFS($E$23:$E$37,"&lt;2,99",$E$23:$E$37,"&gt;=2")</f>
        <v>1</v>
      </c>
    </row>
    <row r="25" spans="1:16" x14ac:dyDescent="0.25">
      <c r="A25" s="12">
        <v>3</v>
      </c>
      <c r="B25" s="12">
        <f>VLOOKUP('Tabelle 1'!B47,'Degree of Symptoms'!$J$9:$K$13,2)</f>
        <v>1</v>
      </c>
      <c r="C25" s="12">
        <f>VLOOKUP('Tabelle 1'!C47,'Degree of Symptoms'!$J$13:$K$22,2)</f>
        <v>1</v>
      </c>
      <c r="D25" s="12">
        <f>VLOOKUP('Tabelle 1'!D47,'Degree of Symptoms'!$J$26:$K$30,2)</f>
        <v>1</v>
      </c>
      <c r="E25" s="17">
        <f t="shared" si="2"/>
        <v>1</v>
      </c>
      <c r="G25" s="34" t="s">
        <v>42</v>
      </c>
      <c r="H25" s="1">
        <f>COUNTIFS($E$23:$E$37,"&lt;3,99",$E$23:$E$37,"&gt;=3")</f>
        <v>0</v>
      </c>
    </row>
    <row r="26" spans="1:16" x14ac:dyDescent="0.25">
      <c r="A26" s="12">
        <v>4</v>
      </c>
      <c r="B26" s="12">
        <f>VLOOKUP('Tabelle 1'!B48,'Degree of Symptoms'!$J$9:$K$13,2)</f>
        <v>1</v>
      </c>
      <c r="C26" s="12">
        <f>VLOOKUP('Tabelle 1'!C48,'Degree of Symptoms'!$J$13:$K$22,2)</f>
        <v>1</v>
      </c>
      <c r="D26" s="12">
        <f>VLOOKUP('Tabelle 1'!D48,'Degree of Symptoms'!$J$26:$K$30,2)</f>
        <v>1</v>
      </c>
      <c r="E26" s="17">
        <f t="shared" si="2"/>
        <v>1</v>
      </c>
      <c r="G26" s="34" t="s">
        <v>44</v>
      </c>
      <c r="H26" s="1">
        <f>COUNTIFS($E$23:$E$37,"&lt;4,99",$E$23:$E$37,"&gt;=4")</f>
        <v>0</v>
      </c>
    </row>
    <row r="27" spans="1:16" x14ac:dyDescent="0.25">
      <c r="A27" s="12">
        <v>5</v>
      </c>
      <c r="B27" s="12">
        <f>VLOOKUP('Tabelle 1'!B49,'Degree of Symptoms'!$J$9:$K$13,2)</f>
        <v>1</v>
      </c>
      <c r="C27" s="12">
        <f>VLOOKUP('Tabelle 1'!C49,'Degree of Symptoms'!$J$13:$K$22,2)</f>
        <v>1</v>
      </c>
      <c r="D27" s="12">
        <f>VLOOKUP('Tabelle 1'!D49,'Degree of Symptoms'!$J$26:$K$30,2)</f>
        <v>1</v>
      </c>
      <c r="E27" s="17">
        <f t="shared" si="2"/>
        <v>1</v>
      </c>
      <c r="G27" s="34">
        <v>5</v>
      </c>
      <c r="H27" s="1">
        <f>COUNTIF($E$23:$E$37,"&gt;=5")</f>
        <v>0</v>
      </c>
    </row>
    <row r="28" spans="1:16" x14ac:dyDescent="0.25">
      <c r="A28" s="12">
        <v>6</v>
      </c>
      <c r="B28" s="12">
        <f>VLOOKUP('Tabelle 1'!B50,'Degree of Symptoms'!$J$9:$K$13,2)</f>
        <v>1</v>
      </c>
      <c r="C28" s="12">
        <f>VLOOKUP('Tabelle 1'!C50,'Degree of Symptoms'!$J$13:$K$22,2)</f>
        <v>1</v>
      </c>
      <c r="D28" s="12">
        <f>VLOOKUP('Tabelle 1'!D50,'Degree of Symptoms'!$J$26:$K$30,2)</f>
        <v>1</v>
      </c>
      <c r="E28" s="17">
        <f t="shared" si="2"/>
        <v>1</v>
      </c>
      <c r="H28" s="1">
        <f>SUM(H23:H27)</f>
        <v>15</v>
      </c>
    </row>
    <row r="29" spans="1:16" x14ac:dyDescent="0.25">
      <c r="A29" s="12">
        <v>7</v>
      </c>
      <c r="B29" s="12">
        <f>VLOOKUP('Tabelle 1'!B51,'Degree of Symptoms'!$J$9:$K$13,2)</f>
        <v>1</v>
      </c>
      <c r="C29" s="12">
        <f>VLOOKUP('Tabelle 1'!C51,'Degree of Symptoms'!$J$13:$K$22,2)</f>
        <v>1</v>
      </c>
      <c r="D29" s="12">
        <f>VLOOKUP('Tabelle 1'!D51,'Degree of Symptoms'!$J$26:$K$30,2)</f>
        <v>1</v>
      </c>
      <c r="E29" s="17">
        <f t="shared" si="2"/>
        <v>1</v>
      </c>
    </row>
    <row r="30" spans="1:16" x14ac:dyDescent="0.25">
      <c r="A30" s="12">
        <v>8</v>
      </c>
      <c r="B30" s="12">
        <f>VLOOKUP('Tabelle 1'!B52,'Degree of Symptoms'!$J$9:$K$13,2)</f>
        <v>1</v>
      </c>
      <c r="C30" s="12">
        <f>VLOOKUP('Tabelle 1'!C52,'Degree of Symptoms'!$J$13:$K$22,2)</f>
        <v>1</v>
      </c>
      <c r="D30" s="12">
        <f>VLOOKUP('Tabelle 1'!D52,'Degree of Symptoms'!$J$26:$K$30,2)</f>
        <v>1</v>
      </c>
      <c r="E30" s="17">
        <f t="shared" si="2"/>
        <v>1</v>
      </c>
    </row>
    <row r="31" spans="1:16" x14ac:dyDescent="0.25">
      <c r="A31" s="12">
        <v>9</v>
      </c>
      <c r="B31" s="12">
        <f>VLOOKUP('Tabelle 1'!B53,'Degree of Symptoms'!$J$9:$K$13,2)</f>
        <v>1</v>
      </c>
      <c r="C31" s="12">
        <f>VLOOKUP('Tabelle 1'!C53,'Degree of Symptoms'!$J$13:$K$22,2)</f>
        <v>1</v>
      </c>
      <c r="D31" s="12">
        <f>VLOOKUP('Tabelle 1'!D53,'Degree of Symptoms'!$J$26:$K$30,2)</f>
        <v>1</v>
      </c>
      <c r="E31" s="17">
        <f t="shared" si="2"/>
        <v>1</v>
      </c>
      <c r="G31" s="33"/>
      <c r="H31" s="33"/>
      <c r="I31" s="33"/>
    </row>
    <row r="32" spans="1:16" x14ac:dyDescent="0.25">
      <c r="A32" s="12">
        <v>10</v>
      </c>
      <c r="B32" s="12">
        <f>VLOOKUP('Tabelle 1'!B54,'Degree of Symptoms'!$J$9:$K$13,2)</f>
        <v>2</v>
      </c>
      <c r="C32" s="12">
        <f>VLOOKUP('Tabelle 1'!C54,'Degree of Symptoms'!$J$13:$K$22,2)</f>
        <v>1</v>
      </c>
      <c r="D32" s="12">
        <f>VLOOKUP('Tabelle 1'!D54,'Degree of Symptoms'!$J$26:$K$30,2)</f>
        <v>3</v>
      </c>
      <c r="E32" s="17">
        <f t="shared" si="2"/>
        <v>2</v>
      </c>
      <c r="G32" s="33"/>
      <c r="H32" s="2"/>
      <c r="I32" s="2"/>
    </row>
    <row r="33" spans="1:9" x14ac:dyDescent="0.25">
      <c r="A33" s="12">
        <v>11</v>
      </c>
      <c r="B33" s="12">
        <f>VLOOKUP('Tabelle 1'!B55,'Degree of Symptoms'!$J$9:$K$13,2)</f>
        <v>1</v>
      </c>
      <c r="C33" s="12">
        <f>VLOOKUP('Tabelle 1'!C55,'Degree of Symptoms'!$J$13:$K$22,2)</f>
        <v>1</v>
      </c>
      <c r="D33" s="12">
        <f>VLOOKUP('Tabelle 1'!D55,'Degree of Symptoms'!$J$26:$K$30,2)</f>
        <v>1</v>
      </c>
      <c r="E33" s="17">
        <f t="shared" si="2"/>
        <v>1</v>
      </c>
      <c r="G33" s="33"/>
      <c r="H33" s="2"/>
      <c r="I33" s="2"/>
    </row>
    <row r="34" spans="1:9" x14ac:dyDescent="0.25">
      <c r="A34" s="12">
        <v>12</v>
      </c>
      <c r="B34" s="12">
        <f>VLOOKUP('Tabelle 1'!B56,'Degree of Symptoms'!$J$9:$K$13,2)</f>
        <v>1</v>
      </c>
      <c r="C34" s="12">
        <f>VLOOKUP('Tabelle 1'!C56,'Degree of Symptoms'!$J$13:$K$22,2)</f>
        <v>1</v>
      </c>
      <c r="D34" s="12">
        <f>VLOOKUP('Tabelle 1'!D56,'Degree of Symptoms'!$J$26:$K$30,2)</f>
        <v>1</v>
      </c>
      <c r="E34" s="17">
        <f t="shared" si="2"/>
        <v>1</v>
      </c>
      <c r="G34" s="33"/>
      <c r="H34" s="2"/>
      <c r="I34" s="2"/>
    </row>
    <row r="35" spans="1:9" x14ac:dyDescent="0.25">
      <c r="A35" s="12">
        <v>13</v>
      </c>
      <c r="B35" s="12">
        <f>VLOOKUP('Tabelle 1'!B57,'Degree of Symptoms'!$J$9:$K$13,2)</f>
        <v>1</v>
      </c>
      <c r="C35" s="12">
        <f>VLOOKUP('Tabelle 1'!C57,'Degree of Symptoms'!$J$13:$K$22,2)</f>
        <v>1</v>
      </c>
      <c r="D35" s="12">
        <f>VLOOKUP('Tabelle 1'!D57,'Degree of Symptoms'!$J$26:$K$30,2)</f>
        <v>1</v>
      </c>
      <c r="E35" s="17">
        <f t="shared" si="2"/>
        <v>1</v>
      </c>
      <c r="G35" s="33"/>
      <c r="H35" s="2"/>
      <c r="I35" s="2"/>
    </row>
    <row r="36" spans="1:9" x14ac:dyDescent="0.25">
      <c r="A36" s="12">
        <v>14</v>
      </c>
      <c r="B36" s="12">
        <f>VLOOKUP('Tabelle 1'!B58,'Degree of Symptoms'!$J$9:$K$13,2)</f>
        <v>1</v>
      </c>
      <c r="C36" s="12">
        <f>VLOOKUP('Tabelle 1'!C58,'Degree of Symptoms'!$J$13:$K$22,2)</f>
        <v>1</v>
      </c>
      <c r="D36" s="12">
        <f>VLOOKUP('Tabelle 1'!D58,'Degree of Symptoms'!$J$26:$K$30,2)</f>
        <v>1</v>
      </c>
      <c r="E36" s="17">
        <f t="shared" si="2"/>
        <v>1</v>
      </c>
      <c r="G36" s="33"/>
      <c r="H36" s="2"/>
      <c r="I36" s="2"/>
    </row>
    <row r="37" spans="1:9" x14ac:dyDescent="0.25">
      <c r="A37" s="12">
        <v>15</v>
      </c>
      <c r="B37" s="12">
        <f>VLOOKUP('Tabelle 1'!B59,'Degree of Symptoms'!$J$9:$K$13,2)</f>
        <v>1</v>
      </c>
      <c r="C37" s="12">
        <f>VLOOKUP('Tabelle 1'!C59,'Degree of Symptoms'!$J$13:$K$22,2)</f>
        <v>1</v>
      </c>
      <c r="D37" s="12">
        <f>VLOOKUP('Tabelle 1'!D59,'Degree of Symptoms'!$J$26:$K$30,2)</f>
        <v>1</v>
      </c>
      <c r="E37" s="17">
        <f t="shared" si="2"/>
        <v>1</v>
      </c>
    </row>
    <row r="38" spans="1:9" x14ac:dyDescent="0.25">
      <c r="A38" s="12"/>
      <c r="B38" s="12"/>
      <c r="C38" s="12"/>
      <c r="D38" s="12"/>
      <c r="E38" s="17"/>
      <c r="F38" s="2" t="s">
        <v>12</v>
      </c>
    </row>
    <row r="39" spans="1:9" x14ac:dyDescent="0.25">
      <c r="A39" s="19" t="s">
        <v>46</v>
      </c>
      <c r="B39" s="12">
        <f>AVERAGE(B23:B37)</f>
        <v>1.0666666666666667</v>
      </c>
      <c r="C39" s="12">
        <f>AVERAGE(C23:C37)</f>
        <v>1</v>
      </c>
      <c r="D39" s="12">
        <f>AVERAGE(D23:D37)</f>
        <v>1.1333333333333333</v>
      </c>
      <c r="E39" s="17">
        <f>AVERAGE(E23:E37)</f>
        <v>1.0666666666666667</v>
      </c>
      <c r="F39" s="2">
        <f>'Tabelle 1'!F61</f>
        <v>15</v>
      </c>
    </row>
    <row r="40" spans="1:9" x14ac:dyDescent="0.25">
      <c r="A40" s="19" t="s">
        <v>47</v>
      </c>
      <c r="B40" s="12">
        <f>STDEV(B23:B37)</f>
        <v>0.25819888974716115</v>
      </c>
      <c r="C40" s="12">
        <f>STDEV(C23:C37)</f>
        <v>0</v>
      </c>
      <c r="D40" s="12">
        <f>STDEV(D23:D37)</f>
        <v>0.51639777949432231</v>
      </c>
      <c r="E40" s="17">
        <f>STDEV(E23:E37)</f>
        <v>0.25819888974716115</v>
      </c>
    </row>
    <row r="43" spans="1:9" x14ac:dyDescent="0.25">
      <c r="A43" s="9" t="str">
        <f>'Tabelle 1'!A64</f>
        <v>WT A</v>
      </c>
      <c r="B43" s="19" t="s">
        <v>34</v>
      </c>
      <c r="C43" s="19" t="s">
        <v>35</v>
      </c>
      <c r="D43" s="19" t="s">
        <v>36</v>
      </c>
      <c r="E43" s="19" t="s">
        <v>37</v>
      </c>
      <c r="H43" s="33" t="s">
        <v>38</v>
      </c>
    </row>
    <row r="44" spans="1:9" x14ac:dyDescent="0.25">
      <c r="A44" s="12">
        <v>1</v>
      </c>
      <c r="B44" s="12">
        <f>VLOOKUP('Tabelle 1'!B66,'Degree of Symptoms'!$J$9:$K$13,2)</f>
        <v>4</v>
      </c>
      <c r="C44" s="12">
        <f>VLOOKUP('Tabelle 1'!C66,'Degree of Symptoms'!$J$13:$K$22,2)</f>
        <v>3</v>
      </c>
      <c r="D44" s="12">
        <f>VLOOKUP('Tabelle 1'!D66,'Degree of Symptoms'!$J$26:$K$30,2)</f>
        <v>4</v>
      </c>
      <c r="E44" s="17">
        <f t="shared" ref="E44:E58" si="3">AVERAGE(B44:D44)</f>
        <v>3.6666666666666665</v>
      </c>
      <c r="G44" s="34" t="s">
        <v>39</v>
      </c>
      <c r="H44" s="1">
        <f>COUNTIFS($E$44:$E$58,"&lt;1,99",$E$44:$E$58,"&gt;=1")</f>
        <v>0</v>
      </c>
    </row>
    <row r="45" spans="1:9" x14ac:dyDescent="0.25">
      <c r="A45" s="12">
        <v>2</v>
      </c>
      <c r="B45" s="12">
        <f>VLOOKUP('Tabelle 1'!B67,'Degree of Symptoms'!$J$9:$K$13,2)</f>
        <v>4</v>
      </c>
      <c r="C45" s="12">
        <f>VLOOKUP('Tabelle 1'!C67,'Degree of Symptoms'!$J$13:$K$22,2)</f>
        <v>3</v>
      </c>
      <c r="D45" s="12">
        <f>VLOOKUP('Tabelle 1'!D67,'Degree of Symptoms'!$J$26:$K$30,2)</f>
        <v>4</v>
      </c>
      <c r="E45" s="17">
        <f t="shared" si="3"/>
        <v>3.6666666666666665</v>
      </c>
      <c r="G45" s="34" t="s">
        <v>40</v>
      </c>
      <c r="H45" s="1">
        <f>COUNTIFS($E$44:$E$58,"&lt;2,99",$E$44:$E$58,"&gt;=2")</f>
        <v>4</v>
      </c>
    </row>
    <row r="46" spans="1:9" x14ac:dyDescent="0.25">
      <c r="A46" s="12">
        <v>3</v>
      </c>
      <c r="B46" s="12">
        <f>VLOOKUP('Tabelle 1'!B68,'Degree of Symptoms'!$J$9:$K$13,2)</f>
        <v>4</v>
      </c>
      <c r="C46" s="12">
        <f>VLOOKUP('Tabelle 1'!C68,'Degree of Symptoms'!$J$13:$K$22,2)</f>
        <v>4</v>
      </c>
      <c r="D46" s="12">
        <f>VLOOKUP('Tabelle 1'!D68,'Degree of Symptoms'!$J$26:$K$30,2)</f>
        <v>4</v>
      </c>
      <c r="E46" s="17">
        <f t="shared" si="3"/>
        <v>4</v>
      </c>
      <c r="G46" s="34" t="s">
        <v>42</v>
      </c>
      <c r="H46" s="1">
        <f>COUNTIFS($E$44:$E$58,"&lt;3,99",$E$44:$E$58,"&gt;=3")</f>
        <v>9</v>
      </c>
    </row>
    <row r="47" spans="1:9" x14ac:dyDescent="0.25">
      <c r="A47" s="12">
        <v>4</v>
      </c>
      <c r="B47" s="12">
        <f>VLOOKUP('Tabelle 1'!B69,'Degree of Symptoms'!$J$9:$K$13,2)</f>
        <v>4</v>
      </c>
      <c r="C47" s="12">
        <f>VLOOKUP('Tabelle 1'!C69,'Degree of Symptoms'!$J$13:$K$22,2)</f>
        <v>4</v>
      </c>
      <c r="D47" s="12">
        <f>VLOOKUP('Tabelle 1'!D69,'Degree of Symptoms'!$J$26:$K$30,2)</f>
        <v>4</v>
      </c>
      <c r="E47" s="17">
        <f t="shared" si="3"/>
        <v>4</v>
      </c>
      <c r="G47" s="34" t="s">
        <v>44</v>
      </c>
      <c r="H47" s="1">
        <f>COUNTIFS($E$44:$E$58,"&lt;4,99",$E$44:$E$58,"&gt;=4")</f>
        <v>2</v>
      </c>
    </row>
    <row r="48" spans="1:9" x14ac:dyDescent="0.25">
      <c r="A48" s="12">
        <v>5</v>
      </c>
      <c r="B48" s="12">
        <f>VLOOKUP('Tabelle 1'!B70,'Degree of Symptoms'!$J$9:$K$13,2)</f>
        <v>3</v>
      </c>
      <c r="C48" s="12">
        <f>VLOOKUP('Tabelle 1'!C70,'Degree of Symptoms'!$J$13:$K$22,2)</f>
        <v>3</v>
      </c>
      <c r="D48" s="12">
        <f>VLOOKUP('Tabelle 1'!D70,'Degree of Symptoms'!$J$26:$K$30,2)</f>
        <v>4</v>
      </c>
      <c r="E48" s="17">
        <f t="shared" si="3"/>
        <v>3.3333333333333335</v>
      </c>
      <c r="G48" s="34">
        <v>5</v>
      </c>
      <c r="H48" s="1">
        <f>COUNTIF($E$44:$E$58,"&gt;=5")</f>
        <v>0</v>
      </c>
    </row>
    <row r="49" spans="1:9" x14ac:dyDescent="0.25">
      <c r="A49" s="12">
        <v>6</v>
      </c>
      <c r="B49" s="12">
        <f>VLOOKUP('Tabelle 1'!B71,'Degree of Symptoms'!$J$9:$K$13,2)</f>
        <v>3</v>
      </c>
      <c r="C49" s="12">
        <f>VLOOKUP('Tabelle 1'!C71,'Degree of Symptoms'!$J$13:$K$22,2)</f>
        <v>3</v>
      </c>
      <c r="D49" s="12">
        <f>VLOOKUP('Tabelle 1'!D71,'Degree of Symptoms'!$J$26:$K$30,2)</f>
        <v>4</v>
      </c>
      <c r="E49" s="17">
        <f t="shared" si="3"/>
        <v>3.3333333333333335</v>
      </c>
      <c r="H49" s="1">
        <f>SUM(H44:H48)</f>
        <v>15</v>
      </c>
    </row>
    <row r="50" spans="1:9" x14ac:dyDescent="0.25">
      <c r="A50" s="12">
        <v>7</v>
      </c>
      <c r="B50" s="12">
        <f>VLOOKUP('Tabelle 1'!B72,'Degree of Symptoms'!$J$9:$K$13,2)</f>
        <v>3</v>
      </c>
      <c r="C50" s="12">
        <f>VLOOKUP('Tabelle 1'!C72,'Degree of Symptoms'!$J$13:$K$22,2)</f>
        <v>3</v>
      </c>
      <c r="D50" s="12">
        <f>VLOOKUP('Tabelle 1'!D72,'Degree of Symptoms'!$J$26:$K$30,2)</f>
        <v>4</v>
      </c>
      <c r="E50" s="17">
        <f t="shared" si="3"/>
        <v>3.3333333333333335</v>
      </c>
    </row>
    <row r="51" spans="1:9" x14ac:dyDescent="0.25">
      <c r="A51" s="12">
        <v>8</v>
      </c>
      <c r="B51" s="12">
        <f>VLOOKUP('Tabelle 1'!B73,'Degree of Symptoms'!$J$9:$K$13,2)</f>
        <v>3</v>
      </c>
      <c r="C51" s="12">
        <f>VLOOKUP('Tabelle 1'!C73,'Degree of Symptoms'!$J$13:$K$22,2)</f>
        <v>3</v>
      </c>
      <c r="D51" s="12">
        <f>VLOOKUP('Tabelle 1'!D73,'Degree of Symptoms'!$J$26:$K$30,2)</f>
        <v>4</v>
      </c>
      <c r="E51" s="17">
        <f t="shared" si="3"/>
        <v>3.3333333333333335</v>
      </c>
    </row>
    <row r="52" spans="1:9" x14ac:dyDescent="0.25">
      <c r="A52" s="12">
        <v>9</v>
      </c>
      <c r="B52" s="12">
        <f>VLOOKUP('Tabelle 1'!B74,'Degree of Symptoms'!$J$9:$K$13,2)</f>
        <v>3</v>
      </c>
      <c r="C52" s="12">
        <f>VLOOKUP('Tabelle 1'!C74,'Degree of Symptoms'!$J$13:$K$22,2)</f>
        <v>3</v>
      </c>
      <c r="D52" s="12">
        <f>VLOOKUP('Tabelle 1'!D74,'Degree of Symptoms'!$J$26:$K$30,2)</f>
        <v>4</v>
      </c>
      <c r="E52" s="17">
        <f t="shared" si="3"/>
        <v>3.3333333333333335</v>
      </c>
      <c r="G52" s="33"/>
      <c r="H52" s="33"/>
      <c r="I52" s="33"/>
    </row>
    <row r="53" spans="1:9" x14ac:dyDescent="0.25">
      <c r="A53" s="12">
        <v>10</v>
      </c>
      <c r="B53" s="12">
        <f>VLOOKUP('Tabelle 1'!B75,'Degree of Symptoms'!$J$9:$K$13,2)</f>
        <v>2</v>
      </c>
      <c r="C53" s="12">
        <f>VLOOKUP('Tabelle 1'!C75,'Degree of Symptoms'!$J$13:$K$22,2)</f>
        <v>2</v>
      </c>
      <c r="D53" s="12">
        <f>VLOOKUP('Tabelle 1'!D75,'Degree of Symptoms'!$J$26:$K$30,2)</f>
        <v>2</v>
      </c>
      <c r="E53" s="17">
        <f t="shared" si="3"/>
        <v>2</v>
      </c>
      <c r="G53" s="33"/>
      <c r="H53" s="2"/>
      <c r="I53" s="2"/>
    </row>
    <row r="54" spans="1:9" x14ac:dyDescent="0.25">
      <c r="A54" s="12">
        <v>11</v>
      </c>
      <c r="B54" s="12">
        <f>VLOOKUP('Tabelle 1'!B76,'Degree of Symptoms'!$J$9:$K$13,2)</f>
        <v>3</v>
      </c>
      <c r="C54" s="12">
        <f>VLOOKUP('Tabelle 1'!C76,'Degree of Symptoms'!$J$13:$K$22,2)</f>
        <v>2</v>
      </c>
      <c r="D54" s="12">
        <f>VLOOKUP('Tabelle 1'!D76,'Degree of Symptoms'!$J$26:$K$30,2)</f>
        <v>4</v>
      </c>
      <c r="E54" s="17">
        <f t="shared" si="3"/>
        <v>3</v>
      </c>
      <c r="G54" s="33"/>
      <c r="H54" s="2"/>
      <c r="I54" s="2"/>
    </row>
    <row r="55" spans="1:9" x14ac:dyDescent="0.25">
      <c r="A55" s="12">
        <v>12</v>
      </c>
      <c r="B55" s="12">
        <f>VLOOKUP('Tabelle 1'!B77,'Degree of Symptoms'!$J$9:$K$13,2)</f>
        <v>3</v>
      </c>
      <c r="C55" s="12">
        <f>VLOOKUP('Tabelle 1'!C77,'Degree of Symptoms'!$J$13:$K$22,2)</f>
        <v>2</v>
      </c>
      <c r="D55" s="12">
        <f>VLOOKUP('Tabelle 1'!D77,'Degree of Symptoms'!$J$26:$K$30,2)</f>
        <v>3</v>
      </c>
      <c r="E55" s="17">
        <f t="shared" si="3"/>
        <v>2.6666666666666665</v>
      </c>
      <c r="G55" s="33"/>
      <c r="H55" s="2"/>
      <c r="I55" s="2"/>
    </row>
    <row r="56" spans="1:9" x14ac:dyDescent="0.25">
      <c r="A56" s="12">
        <v>13</v>
      </c>
      <c r="B56" s="12">
        <f>VLOOKUP('Tabelle 1'!B78,'Degree of Symptoms'!$J$9:$K$13,2)</f>
        <v>2</v>
      </c>
      <c r="C56" s="12">
        <f>VLOOKUP('Tabelle 1'!C78,'Degree of Symptoms'!$J$13:$K$22,2)</f>
        <v>2</v>
      </c>
      <c r="D56" s="12">
        <f>VLOOKUP('Tabelle 1'!D78,'Degree of Symptoms'!$J$26:$K$30,2)</f>
        <v>3</v>
      </c>
      <c r="E56" s="17">
        <f t="shared" si="3"/>
        <v>2.3333333333333335</v>
      </c>
      <c r="G56" s="33"/>
      <c r="H56" s="2"/>
      <c r="I56" s="2"/>
    </row>
    <row r="57" spans="1:9" x14ac:dyDescent="0.25">
      <c r="A57" s="12">
        <v>14</v>
      </c>
      <c r="B57" s="12">
        <f>VLOOKUP('Tabelle 1'!B79,'Degree of Symptoms'!$J$9:$K$13,2)</f>
        <v>1</v>
      </c>
      <c r="C57" s="12">
        <f>VLOOKUP('Tabelle 1'!C79,'Degree of Symptoms'!$J$13:$K$22,2)</f>
        <v>2</v>
      </c>
      <c r="D57" s="12">
        <f>VLOOKUP('Tabelle 1'!D79,'Degree of Symptoms'!$J$26:$K$30,2)</f>
        <v>3</v>
      </c>
      <c r="E57" s="17">
        <f t="shared" si="3"/>
        <v>2</v>
      </c>
      <c r="G57" s="33"/>
      <c r="H57" s="2"/>
      <c r="I57" s="2"/>
    </row>
    <row r="58" spans="1:9" x14ac:dyDescent="0.25">
      <c r="A58" s="12">
        <v>15</v>
      </c>
      <c r="B58" s="12">
        <f>VLOOKUP('Tabelle 1'!B80,'Degree of Symptoms'!$J$9:$K$13,2)</f>
        <v>3</v>
      </c>
      <c r="C58" s="12">
        <f>VLOOKUP('Tabelle 1'!C80,'Degree of Symptoms'!$J$13:$K$22,2)</f>
        <v>2</v>
      </c>
      <c r="D58" s="12">
        <f>VLOOKUP('Tabelle 1'!D80,'Degree of Symptoms'!$J$26:$K$30,2)</f>
        <v>4</v>
      </c>
      <c r="E58" s="17">
        <f t="shared" si="3"/>
        <v>3</v>
      </c>
    </row>
    <row r="59" spans="1:9" x14ac:dyDescent="0.25">
      <c r="A59" s="12"/>
      <c r="B59" s="12"/>
      <c r="C59" s="12"/>
      <c r="D59" s="12"/>
      <c r="E59" s="17"/>
      <c r="F59" s="2" t="s">
        <v>12</v>
      </c>
    </row>
    <row r="60" spans="1:9" x14ac:dyDescent="0.25">
      <c r="A60" s="19" t="s">
        <v>46</v>
      </c>
      <c r="B60" s="12">
        <f>AVERAGE(B44:B58)</f>
        <v>3</v>
      </c>
      <c r="C60" s="12">
        <f>AVERAGE(C44:C58)</f>
        <v>2.7333333333333334</v>
      </c>
      <c r="D60" s="12">
        <f>AVERAGE(D44:D58)</f>
        <v>3.6666666666666665</v>
      </c>
      <c r="E60" s="17">
        <f>AVERAGE(E44:E58)</f>
        <v>3.1333333333333329</v>
      </c>
      <c r="F60" s="2">
        <f>'Tabelle 1'!F82</f>
        <v>15</v>
      </c>
    </row>
    <row r="61" spans="1:9" x14ac:dyDescent="0.25">
      <c r="A61" s="19" t="s">
        <v>47</v>
      </c>
      <c r="B61" s="12">
        <f>STDEV(B44:B58)</f>
        <v>0.84515425472851657</v>
      </c>
      <c r="C61" s="12">
        <f>STDEV(C44:C58)</f>
        <v>0.70373155054899705</v>
      </c>
      <c r="D61" s="12">
        <f>STDEV(D44:D58)</f>
        <v>0.6172133998483682</v>
      </c>
      <c r="E61" s="17">
        <f>STDEV(E44:E58)</f>
        <v>0.63994047342218841</v>
      </c>
    </row>
    <row r="64" spans="1:9" x14ac:dyDescent="0.25">
      <c r="A64" s="9" t="str">
        <f>'Tabelle 1'!A85</f>
        <v>WT B</v>
      </c>
      <c r="B64" s="19" t="s">
        <v>34</v>
      </c>
      <c r="C64" s="19" t="s">
        <v>35</v>
      </c>
      <c r="D64" s="19" t="s">
        <v>36</v>
      </c>
      <c r="E64" s="19" t="s">
        <v>37</v>
      </c>
      <c r="H64" s="33" t="s">
        <v>38</v>
      </c>
    </row>
    <row r="65" spans="1:9" x14ac:dyDescent="0.25">
      <c r="A65" s="12">
        <v>1</v>
      </c>
      <c r="B65" s="12">
        <f>VLOOKUP('Tabelle 1'!B87,'Degree of Symptoms'!$J$9:$K$13,2)</f>
        <v>3</v>
      </c>
      <c r="C65" s="12">
        <f>VLOOKUP('Tabelle 1'!C87,'Degree of Symptoms'!$J$13:$K$22,2)</f>
        <v>3</v>
      </c>
      <c r="D65" s="12">
        <f>VLOOKUP('Tabelle 1'!D87,'Degree of Symptoms'!$J$26:$K$30,2)</f>
        <v>4</v>
      </c>
      <c r="E65" s="17">
        <f t="shared" ref="E65:E79" si="4">AVERAGE(B65:D65)</f>
        <v>3.3333333333333335</v>
      </c>
      <c r="G65" s="34" t="s">
        <v>39</v>
      </c>
      <c r="H65" s="1">
        <f>COUNTIFS($E$65:$E$79,"&lt;1,99",$E$65:$E$79,"&gt;=1")</f>
        <v>1</v>
      </c>
    </row>
    <row r="66" spans="1:9" x14ac:dyDescent="0.25">
      <c r="A66" s="12">
        <v>2</v>
      </c>
      <c r="B66" s="12">
        <f>VLOOKUP('Tabelle 1'!B88,'Degree of Symptoms'!$J$9:$K$13,2)</f>
        <v>2</v>
      </c>
      <c r="C66" s="12">
        <f>VLOOKUP('Tabelle 1'!C88,'Degree of Symptoms'!$J$13:$K$22,2)</f>
        <v>2</v>
      </c>
      <c r="D66" s="12">
        <f>VLOOKUP('Tabelle 1'!D88,'Degree of Symptoms'!$J$26:$K$30,2)</f>
        <v>3</v>
      </c>
      <c r="E66" s="17">
        <f t="shared" si="4"/>
        <v>2.3333333333333335</v>
      </c>
      <c r="G66" s="34" t="s">
        <v>40</v>
      </c>
      <c r="H66" s="1">
        <f>COUNTIFS($E$65:$E$79,"&lt;2,99",$E$65:$E$79,"&gt;=2")</f>
        <v>7</v>
      </c>
    </row>
    <row r="67" spans="1:9" x14ac:dyDescent="0.25">
      <c r="A67" s="12">
        <v>3</v>
      </c>
      <c r="B67" s="12">
        <f>VLOOKUP('Tabelle 1'!B89,'Degree of Symptoms'!$J$9:$K$13,2)</f>
        <v>3</v>
      </c>
      <c r="C67" s="12">
        <f>VLOOKUP('Tabelle 1'!C89,'Degree of Symptoms'!$J$13:$K$22,2)</f>
        <v>2</v>
      </c>
      <c r="D67" s="12">
        <f>VLOOKUP('Tabelle 1'!D89,'Degree of Symptoms'!$J$26:$K$30,2)</f>
        <v>4</v>
      </c>
      <c r="E67" s="17">
        <f t="shared" si="4"/>
        <v>3</v>
      </c>
      <c r="G67" s="34" t="s">
        <v>42</v>
      </c>
      <c r="H67" s="1">
        <f>COUNTIFS($E$65:$E$79,"&lt;3,99",$E$65:$E$79,"&gt;=3")</f>
        <v>7</v>
      </c>
    </row>
    <row r="68" spans="1:9" x14ac:dyDescent="0.25">
      <c r="A68" s="12">
        <v>4</v>
      </c>
      <c r="B68" s="12">
        <f>VLOOKUP('Tabelle 1'!B90,'Degree of Symptoms'!$J$9:$K$13,2)</f>
        <v>3</v>
      </c>
      <c r="C68" s="12">
        <f>VLOOKUP('Tabelle 1'!C90,'Degree of Symptoms'!$J$13:$K$22,2)</f>
        <v>3</v>
      </c>
      <c r="D68" s="12">
        <f>VLOOKUP('Tabelle 1'!D90,'Degree of Symptoms'!$J$26:$K$30,2)</f>
        <v>3</v>
      </c>
      <c r="E68" s="17">
        <f t="shared" si="4"/>
        <v>3</v>
      </c>
      <c r="G68" s="34" t="s">
        <v>44</v>
      </c>
      <c r="H68" s="1">
        <f>COUNTIFS($E$65:$E$79,"&lt;4,99",$E$65:$E$79,"&gt;=4")</f>
        <v>0</v>
      </c>
    </row>
    <row r="69" spans="1:9" x14ac:dyDescent="0.25">
      <c r="A69" s="12">
        <v>5</v>
      </c>
      <c r="B69" s="12">
        <f>VLOOKUP('Tabelle 1'!B91,'Degree of Symptoms'!$J$9:$K$13,2)</f>
        <v>2</v>
      </c>
      <c r="C69" s="12">
        <f>VLOOKUP('Tabelle 1'!C91,'Degree of Symptoms'!$J$13:$K$22,2)</f>
        <v>2</v>
      </c>
      <c r="D69" s="12">
        <f>VLOOKUP('Tabelle 1'!D91,'Degree of Symptoms'!$J$26:$K$30,2)</f>
        <v>3</v>
      </c>
      <c r="E69" s="17">
        <f t="shared" si="4"/>
        <v>2.3333333333333335</v>
      </c>
      <c r="G69" s="34">
        <v>5</v>
      </c>
      <c r="H69" s="1">
        <f>COUNTIF($E$65:$E$79,"&gt;=5")</f>
        <v>0</v>
      </c>
    </row>
    <row r="70" spans="1:9" x14ac:dyDescent="0.25">
      <c r="A70" s="12">
        <v>6</v>
      </c>
      <c r="B70" s="12">
        <f>VLOOKUP('Tabelle 1'!B92,'Degree of Symptoms'!$J$9:$K$13,2)</f>
        <v>3</v>
      </c>
      <c r="C70" s="12">
        <f>VLOOKUP('Tabelle 1'!C92,'Degree of Symptoms'!$J$13:$K$22,2)</f>
        <v>3</v>
      </c>
      <c r="D70" s="12">
        <f>VLOOKUP('Tabelle 1'!D92,'Degree of Symptoms'!$J$26:$K$30,2)</f>
        <v>4</v>
      </c>
      <c r="E70" s="17">
        <f t="shared" si="4"/>
        <v>3.3333333333333335</v>
      </c>
      <c r="H70" s="1">
        <f>SUM(H65:H69)</f>
        <v>15</v>
      </c>
    </row>
    <row r="71" spans="1:9" x14ac:dyDescent="0.25">
      <c r="A71" s="12">
        <v>7</v>
      </c>
      <c r="B71" s="12">
        <f>VLOOKUP('Tabelle 1'!B93,'Degree of Symptoms'!$J$9:$K$13,2)</f>
        <v>3</v>
      </c>
      <c r="C71" s="12">
        <f>VLOOKUP('Tabelle 1'!C93,'Degree of Symptoms'!$J$13:$K$22,2)</f>
        <v>3</v>
      </c>
      <c r="D71" s="12">
        <f>VLOOKUP('Tabelle 1'!D93,'Degree of Symptoms'!$J$26:$K$30,2)</f>
        <v>4</v>
      </c>
      <c r="E71" s="17">
        <f t="shared" si="4"/>
        <v>3.3333333333333335</v>
      </c>
    </row>
    <row r="72" spans="1:9" x14ac:dyDescent="0.25">
      <c r="A72" s="12">
        <v>8</v>
      </c>
      <c r="B72" s="12">
        <f>VLOOKUP('Tabelle 1'!B94,'Degree of Symptoms'!$J$9:$K$13,2)</f>
        <v>2</v>
      </c>
      <c r="C72" s="12">
        <f>VLOOKUP('Tabelle 1'!C94,'Degree of Symptoms'!$J$13:$K$22,2)</f>
        <v>2</v>
      </c>
      <c r="D72" s="12">
        <f>VLOOKUP('Tabelle 1'!D94,'Degree of Symptoms'!$J$26:$K$30,2)</f>
        <v>3</v>
      </c>
      <c r="E72" s="17">
        <f t="shared" si="4"/>
        <v>2.3333333333333335</v>
      </c>
    </row>
    <row r="73" spans="1:9" x14ac:dyDescent="0.25">
      <c r="A73" s="12">
        <v>9</v>
      </c>
      <c r="B73" s="12">
        <f>VLOOKUP('Tabelle 1'!B95,'Degree of Symptoms'!$J$9:$K$13,2)</f>
        <v>2</v>
      </c>
      <c r="C73" s="12">
        <f>VLOOKUP('Tabelle 1'!C95,'Degree of Symptoms'!$J$13:$K$22,2)</f>
        <v>2</v>
      </c>
      <c r="D73" s="12">
        <f>VLOOKUP('Tabelle 1'!D95,'Degree of Symptoms'!$J$26:$K$30,2)</f>
        <v>3</v>
      </c>
      <c r="E73" s="17">
        <f t="shared" si="4"/>
        <v>2.3333333333333335</v>
      </c>
      <c r="G73" s="33"/>
      <c r="H73" s="33"/>
      <c r="I73" s="33"/>
    </row>
    <row r="74" spans="1:9" x14ac:dyDescent="0.25">
      <c r="A74" s="12">
        <v>10</v>
      </c>
      <c r="B74" s="12">
        <f>VLOOKUP('Tabelle 1'!B96,'Degree of Symptoms'!$J$9:$K$13,2)</f>
        <v>2</v>
      </c>
      <c r="C74" s="12">
        <f>VLOOKUP('Tabelle 1'!C96,'Degree of Symptoms'!$J$13:$K$22,2)</f>
        <v>2</v>
      </c>
      <c r="D74" s="12">
        <f>VLOOKUP('Tabelle 1'!D96,'Degree of Symptoms'!$J$26:$K$30,2)</f>
        <v>2</v>
      </c>
      <c r="E74" s="17">
        <f t="shared" si="4"/>
        <v>2</v>
      </c>
      <c r="G74" s="33"/>
      <c r="H74" s="2"/>
      <c r="I74" s="2"/>
    </row>
    <row r="75" spans="1:9" x14ac:dyDescent="0.25">
      <c r="A75" s="12">
        <v>11</v>
      </c>
      <c r="B75" s="12">
        <f>VLOOKUP('Tabelle 1'!B97,'Degree of Symptoms'!$J$9:$K$13,2)</f>
        <v>2</v>
      </c>
      <c r="C75" s="12">
        <f>VLOOKUP('Tabelle 1'!C97,'Degree of Symptoms'!$J$13:$K$22,2)</f>
        <v>1</v>
      </c>
      <c r="D75" s="12">
        <f>VLOOKUP('Tabelle 1'!D97,'Degree of Symptoms'!$J$26:$K$30,2)</f>
        <v>3</v>
      </c>
      <c r="E75" s="17">
        <f t="shared" si="4"/>
        <v>2</v>
      </c>
      <c r="G75" s="33"/>
      <c r="H75" s="2"/>
      <c r="I75" s="2"/>
    </row>
    <row r="76" spans="1:9" x14ac:dyDescent="0.25">
      <c r="A76" s="12">
        <v>12</v>
      </c>
      <c r="B76" s="12">
        <f>VLOOKUP('Tabelle 1'!B98,'Degree of Symptoms'!$J$9:$K$13,2)</f>
        <v>3</v>
      </c>
      <c r="C76" s="12">
        <f>VLOOKUP('Tabelle 1'!C98,'Degree of Symptoms'!$J$13:$K$22,2)</f>
        <v>2</v>
      </c>
      <c r="D76" s="12">
        <f>VLOOKUP('Tabelle 1'!D98,'Degree of Symptoms'!$J$26:$K$30,2)</f>
        <v>3</v>
      </c>
      <c r="E76" s="17">
        <f t="shared" si="4"/>
        <v>2.6666666666666665</v>
      </c>
      <c r="G76" s="33"/>
      <c r="H76" s="2"/>
      <c r="I76" s="2"/>
    </row>
    <row r="77" spans="1:9" x14ac:dyDescent="0.25">
      <c r="A77" s="12">
        <v>13</v>
      </c>
      <c r="B77" s="12">
        <f>VLOOKUP('Tabelle 1'!B99,'Degree of Symptoms'!$J$9:$K$13,2)</f>
        <v>3</v>
      </c>
      <c r="C77" s="12">
        <f>VLOOKUP('Tabelle 1'!C99,'Degree of Symptoms'!$J$13:$K$22,2)</f>
        <v>3</v>
      </c>
      <c r="D77" s="12">
        <f>VLOOKUP('Tabelle 1'!D99,'Degree of Symptoms'!$J$26:$K$30,2)</f>
        <v>4</v>
      </c>
      <c r="E77" s="17">
        <f t="shared" si="4"/>
        <v>3.3333333333333335</v>
      </c>
      <c r="G77" s="33"/>
      <c r="H77" s="2"/>
      <c r="I77" s="2"/>
    </row>
    <row r="78" spans="1:9" x14ac:dyDescent="0.25">
      <c r="A78" s="12">
        <v>14</v>
      </c>
      <c r="B78" s="12">
        <f>VLOOKUP('Tabelle 1'!B100,'Degree of Symptoms'!$J$9:$K$13,2)</f>
        <v>2</v>
      </c>
      <c r="C78" s="12">
        <f>VLOOKUP('Tabelle 1'!C100,'Degree of Symptoms'!$J$13:$K$22,2)</f>
        <v>1</v>
      </c>
      <c r="D78" s="12">
        <f>VLOOKUP('Tabelle 1'!D100,'Degree of Symptoms'!$J$26:$K$30,2)</f>
        <v>2</v>
      </c>
      <c r="E78" s="17">
        <f t="shared" si="4"/>
        <v>1.6666666666666667</v>
      </c>
      <c r="G78" s="33"/>
      <c r="H78" s="2"/>
      <c r="I78" s="2"/>
    </row>
    <row r="79" spans="1:9" x14ac:dyDescent="0.25">
      <c r="A79" s="12">
        <v>15</v>
      </c>
      <c r="B79" s="12">
        <f>VLOOKUP('Tabelle 1'!B101,'Degree of Symptoms'!$J$9:$K$13,2)</f>
        <v>3</v>
      </c>
      <c r="C79" s="12">
        <f>VLOOKUP('Tabelle 1'!C101,'Degree of Symptoms'!$J$13:$K$22,2)</f>
        <v>3</v>
      </c>
      <c r="D79" s="12">
        <f>VLOOKUP('Tabelle 1'!D101,'Degree of Symptoms'!$J$26:$K$30,2)</f>
        <v>4</v>
      </c>
      <c r="E79" s="17">
        <f t="shared" si="4"/>
        <v>3.3333333333333335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46</v>
      </c>
      <c r="B81" s="12">
        <f>AVERAGE(B65:B79)</f>
        <v>2.5333333333333332</v>
      </c>
      <c r="C81" s="12">
        <f>AVERAGE(C65:C79)</f>
        <v>2.2666666666666666</v>
      </c>
      <c r="D81" s="12">
        <f>AVERAGE(D65:D79)</f>
        <v>3.2666666666666666</v>
      </c>
      <c r="E81" s="17">
        <f>AVERAGE(E65:E79)</f>
        <v>2.6888888888888891</v>
      </c>
      <c r="F81" s="2">
        <f>'Tabelle 1'!F103</f>
        <v>15</v>
      </c>
    </row>
    <row r="82" spans="1:9" x14ac:dyDescent="0.25">
      <c r="A82" s="19" t="s">
        <v>47</v>
      </c>
      <c r="B82" s="12">
        <f>STDEV(B65:B79)</f>
        <v>0.51639777949432231</v>
      </c>
      <c r="C82" s="12">
        <f>STDEV(C65:C79)</f>
        <v>0.70373155054899705</v>
      </c>
      <c r="D82" s="12">
        <f>STDEV(D65:D79)</f>
        <v>0.70373155054899705</v>
      </c>
      <c r="E82" s="17">
        <f>STDEV(E65:E79)</f>
        <v>0.58373002384727468</v>
      </c>
    </row>
    <row r="85" spans="1:9" x14ac:dyDescent="0.25">
      <c r="A85" s="9" t="str">
        <f>'Tabelle 1'!A106</f>
        <v>ΔNML1 c8</v>
      </c>
      <c r="B85" s="19" t="s">
        <v>34</v>
      </c>
      <c r="C85" s="19" t="s">
        <v>35</v>
      </c>
      <c r="D85" s="19" t="s">
        <v>36</v>
      </c>
      <c r="E85" s="19" t="s">
        <v>37</v>
      </c>
      <c r="H85" s="33" t="s">
        <v>38</v>
      </c>
    </row>
    <row r="86" spans="1:9" x14ac:dyDescent="0.25">
      <c r="A86" s="12">
        <v>1</v>
      </c>
      <c r="B86" s="12">
        <f>VLOOKUP('Tabelle 1'!B108,'Degree of Symptoms'!$J$9:$K$13,2)</f>
        <v>2</v>
      </c>
      <c r="C86" s="12">
        <f>VLOOKUP('Tabelle 1'!C108,'Degree of Symptoms'!$J$13:$K$22,2)</f>
        <v>1</v>
      </c>
      <c r="D86" s="12">
        <f>VLOOKUP('Tabelle 1'!D108,'Degree of Symptoms'!$J$26:$K$30,2)</f>
        <v>2</v>
      </c>
      <c r="E86" s="17">
        <f t="shared" ref="E86:E100" si="5">AVERAGE(B86:D86)</f>
        <v>1.6666666666666667</v>
      </c>
      <c r="G86" s="34" t="s">
        <v>39</v>
      </c>
      <c r="H86" s="1">
        <f>COUNTIFS($E$86:$E$100,"&lt;1,99",$E$86:$E$100,"&gt;=1")</f>
        <v>6</v>
      </c>
    </row>
    <row r="87" spans="1:9" x14ac:dyDescent="0.25">
      <c r="A87" s="12">
        <v>2</v>
      </c>
      <c r="B87" s="12">
        <f>VLOOKUP('Tabelle 1'!B109,'Degree of Symptoms'!$J$9:$K$13,2)</f>
        <v>1</v>
      </c>
      <c r="C87" s="12">
        <f>VLOOKUP('Tabelle 1'!C109,'Degree of Symptoms'!$J$13:$K$22,2)</f>
        <v>1</v>
      </c>
      <c r="D87" s="12">
        <f>VLOOKUP('Tabelle 1'!D109,'Degree of Symptoms'!$J$26:$K$30,2)</f>
        <v>2</v>
      </c>
      <c r="E87" s="17">
        <f t="shared" si="5"/>
        <v>1.3333333333333333</v>
      </c>
      <c r="G87" s="34" t="s">
        <v>40</v>
      </c>
      <c r="H87" s="1">
        <f>COUNTIFS($E$86:$E$100,"&lt;2,99",$E$86:$E$100,"&gt;=2")</f>
        <v>6</v>
      </c>
    </row>
    <row r="88" spans="1:9" x14ac:dyDescent="0.25">
      <c r="A88" s="12">
        <v>3</v>
      </c>
      <c r="B88" s="12">
        <f>VLOOKUP('Tabelle 1'!B110,'Degree of Symptoms'!$J$9:$K$13,2)</f>
        <v>1</v>
      </c>
      <c r="C88" s="12">
        <f>VLOOKUP('Tabelle 1'!C110,'Degree of Symptoms'!$J$13:$K$22,2)</f>
        <v>1</v>
      </c>
      <c r="D88" s="12">
        <f>VLOOKUP('Tabelle 1'!D110,'Degree of Symptoms'!$J$26:$K$30,2)</f>
        <v>1</v>
      </c>
      <c r="E88" s="17">
        <f t="shared" si="5"/>
        <v>1</v>
      </c>
      <c r="G88" s="34" t="s">
        <v>42</v>
      </c>
      <c r="H88" s="1">
        <f>COUNTIFS($E$86:$E$100,"&lt;3,99",$E$86:$E$100,"&gt;=3")</f>
        <v>3</v>
      </c>
    </row>
    <row r="89" spans="1:9" x14ac:dyDescent="0.25">
      <c r="A89" s="12">
        <v>4</v>
      </c>
      <c r="B89" s="12">
        <f>VLOOKUP('Tabelle 1'!B111,'Degree of Symptoms'!$J$9:$K$13,2)</f>
        <v>2</v>
      </c>
      <c r="C89" s="12">
        <f>VLOOKUP('Tabelle 1'!C111,'Degree of Symptoms'!$J$13:$K$22,2)</f>
        <v>1</v>
      </c>
      <c r="D89" s="12">
        <f>VLOOKUP('Tabelle 1'!D111,'Degree of Symptoms'!$J$26:$K$30,2)</f>
        <v>3</v>
      </c>
      <c r="E89" s="17">
        <f t="shared" si="5"/>
        <v>2</v>
      </c>
      <c r="G89" s="34" t="s">
        <v>44</v>
      </c>
      <c r="H89" s="1">
        <f>COUNTIFS($E$86:$E$100,"&lt;4,99",$E$86:$E$100,"&gt;=4")</f>
        <v>0</v>
      </c>
    </row>
    <row r="90" spans="1:9" x14ac:dyDescent="0.25">
      <c r="A90" s="12">
        <v>5</v>
      </c>
      <c r="B90" s="12">
        <f>VLOOKUP('Tabelle 1'!B112,'Degree of Symptoms'!$J$9:$K$13,2)</f>
        <v>1</v>
      </c>
      <c r="C90" s="12">
        <f>VLOOKUP('Tabelle 1'!C112,'Degree of Symptoms'!$J$13:$K$22,2)</f>
        <v>1</v>
      </c>
      <c r="D90" s="12">
        <f>VLOOKUP('Tabelle 1'!D112,'Degree of Symptoms'!$J$26:$K$30,2)</f>
        <v>2</v>
      </c>
      <c r="E90" s="17">
        <f t="shared" si="5"/>
        <v>1.3333333333333333</v>
      </c>
      <c r="G90" s="34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1'!B113,'Degree of Symptoms'!$J$9:$K$13,2)</f>
        <v>2</v>
      </c>
      <c r="C91" s="12">
        <f>VLOOKUP('Tabelle 1'!C113,'Degree of Symptoms'!$J$13:$K$22,2)</f>
        <v>2</v>
      </c>
      <c r="D91" s="12">
        <f>VLOOKUP('Tabelle 1'!D113,'Degree of Symptoms'!$J$26:$K$30,2)</f>
        <v>3</v>
      </c>
      <c r="E91" s="17">
        <f t="shared" si="5"/>
        <v>2.3333333333333335</v>
      </c>
      <c r="H91" s="1">
        <f>SUM(H86:H90)</f>
        <v>15</v>
      </c>
    </row>
    <row r="92" spans="1:9" x14ac:dyDescent="0.25">
      <c r="A92" s="12">
        <v>7</v>
      </c>
      <c r="B92" s="12">
        <f>VLOOKUP('Tabelle 1'!B114,'Degree of Symptoms'!$J$9:$K$13,2)</f>
        <v>1</v>
      </c>
      <c r="C92" s="12">
        <f>VLOOKUP('Tabelle 1'!C114,'Degree of Symptoms'!$J$13:$K$22,2)</f>
        <v>1</v>
      </c>
      <c r="D92" s="12">
        <f>VLOOKUP('Tabelle 1'!D114,'Degree of Symptoms'!$J$26:$K$30,2)</f>
        <v>2</v>
      </c>
      <c r="E92" s="17">
        <f t="shared" si="5"/>
        <v>1.3333333333333333</v>
      </c>
    </row>
    <row r="93" spans="1:9" x14ac:dyDescent="0.25">
      <c r="A93" s="12">
        <v>8</v>
      </c>
      <c r="B93" s="12">
        <f>VLOOKUP('Tabelle 1'!B115,'Degree of Symptoms'!$J$9:$K$13,2)</f>
        <v>3</v>
      </c>
      <c r="C93" s="12">
        <f>VLOOKUP('Tabelle 1'!C115,'Degree of Symptoms'!$J$13:$K$22,2)</f>
        <v>3</v>
      </c>
      <c r="D93" s="12">
        <f>VLOOKUP('Tabelle 1'!D115,'Degree of Symptoms'!$J$26:$K$30,2)</f>
        <v>4</v>
      </c>
      <c r="E93" s="17">
        <f t="shared" si="5"/>
        <v>3.3333333333333335</v>
      </c>
    </row>
    <row r="94" spans="1:9" x14ac:dyDescent="0.25">
      <c r="A94" s="12">
        <v>9</v>
      </c>
      <c r="B94" s="12">
        <f>VLOOKUP('Tabelle 1'!B116,'Degree of Symptoms'!$J$9:$K$13,2)</f>
        <v>1</v>
      </c>
      <c r="C94" s="12">
        <f>VLOOKUP('Tabelle 1'!C116,'Degree of Symptoms'!$J$13:$K$22,2)</f>
        <v>1</v>
      </c>
      <c r="D94" s="12">
        <f>VLOOKUP('Tabelle 1'!D116,'Degree of Symptoms'!$J$26:$K$30,2)</f>
        <v>2</v>
      </c>
      <c r="E94" s="17">
        <f t="shared" si="5"/>
        <v>1.3333333333333333</v>
      </c>
      <c r="G94" s="33"/>
      <c r="H94" s="33"/>
      <c r="I94" s="33"/>
    </row>
    <row r="95" spans="1:9" x14ac:dyDescent="0.25">
      <c r="A95" s="12">
        <v>10</v>
      </c>
      <c r="B95" s="12">
        <f>VLOOKUP('Tabelle 1'!B117,'Degree of Symptoms'!$J$9:$K$13,2)</f>
        <v>2</v>
      </c>
      <c r="C95" s="12">
        <f>VLOOKUP('Tabelle 1'!C117,'Degree of Symptoms'!$J$13:$K$22,2)</f>
        <v>2</v>
      </c>
      <c r="D95" s="12">
        <f>VLOOKUP('Tabelle 1'!D117,'Degree of Symptoms'!$J$26:$K$30,2)</f>
        <v>2</v>
      </c>
      <c r="E95" s="17">
        <f t="shared" si="5"/>
        <v>2</v>
      </c>
      <c r="G95" s="33"/>
      <c r="H95" s="2"/>
      <c r="I95" s="2"/>
    </row>
    <row r="96" spans="1:9" x14ac:dyDescent="0.25">
      <c r="A96" s="12">
        <v>11</v>
      </c>
      <c r="B96" s="12">
        <f>VLOOKUP('Tabelle 1'!B118,'Degree of Symptoms'!$J$9:$K$13,2)</f>
        <v>2</v>
      </c>
      <c r="C96" s="12">
        <f>VLOOKUP('Tabelle 1'!C118,'Degree of Symptoms'!$J$13:$K$22,2)</f>
        <v>1</v>
      </c>
      <c r="D96" s="12">
        <f>VLOOKUP('Tabelle 1'!D118,'Degree of Symptoms'!$J$26:$K$30,2)</f>
        <v>3</v>
      </c>
      <c r="E96" s="17">
        <f t="shared" si="5"/>
        <v>2</v>
      </c>
      <c r="G96" s="33"/>
      <c r="H96" s="2"/>
      <c r="I96" s="2"/>
    </row>
    <row r="97" spans="1:9" x14ac:dyDescent="0.25">
      <c r="A97" s="12">
        <v>12</v>
      </c>
      <c r="B97" s="12">
        <f>VLOOKUP('Tabelle 1'!B119,'Degree of Symptoms'!$J$9:$K$13,2)</f>
        <v>3</v>
      </c>
      <c r="C97" s="12">
        <f>VLOOKUP('Tabelle 1'!C119,'Degree of Symptoms'!$J$13:$K$22,2)</f>
        <v>2</v>
      </c>
      <c r="D97" s="12">
        <f>VLOOKUP('Tabelle 1'!D119,'Degree of Symptoms'!$J$26:$K$30,2)</f>
        <v>4</v>
      </c>
      <c r="E97" s="17">
        <f t="shared" si="5"/>
        <v>3</v>
      </c>
      <c r="G97" s="33"/>
      <c r="H97" s="2"/>
      <c r="I97" s="2"/>
    </row>
    <row r="98" spans="1:9" x14ac:dyDescent="0.25">
      <c r="A98" s="12">
        <v>13</v>
      </c>
      <c r="B98" s="12">
        <f>VLOOKUP('Tabelle 1'!B120,'Degree of Symptoms'!$J$9:$K$13,2)</f>
        <v>3</v>
      </c>
      <c r="C98" s="12">
        <f>VLOOKUP('Tabelle 1'!C120,'Degree of Symptoms'!$J$13:$K$22,2)</f>
        <v>2</v>
      </c>
      <c r="D98" s="12">
        <f>VLOOKUP('Tabelle 1'!D120,'Degree of Symptoms'!$J$26:$K$30,2)</f>
        <v>4</v>
      </c>
      <c r="E98" s="17">
        <f t="shared" si="5"/>
        <v>3</v>
      </c>
      <c r="G98" s="33"/>
      <c r="H98" s="2"/>
      <c r="I98" s="2"/>
    </row>
    <row r="99" spans="1:9" x14ac:dyDescent="0.25">
      <c r="A99" s="12">
        <v>14</v>
      </c>
      <c r="B99" s="12">
        <f>VLOOKUP('Tabelle 1'!B121,'Degree of Symptoms'!$J$9:$K$13,2)</f>
        <v>2</v>
      </c>
      <c r="C99" s="12">
        <f>VLOOKUP('Tabelle 1'!C121,'Degree of Symptoms'!$J$13:$K$22,2)</f>
        <v>2</v>
      </c>
      <c r="D99" s="12">
        <f>VLOOKUP('Tabelle 1'!D121,'Degree of Symptoms'!$J$26:$K$30,2)</f>
        <v>3</v>
      </c>
      <c r="E99" s="17">
        <f t="shared" si="5"/>
        <v>2.3333333333333335</v>
      </c>
      <c r="G99" s="33"/>
      <c r="H99" s="2"/>
      <c r="I99" s="2"/>
    </row>
    <row r="100" spans="1:9" x14ac:dyDescent="0.25">
      <c r="A100" s="12">
        <v>15</v>
      </c>
      <c r="B100" s="12">
        <f>VLOOKUP('Tabelle 1'!B122,'Degree of Symptoms'!$J$9:$K$13,2)</f>
        <v>2</v>
      </c>
      <c r="C100" s="12">
        <f>VLOOKUP('Tabelle 1'!C122,'Degree of Symptoms'!$J$13:$K$22,2)</f>
        <v>2</v>
      </c>
      <c r="D100" s="12">
        <f>VLOOKUP('Tabelle 1'!D122,'Degree of Symptoms'!$J$26:$K$30,2)</f>
        <v>3</v>
      </c>
      <c r="E100" s="17">
        <f t="shared" si="5"/>
        <v>2.3333333333333335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46</v>
      </c>
      <c r="B102" s="12">
        <f>AVERAGE(B86:B100)</f>
        <v>1.8666666666666667</v>
      </c>
      <c r="C102" s="12">
        <f>AVERAGE(C86:C100)</f>
        <v>1.5333333333333334</v>
      </c>
      <c r="D102" s="12">
        <f>AVERAGE(D86:D100)</f>
        <v>2.6666666666666665</v>
      </c>
      <c r="E102" s="17">
        <f>AVERAGE(E86:E100)</f>
        <v>2.0222222222222221</v>
      </c>
      <c r="F102" s="2">
        <f>'Tabelle 1'!F124</f>
        <v>15</v>
      </c>
    </row>
    <row r="103" spans="1:9" x14ac:dyDescent="0.25">
      <c r="A103" s="19" t="s">
        <v>47</v>
      </c>
      <c r="B103" s="12">
        <f>STDEV(B86:B100)</f>
        <v>0.74322335295720654</v>
      </c>
      <c r="C103" s="12">
        <f>STDEV(C86:C100)</f>
        <v>0.63994047342218441</v>
      </c>
      <c r="D103" s="12">
        <f>STDEV(D86:D100)</f>
        <v>0.89973541084243713</v>
      </c>
      <c r="E103" s="17">
        <f>STDEV(E86:E100)</f>
        <v>0.70673255158574666</v>
      </c>
    </row>
    <row r="106" spans="1:9" x14ac:dyDescent="0.25">
      <c r="A106" s="9" t="str">
        <f>'Tabelle 1'!A127</f>
        <v>ΔNML1 c9</v>
      </c>
      <c r="B106" s="19" t="s">
        <v>34</v>
      </c>
      <c r="C106" s="19" t="s">
        <v>35</v>
      </c>
      <c r="D106" s="19" t="s">
        <v>36</v>
      </c>
      <c r="E106" s="19" t="s">
        <v>37</v>
      </c>
      <c r="H106" s="33" t="s">
        <v>38</v>
      </c>
    </row>
    <row r="107" spans="1:9" x14ac:dyDescent="0.25">
      <c r="A107" s="12">
        <v>1</v>
      </c>
      <c r="B107" s="12">
        <f>VLOOKUP('Tabelle 1'!B129,'Degree of Symptoms'!$J$9:$K$13,2)</f>
        <v>1</v>
      </c>
      <c r="C107" s="12">
        <f>VLOOKUP('Tabelle 1'!C129,'Degree of Symptoms'!$J$13:$K$22,2)</f>
        <v>1</v>
      </c>
      <c r="D107" s="12">
        <f>VLOOKUP('Tabelle 1'!D129,'Degree of Symptoms'!$J$26:$K$30,2)</f>
        <v>1</v>
      </c>
      <c r="E107" s="17">
        <f t="shared" ref="E107:E120" si="6">AVERAGE(B107:D107)</f>
        <v>1</v>
      </c>
      <c r="G107" s="34" t="s">
        <v>39</v>
      </c>
      <c r="H107" s="1">
        <f>COUNTIFS($E$107:$E$121,"&lt;1,99",$E$107:$E$121,"&gt;=1")</f>
        <v>8</v>
      </c>
    </row>
    <row r="108" spans="1:9" x14ac:dyDescent="0.25">
      <c r="A108" s="12">
        <v>2</v>
      </c>
      <c r="B108" s="12">
        <f>VLOOKUP('Tabelle 1'!B130,'Degree of Symptoms'!$J$9:$K$13,2)</f>
        <v>2</v>
      </c>
      <c r="C108" s="12">
        <f>VLOOKUP('Tabelle 1'!C130,'Degree of Symptoms'!$J$13:$K$22,2)</f>
        <v>1</v>
      </c>
      <c r="D108" s="12">
        <f>VLOOKUP('Tabelle 1'!D130,'Degree of Symptoms'!$J$26:$K$30,2)</f>
        <v>1</v>
      </c>
      <c r="E108" s="17">
        <f t="shared" si="6"/>
        <v>1.3333333333333333</v>
      </c>
      <c r="G108" s="34" t="s">
        <v>40</v>
      </c>
      <c r="H108" s="1">
        <f>COUNTIFS($E$107:$E$121,"&lt;2,99",$E$107:$E$121,"&gt;=2")</f>
        <v>5</v>
      </c>
    </row>
    <row r="109" spans="1:9" x14ac:dyDescent="0.25">
      <c r="A109" s="12">
        <v>3</v>
      </c>
      <c r="B109" s="12">
        <f>VLOOKUP('Tabelle 1'!B131,'Degree of Symptoms'!$J$9:$K$13,2)</f>
        <v>2</v>
      </c>
      <c r="C109" s="12">
        <f>VLOOKUP('Tabelle 1'!C131,'Degree of Symptoms'!$J$13:$K$22,2)</f>
        <v>1</v>
      </c>
      <c r="D109" s="12">
        <f>VLOOKUP('Tabelle 1'!D131,'Degree of Symptoms'!$J$26:$K$30,2)</f>
        <v>4</v>
      </c>
      <c r="E109" s="17">
        <f t="shared" si="6"/>
        <v>2.3333333333333335</v>
      </c>
      <c r="G109" s="34" t="s">
        <v>42</v>
      </c>
      <c r="H109" s="1">
        <f>COUNTIFS($E$107:$E$121,"&lt;3,99",$E$107:$E$121,"&gt;=3")</f>
        <v>1</v>
      </c>
    </row>
    <row r="110" spans="1:9" x14ac:dyDescent="0.25">
      <c r="A110" s="12">
        <v>4</v>
      </c>
      <c r="B110" s="12">
        <f>VLOOKUP('Tabelle 1'!B132,'Degree of Symptoms'!$J$9:$K$13,2)</f>
        <v>2</v>
      </c>
      <c r="C110" s="12">
        <f>VLOOKUP('Tabelle 1'!C132,'Degree of Symptoms'!$J$13:$K$22,2)</f>
        <v>1</v>
      </c>
      <c r="D110" s="12">
        <f>VLOOKUP('Tabelle 1'!D132,'Degree of Symptoms'!$J$26:$K$30,2)</f>
        <v>3</v>
      </c>
      <c r="E110" s="17">
        <f t="shared" si="6"/>
        <v>2</v>
      </c>
      <c r="G110" s="34" t="s">
        <v>44</v>
      </c>
      <c r="H110" s="1">
        <f>COUNTIFS($E$107:$E$121,"&lt;4,99",$E$107:$E$121,"&gt;=4")</f>
        <v>0</v>
      </c>
    </row>
    <row r="111" spans="1:9" x14ac:dyDescent="0.25">
      <c r="A111" s="12">
        <v>5</v>
      </c>
      <c r="B111" s="12">
        <f>VLOOKUP('Tabelle 1'!B133,'Degree of Symptoms'!$J$9:$K$13,2)</f>
        <v>2</v>
      </c>
      <c r="C111" s="12">
        <f>VLOOKUP('Tabelle 1'!C133,'Degree of Symptoms'!$J$13:$K$22,2)</f>
        <v>2</v>
      </c>
      <c r="D111" s="12">
        <f>VLOOKUP('Tabelle 1'!D133,'Degree of Symptoms'!$J$26:$K$30,2)</f>
        <v>2</v>
      </c>
      <c r="E111" s="17">
        <f t="shared" si="6"/>
        <v>2</v>
      </c>
      <c r="G111" s="34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1'!B134,'Degree of Symptoms'!$J$9:$K$13,2)</f>
        <v>1</v>
      </c>
      <c r="C112" s="12">
        <f>VLOOKUP('Tabelle 1'!C134,'Degree of Symptoms'!$J$13:$K$22,2)</f>
        <v>1</v>
      </c>
      <c r="D112" s="12">
        <f>VLOOKUP('Tabelle 1'!D134,'Degree of Symptoms'!$J$26:$K$30,2)</f>
        <v>3</v>
      </c>
      <c r="E112" s="17">
        <f t="shared" si="6"/>
        <v>1.6666666666666667</v>
      </c>
      <c r="H112" s="1">
        <f>SUM(H107:H111)</f>
        <v>14</v>
      </c>
    </row>
    <row r="113" spans="1:9" x14ac:dyDescent="0.25">
      <c r="A113" s="12">
        <v>7</v>
      </c>
      <c r="B113" s="12">
        <f>VLOOKUP('Tabelle 1'!B135,'Degree of Symptoms'!$J$9:$K$13,2)</f>
        <v>3</v>
      </c>
      <c r="C113" s="12">
        <f>VLOOKUP('Tabelle 1'!C135,'Degree of Symptoms'!$J$13:$K$22,2)</f>
        <v>2</v>
      </c>
      <c r="D113" s="12">
        <f>VLOOKUP('Tabelle 1'!D135,'Degree of Symptoms'!$J$26:$K$30,2)</f>
        <v>3</v>
      </c>
      <c r="E113" s="17">
        <f t="shared" si="6"/>
        <v>2.6666666666666665</v>
      </c>
    </row>
    <row r="114" spans="1:9" x14ac:dyDescent="0.25">
      <c r="A114" s="12">
        <v>8</v>
      </c>
      <c r="B114" s="12">
        <f>VLOOKUP('Tabelle 1'!B136,'Degree of Symptoms'!$J$9:$K$13,2)</f>
        <v>2</v>
      </c>
      <c r="C114" s="12">
        <f>VLOOKUP('Tabelle 1'!C136,'Degree of Symptoms'!$J$13:$K$22,2)</f>
        <v>1</v>
      </c>
      <c r="D114" s="12">
        <f>VLOOKUP('Tabelle 1'!D136,'Degree of Symptoms'!$J$26:$K$30,2)</f>
        <v>2</v>
      </c>
      <c r="E114" s="17">
        <f t="shared" si="6"/>
        <v>1.6666666666666667</v>
      </c>
    </row>
    <row r="115" spans="1:9" x14ac:dyDescent="0.25">
      <c r="A115" s="12">
        <v>9</v>
      </c>
      <c r="B115" s="12">
        <f>VLOOKUP('Tabelle 1'!B137,'Degree of Symptoms'!$J$9:$K$13,2)</f>
        <v>1</v>
      </c>
      <c r="C115" s="12">
        <f>VLOOKUP('Tabelle 1'!C137,'Degree of Symptoms'!$J$13:$K$22,2)</f>
        <v>1</v>
      </c>
      <c r="D115" s="12">
        <f>VLOOKUP('Tabelle 1'!D137,'Degree of Symptoms'!$J$26:$K$30,2)</f>
        <v>2</v>
      </c>
      <c r="E115" s="17">
        <f t="shared" si="6"/>
        <v>1.3333333333333333</v>
      </c>
      <c r="G115" s="33"/>
      <c r="H115" s="33"/>
      <c r="I115" s="33"/>
    </row>
    <row r="116" spans="1:9" x14ac:dyDescent="0.25">
      <c r="A116" s="12">
        <v>10</v>
      </c>
      <c r="B116" s="12">
        <f>VLOOKUP('Tabelle 1'!B138,'Degree of Symptoms'!$J$9:$K$13,2)</f>
        <v>3</v>
      </c>
      <c r="C116" s="12">
        <f>VLOOKUP('Tabelle 1'!C138,'Degree of Symptoms'!$J$13:$K$22,2)</f>
        <v>2</v>
      </c>
      <c r="D116" s="12">
        <f>VLOOKUP('Tabelle 1'!D138,'Degree of Symptoms'!$J$26:$K$30,2)</f>
        <v>4</v>
      </c>
      <c r="E116" s="17">
        <f t="shared" si="6"/>
        <v>3</v>
      </c>
      <c r="G116" s="33"/>
      <c r="H116" s="2"/>
      <c r="I116" s="2"/>
    </row>
    <row r="117" spans="1:9" x14ac:dyDescent="0.25">
      <c r="A117" s="12">
        <v>11</v>
      </c>
      <c r="B117" s="12">
        <f>VLOOKUP('Tabelle 1'!B139,'Degree of Symptoms'!$J$9:$K$13,2)</f>
        <v>1</v>
      </c>
      <c r="C117" s="12">
        <f>VLOOKUP('Tabelle 1'!C139,'Degree of Symptoms'!$J$13:$K$22,2)</f>
        <v>1</v>
      </c>
      <c r="D117" s="12">
        <f>VLOOKUP('Tabelle 1'!D139,'Degree of Symptoms'!$J$26:$K$30,2)</f>
        <v>3</v>
      </c>
      <c r="E117" s="17">
        <f t="shared" si="6"/>
        <v>1.6666666666666667</v>
      </c>
      <c r="G117" s="33"/>
      <c r="H117" s="2"/>
      <c r="I117" s="2"/>
    </row>
    <row r="118" spans="1:9" x14ac:dyDescent="0.25">
      <c r="A118" s="12">
        <v>12</v>
      </c>
      <c r="B118" s="12">
        <f>VLOOKUP('Tabelle 1'!B140,'Degree of Symptoms'!$J$9:$K$13,2)</f>
        <v>1</v>
      </c>
      <c r="C118" s="12">
        <f>VLOOKUP('Tabelle 1'!C140,'Degree of Symptoms'!$J$13:$K$22,2)</f>
        <v>1</v>
      </c>
      <c r="D118" s="12">
        <f>VLOOKUP('Tabelle 1'!D140,'Degree of Symptoms'!$J$26:$K$30,2)</f>
        <v>2</v>
      </c>
      <c r="E118" s="17">
        <f t="shared" si="6"/>
        <v>1.3333333333333333</v>
      </c>
      <c r="G118" s="33"/>
      <c r="H118" s="2"/>
      <c r="I118" s="2"/>
    </row>
    <row r="119" spans="1:9" x14ac:dyDescent="0.25">
      <c r="A119" s="12">
        <v>13</v>
      </c>
      <c r="B119" s="12">
        <f>VLOOKUP('Tabelle 1'!B141,'Degree of Symptoms'!$J$9:$K$13,2)</f>
        <v>1</v>
      </c>
      <c r="C119" s="12">
        <f>VLOOKUP('Tabelle 1'!C141,'Degree of Symptoms'!$J$13:$K$22,2)</f>
        <v>1</v>
      </c>
      <c r="D119" s="12">
        <f>VLOOKUP('Tabelle 1'!D141,'Degree of Symptoms'!$J$26:$K$30,2)</f>
        <v>1</v>
      </c>
      <c r="E119" s="17">
        <f t="shared" si="6"/>
        <v>1</v>
      </c>
      <c r="G119" s="33"/>
      <c r="H119" s="2"/>
      <c r="I119" s="2"/>
    </row>
    <row r="120" spans="1:9" x14ac:dyDescent="0.25">
      <c r="A120" s="12">
        <v>14</v>
      </c>
      <c r="B120" s="12">
        <f>VLOOKUP('Tabelle 1'!B142,'Degree of Symptoms'!$J$9:$K$13,2)</f>
        <v>2</v>
      </c>
      <c r="C120" s="12">
        <f>VLOOKUP('Tabelle 1'!C142,'Degree of Symptoms'!$J$13:$K$22,2)</f>
        <v>2</v>
      </c>
      <c r="D120" s="12">
        <f>VLOOKUP('Tabelle 1'!D142,'Degree of Symptoms'!$J$26:$K$30,2)</f>
        <v>4</v>
      </c>
      <c r="E120" s="17">
        <f t="shared" si="6"/>
        <v>2.6666666666666665</v>
      </c>
      <c r="G120" s="33"/>
      <c r="H120" s="2"/>
      <c r="I120" s="2"/>
    </row>
    <row r="121" spans="1:9" x14ac:dyDescent="0.25">
      <c r="A121" s="12">
        <v>15</v>
      </c>
      <c r="B121" s="12"/>
      <c r="C121" s="12"/>
      <c r="D121" s="12"/>
      <c r="E121" s="17"/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46</v>
      </c>
      <c r="B123" s="12">
        <f>AVERAGE(B107:B121)</f>
        <v>1.7142857142857142</v>
      </c>
      <c r="C123" s="12">
        <f>AVERAGE(C107:C121)</f>
        <v>1.2857142857142858</v>
      </c>
      <c r="D123" s="12">
        <f>AVERAGE(D107:D121)</f>
        <v>2.5</v>
      </c>
      <c r="E123" s="17">
        <f>AVERAGE(E107:E121)</f>
        <v>1.8333333333333335</v>
      </c>
      <c r="F123" s="2">
        <f>'Tabelle 1'!F145</f>
        <v>15</v>
      </c>
    </row>
    <row r="124" spans="1:9" x14ac:dyDescent="0.25">
      <c r="A124" s="19" t="s">
        <v>47</v>
      </c>
      <c r="B124" s="12">
        <f>STDEV(B107:B121)</f>
        <v>0.72627303920256281</v>
      </c>
      <c r="C124" s="12">
        <f>STDEV(C107:C121)</f>
        <v>0.46880723093849547</v>
      </c>
      <c r="D124" s="12">
        <f>STDEV(D107:D121)</f>
        <v>1.0919284281983377</v>
      </c>
      <c r="E124" s="17">
        <f>STDEV(E107:E121)</f>
        <v>0.63716787896354798</v>
      </c>
    </row>
    <row r="127" spans="1:9" x14ac:dyDescent="0.25">
      <c r="A127" s="9" t="str">
        <f>'Tabelle 1'!A148</f>
        <v>ΔAML1 c2</v>
      </c>
      <c r="B127" s="19" t="s">
        <v>34</v>
      </c>
      <c r="C127" s="19" t="s">
        <v>35</v>
      </c>
      <c r="D127" s="19" t="s">
        <v>36</v>
      </c>
      <c r="E127" s="19" t="s">
        <v>37</v>
      </c>
      <c r="H127" s="33" t="s">
        <v>38</v>
      </c>
    </row>
    <row r="128" spans="1:9" x14ac:dyDescent="0.25">
      <c r="A128" s="12">
        <v>1</v>
      </c>
      <c r="B128" s="12">
        <f>VLOOKUP('Tabelle 1'!B150,'Degree of Symptoms'!$J$9:$K$13,2)</f>
        <v>2</v>
      </c>
      <c r="C128" s="12">
        <f>VLOOKUP('Tabelle 1'!C150,'Degree of Symptoms'!$J$13:$K$22,2)</f>
        <v>1</v>
      </c>
      <c r="D128" s="12">
        <f>VLOOKUP('Tabelle 1'!D150,'Degree of Symptoms'!$J$26:$K$30,2)</f>
        <v>3</v>
      </c>
      <c r="E128" s="17">
        <f t="shared" ref="E128:E142" si="7">AVERAGE(B128:D128)</f>
        <v>2</v>
      </c>
      <c r="G128" s="34" t="s">
        <v>39</v>
      </c>
      <c r="H128" s="1">
        <f>COUNTIFS($E$128:$E$142,"&lt;1,99",$E$128:$E$142,"&gt;=1")</f>
        <v>4</v>
      </c>
    </row>
    <row r="129" spans="1:8" x14ac:dyDescent="0.25">
      <c r="A129" s="12">
        <v>2</v>
      </c>
      <c r="B129" s="12">
        <f>VLOOKUP('Tabelle 1'!B151,'Degree of Symptoms'!$J$9:$K$13,2)</f>
        <v>4</v>
      </c>
      <c r="C129" s="12">
        <f>VLOOKUP('Tabelle 1'!C151,'Degree of Symptoms'!$J$13:$K$22,2)</f>
        <v>3</v>
      </c>
      <c r="D129" s="12">
        <f>VLOOKUP('Tabelle 1'!D151,'Degree of Symptoms'!$J$26:$K$30,2)</f>
        <v>4</v>
      </c>
      <c r="E129" s="17">
        <f t="shared" si="7"/>
        <v>3.6666666666666665</v>
      </c>
      <c r="G129" s="34" t="s">
        <v>40</v>
      </c>
      <c r="H129" s="1">
        <f>COUNTIFS($E$128:$E$142,"&lt;2,99",$E$128:$E$142,"&gt;=2")</f>
        <v>8</v>
      </c>
    </row>
    <row r="130" spans="1:8" x14ac:dyDescent="0.25">
      <c r="A130" s="12">
        <v>3</v>
      </c>
      <c r="B130" s="12">
        <f>VLOOKUP('Tabelle 1'!B152,'Degree of Symptoms'!$J$9:$K$13,2)</f>
        <v>2</v>
      </c>
      <c r="C130" s="12">
        <f>VLOOKUP('Tabelle 1'!C152,'Degree of Symptoms'!$J$13:$K$22,2)</f>
        <v>2</v>
      </c>
      <c r="D130" s="12">
        <f>VLOOKUP('Tabelle 1'!D152,'Degree of Symptoms'!$J$26:$K$30,2)</f>
        <v>4</v>
      </c>
      <c r="E130" s="17">
        <f t="shared" si="7"/>
        <v>2.6666666666666665</v>
      </c>
      <c r="G130" s="34" t="s">
        <v>42</v>
      </c>
      <c r="H130" s="1">
        <f>COUNTIFS($E$128:$E$142,"&lt;3,99",$E$128:$E$142,"&gt;=3")</f>
        <v>3</v>
      </c>
    </row>
    <row r="131" spans="1:8" x14ac:dyDescent="0.25">
      <c r="A131" s="12">
        <v>4</v>
      </c>
      <c r="B131" s="12">
        <f>VLOOKUP('Tabelle 1'!B153,'Degree of Symptoms'!$J$9:$K$13,2)</f>
        <v>2</v>
      </c>
      <c r="C131" s="12">
        <f>VLOOKUP('Tabelle 1'!C153,'Degree of Symptoms'!$J$13:$K$22,2)</f>
        <v>2</v>
      </c>
      <c r="D131" s="12">
        <f>VLOOKUP('Tabelle 1'!D153,'Degree of Symptoms'!$J$26:$K$30,2)</f>
        <v>3</v>
      </c>
      <c r="E131" s="17">
        <f t="shared" si="7"/>
        <v>2.3333333333333335</v>
      </c>
      <c r="G131" s="34" t="s">
        <v>44</v>
      </c>
      <c r="H131" s="1">
        <f>COUNTIFS($E$128:$E$142,"&lt;4,99",$E$128:$E$142,"&gt;=4")</f>
        <v>0</v>
      </c>
    </row>
    <row r="132" spans="1:8" x14ac:dyDescent="0.25">
      <c r="A132" s="12">
        <v>5</v>
      </c>
      <c r="B132" s="12">
        <f>VLOOKUP('Tabelle 1'!B154,'Degree of Symptoms'!$J$9:$K$13,2)</f>
        <v>2</v>
      </c>
      <c r="C132" s="12">
        <f>VLOOKUP('Tabelle 1'!C154,'Degree of Symptoms'!$J$13:$K$22,2)</f>
        <v>2</v>
      </c>
      <c r="D132" s="12">
        <f>VLOOKUP('Tabelle 1'!D154,'Degree of Symptoms'!$J$26:$K$30,2)</f>
        <v>3</v>
      </c>
      <c r="E132" s="17">
        <f t="shared" si="7"/>
        <v>2.3333333333333335</v>
      </c>
      <c r="G132" s="34">
        <v>5</v>
      </c>
      <c r="H132" s="1">
        <f>COUNTIF($E$128:$E$142,"&gt;=5")</f>
        <v>0</v>
      </c>
    </row>
    <row r="133" spans="1:8" x14ac:dyDescent="0.25">
      <c r="A133" s="12">
        <v>6</v>
      </c>
      <c r="B133" s="12">
        <f>VLOOKUP('Tabelle 1'!B155,'Degree of Symptoms'!$J$9:$K$13,2)</f>
        <v>2</v>
      </c>
      <c r="C133" s="12">
        <f>VLOOKUP('Tabelle 1'!C155,'Degree of Symptoms'!$J$13:$K$22,2)</f>
        <v>2</v>
      </c>
      <c r="D133" s="12">
        <f>VLOOKUP('Tabelle 1'!D155,'Degree of Symptoms'!$J$26:$K$30,2)</f>
        <v>3</v>
      </c>
      <c r="E133" s="17">
        <f t="shared" si="7"/>
        <v>2.3333333333333335</v>
      </c>
      <c r="H133" s="1">
        <f>SUM(H128:H132)</f>
        <v>15</v>
      </c>
    </row>
    <row r="134" spans="1:8" x14ac:dyDescent="0.25">
      <c r="A134" s="12">
        <v>7</v>
      </c>
      <c r="B134" s="12">
        <f>VLOOKUP('Tabelle 1'!B156,'Degree of Symptoms'!$J$9:$K$13,2)</f>
        <v>2</v>
      </c>
      <c r="C134" s="12">
        <f>VLOOKUP('Tabelle 1'!C156,'Degree of Symptoms'!$J$13:$K$22,2)</f>
        <v>1</v>
      </c>
      <c r="D134" s="12">
        <f>VLOOKUP('Tabelle 1'!D156,'Degree of Symptoms'!$J$26:$K$30,2)</f>
        <v>2</v>
      </c>
      <c r="E134" s="17">
        <f t="shared" si="7"/>
        <v>1.6666666666666667</v>
      </c>
    </row>
    <row r="135" spans="1:8" x14ac:dyDescent="0.25">
      <c r="A135" s="12">
        <v>8</v>
      </c>
      <c r="B135" s="12">
        <f>VLOOKUP('Tabelle 1'!B157,'Degree of Symptoms'!$J$9:$K$13,2)</f>
        <v>1</v>
      </c>
      <c r="C135" s="12">
        <f>VLOOKUP('Tabelle 1'!C157,'Degree of Symptoms'!$J$13:$K$22,2)</f>
        <v>2</v>
      </c>
      <c r="D135" s="12">
        <f>VLOOKUP('Tabelle 1'!D157,'Degree of Symptoms'!$J$26:$K$30,2)</f>
        <v>2</v>
      </c>
      <c r="E135" s="17">
        <f t="shared" si="7"/>
        <v>1.6666666666666667</v>
      </c>
    </row>
    <row r="136" spans="1:8" x14ac:dyDescent="0.25">
      <c r="A136" s="12">
        <v>9</v>
      </c>
      <c r="B136" s="12">
        <f>VLOOKUP('Tabelle 1'!B158,'Degree of Symptoms'!$J$9:$K$13,2)</f>
        <v>1</v>
      </c>
      <c r="C136" s="12">
        <f>VLOOKUP('Tabelle 1'!C158,'Degree of Symptoms'!$J$13:$K$22,2)</f>
        <v>2</v>
      </c>
      <c r="D136" s="12">
        <f>VLOOKUP('Tabelle 1'!D158,'Degree of Symptoms'!$J$26:$K$30,2)</f>
        <v>2</v>
      </c>
      <c r="E136" s="17">
        <f t="shared" si="7"/>
        <v>1.6666666666666667</v>
      </c>
      <c r="G136" s="33"/>
      <c r="H136" s="33"/>
    </row>
    <row r="137" spans="1:8" x14ac:dyDescent="0.25">
      <c r="A137" s="12">
        <v>10</v>
      </c>
      <c r="B137" s="12">
        <f>VLOOKUP('Tabelle 1'!B159,'Degree of Symptoms'!$J$9:$K$13,2)</f>
        <v>2</v>
      </c>
      <c r="C137" s="12">
        <f>VLOOKUP('Tabelle 1'!C159,'Degree of Symptoms'!$J$13:$K$22,2)</f>
        <v>2</v>
      </c>
      <c r="D137" s="12">
        <f>VLOOKUP('Tabelle 1'!D159,'Degree of Symptoms'!$J$26:$K$30,2)</f>
        <v>3</v>
      </c>
      <c r="E137" s="17">
        <f t="shared" si="7"/>
        <v>2.3333333333333335</v>
      </c>
      <c r="G137" s="33"/>
      <c r="H137" s="2"/>
    </row>
    <row r="138" spans="1:8" x14ac:dyDescent="0.25">
      <c r="A138" s="12">
        <v>11</v>
      </c>
      <c r="B138" s="12">
        <f>VLOOKUP('Tabelle 1'!B160,'Degree of Symptoms'!$J$9:$K$13,2)</f>
        <v>1</v>
      </c>
      <c r="C138" s="12">
        <f>VLOOKUP('Tabelle 1'!C160,'Degree of Symptoms'!$J$13:$K$22,2)</f>
        <v>2</v>
      </c>
      <c r="D138" s="12">
        <f>VLOOKUP('Tabelle 1'!D160,'Degree of Symptoms'!$J$26:$K$30,2)</f>
        <v>1</v>
      </c>
      <c r="E138" s="17">
        <f t="shared" si="7"/>
        <v>1.3333333333333333</v>
      </c>
      <c r="G138" s="33"/>
      <c r="H138" s="2"/>
    </row>
    <row r="139" spans="1:8" x14ac:dyDescent="0.25">
      <c r="A139" s="12">
        <v>12</v>
      </c>
      <c r="B139" s="12">
        <f>VLOOKUP('Tabelle 1'!B161,'Degree of Symptoms'!$J$9:$K$13,2)</f>
        <v>2</v>
      </c>
      <c r="C139" s="12">
        <f>VLOOKUP('Tabelle 1'!C161,'Degree of Symptoms'!$J$13:$K$22,2)</f>
        <v>3</v>
      </c>
      <c r="D139" s="12">
        <f>VLOOKUP('Tabelle 1'!D161,'Degree of Symptoms'!$J$26:$K$30,2)</f>
        <v>4</v>
      </c>
      <c r="E139" s="17">
        <f t="shared" si="7"/>
        <v>3</v>
      </c>
      <c r="G139" s="33"/>
      <c r="H139" s="2"/>
    </row>
    <row r="140" spans="1:8" x14ac:dyDescent="0.25">
      <c r="A140" s="12">
        <v>13</v>
      </c>
      <c r="B140" s="12">
        <f>VLOOKUP('Tabelle 1'!B162,'Degree of Symptoms'!$J$9:$K$13,2)</f>
        <v>2</v>
      </c>
      <c r="C140" s="12">
        <f>VLOOKUP('Tabelle 1'!C162,'Degree of Symptoms'!$J$13:$K$22,2)</f>
        <v>1</v>
      </c>
      <c r="D140" s="12">
        <f>VLOOKUP('Tabelle 1'!D162,'Degree of Symptoms'!$J$26:$K$30,2)</f>
        <v>3</v>
      </c>
      <c r="E140" s="17">
        <f t="shared" si="7"/>
        <v>2</v>
      </c>
      <c r="G140" s="33"/>
      <c r="H140" s="2"/>
    </row>
    <row r="141" spans="1:8" x14ac:dyDescent="0.25">
      <c r="A141" s="12">
        <v>14</v>
      </c>
      <c r="B141" s="12">
        <f>VLOOKUP('Tabelle 1'!B163,'Degree of Symptoms'!$J$9:$K$13,2)</f>
        <v>2</v>
      </c>
      <c r="C141" s="12">
        <f>VLOOKUP('Tabelle 1'!C163,'Degree of Symptoms'!$J$13:$K$22,2)</f>
        <v>2</v>
      </c>
      <c r="D141" s="12">
        <f>VLOOKUP('Tabelle 1'!D163,'Degree of Symptoms'!$J$26:$K$30,2)</f>
        <v>2</v>
      </c>
      <c r="E141" s="17">
        <f t="shared" si="7"/>
        <v>2</v>
      </c>
      <c r="G141" s="33"/>
      <c r="H141" s="2"/>
    </row>
    <row r="142" spans="1:8" x14ac:dyDescent="0.25">
      <c r="A142" s="12">
        <v>15</v>
      </c>
      <c r="B142" s="12">
        <f>VLOOKUP('Tabelle 1'!B164,'Degree of Symptoms'!$J$9:$K$13,2)</f>
        <v>3</v>
      </c>
      <c r="C142" s="12">
        <f>VLOOKUP('Tabelle 1'!C164,'Degree of Symptoms'!$J$13:$K$22,2)</f>
        <v>2</v>
      </c>
      <c r="D142" s="12">
        <f>VLOOKUP('Tabelle 1'!D164,'Degree of Symptoms'!$J$26:$K$30,2)</f>
        <v>4</v>
      </c>
      <c r="E142" s="17">
        <f t="shared" si="7"/>
        <v>3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46</v>
      </c>
      <c r="B144" s="12">
        <f>AVERAGE(B128:B142)</f>
        <v>2</v>
      </c>
      <c r="C144" s="12">
        <f>AVERAGE(C128:C142)</f>
        <v>1.9333333333333333</v>
      </c>
      <c r="D144" s="12">
        <f>AVERAGE(D128:D142)</f>
        <v>2.8666666666666667</v>
      </c>
      <c r="E144" s="17">
        <f>AVERAGE(E128:E142)</f>
        <v>2.2666666666666666</v>
      </c>
      <c r="F144" s="2">
        <f>'Tabelle 1'!F166</f>
        <v>15</v>
      </c>
    </row>
    <row r="145" spans="1:9" x14ac:dyDescent="0.25">
      <c r="A145" s="19" t="s">
        <v>47</v>
      </c>
      <c r="B145" s="12">
        <f>STDEV(B128:B142)</f>
        <v>0.7559289460184544</v>
      </c>
      <c r="C145" s="12">
        <f>STDEV(C128:C142)</f>
        <v>0.5936168397046635</v>
      </c>
      <c r="D145" s="12">
        <f>STDEV(D128:D142)</f>
        <v>0.91547541643412689</v>
      </c>
      <c r="E145" s="17">
        <f>STDEV(E128:E142)</f>
        <v>0.61977978680091228</v>
      </c>
    </row>
    <row r="148" spans="1:9" x14ac:dyDescent="0.25">
      <c r="A148" s="9" t="str">
        <f>'Tabelle 1'!A169</f>
        <v>ΔAML1 c3</v>
      </c>
      <c r="B148" s="19" t="s">
        <v>34</v>
      </c>
      <c r="C148" s="19" t="s">
        <v>35</v>
      </c>
      <c r="D148" s="19" t="s">
        <v>36</v>
      </c>
      <c r="E148" s="19" t="s">
        <v>37</v>
      </c>
      <c r="H148" s="33" t="s">
        <v>38</v>
      </c>
    </row>
    <row r="149" spans="1:9" x14ac:dyDescent="0.25">
      <c r="A149" s="12">
        <v>1</v>
      </c>
      <c r="B149" s="12">
        <f>VLOOKUP('Tabelle 1'!B171,'Degree of Symptoms'!$J$9:$K$13,2)</f>
        <v>2</v>
      </c>
      <c r="C149" s="12">
        <f>VLOOKUP('Tabelle 1'!C171,'Degree of Symptoms'!$J$13:$K$22,2)</f>
        <v>3</v>
      </c>
      <c r="D149" s="12">
        <f>VLOOKUP('Tabelle 1'!D171,'Degree of Symptoms'!$J$26:$K$30,2)</f>
        <v>3</v>
      </c>
      <c r="E149" s="17">
        <f t="shared" ref="E149:E163" si="8">AVERAGE(B149:D149)</f>
        <v>2.6666666666666665</v>
      </c>
      <c r="G149" s="34" t="s">
        <v>39</v>
      </c>
      <c r="H149" s="1">
        <f>COUNTIFS($E$149:$E$163,"&lt;1,99",$E$149:$E$163,"&gt;=1")</f>
        <v>9</v>
      </c>
    </row>
    <row r="150" spans="1:9" x14ac:dyDescent="0.25">
      <c r="A150" s="12">
        <v>2</v>
      </c>
      <c r="B150" s="12">
        <f>VLOOKUP('Tabelle 1'!B172,'Degree of Symptoms'!$J$9:$K$13,2)</f>
        <v>1</v>
      </c>
      <c r="C150" s="12">
        <f>VLOOKUP('Tabelle 1'!C172,'Degree of Symptoms'!$J$13:$K$22,2)</f>
        <v>1</v>
      </c>
      <c r="D150" s="12">
        <f>VLOOKUP('Tabelle 1'!D172,'Degree of Symptoms'!$J$26:$K$30,2)</f>
        <v>1</v>
      </c>
      <c r="E150" s="17">
        <f t="shared" si="8"/>
        <v>1</v>
      </c>
      <c r="G150" s="34" t="s">
        <v>40</v>
      </c>
      <c r="H150" s="1">
        <f>COUNTIFS($E$149:$E$163,"&lt;2,99",$E$149:$E$163,"&gt;=2")</f>
        <v>6</v>
      </c>
    </row>
    <row r="151" spans="1:9" x14ac:dyDescent="0.25">
      <c r="A151" s="12">
        <v>3</v>
      </c>
      <c r="B151" s="12">
        <f>VLOOKUP('Tabelle 1'!B173,'Degree of Symptoms'!$J$9:$K$13,2)</f>
        <v>1</v>
      </c>
      <c r="C151" s="12">
        <f>VLOOKUP('Tabelle 1'!C173,'Degree of Symptoms'!$J$13:$K$22,2)</f>
        <v>1</v>
      </c>
      <c r="D151" s="12">
        <f>VLOOKUP('Tabelle 1'!D173,'Degree of Symptoms'!$J$26:$K$30,2)</f>
        <v>1</v>
      </c>
      <c r="E151" s="17">
        <f t="shared" si="8"/>
        <v>1</v>
      </c>
      <c r="G151" s="34" t="s">
        <v>42</v>
      </c>
      <c r="H151" s="1">
        <f>COUNTIFS($E$149:$E$163,"&lt;3,99",$E$149:$E$163,"&gt;=3")</f>
        <v>0</v>
      </c>
    </row>
    <row r="152" spans="1:9" x14ac:dyDescent="0.25">
      <c r="A152" s="12">
        <v>4</v>
      </c>
      <c r="B152" s="12">
        <f>VLOOKUP('Tabelle 1'!B174,'Degree of Symptoms'!$J$9:$K$13,2)</f>
        <v>2</v>
      </c>
      <c r="C152" s="12">
        <f>VLOOKUP('Tabelle 1'!C174,'Degree of Symptoms'!$J$13:$K$22,2)</f>
        <v>2</v>
      </c>
      <c r="D152" s="12">
        <f>VLOOKUP('Tabelle 1'!D174,'Degree of Symptoms'!$J$26:$K$30,2)</f>
        <v>3</v>
      </c>
      <c r="E152" s="17">
        <f t="shared" si="8"/>
        <v>2.3333333333333335</v>
      </c>
      <c r="G152" s="34" t="s">
        <v>44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1'!B175,'Degree of Symptoms'!$J$9:$K$13,2)</f>
        <v>2</v>
      </c>
      <c r="C153" s="12">
        <f>VLOOKUP('Tabelle 1'!C175,'Degree of Symptoms'!$J$13:$K$22,2)</f>
        <v>2</v>
      </c>
      <c r="D153" s="12">
        <f>VLOOKUP('Tabelle 1'!D175,'Degree of Symptoms'!$J$26:$K$30,2)</f>
        <v>3</v>
      </c>
      <c r="E153" s="17">
        <f t="shared" si="8"/>
        <v>2.3333333333333335</v>
      </c>
      <c r="G153" s="34">
        <v>5</v>
      </c>
      <c r="H153" s="1">
        <f>COUNTIF($E$149:$E$163,"&gt;=5")</f>
        <v>0</v>
      </c>
    </row>
    <row r="154" spans="1:9" x14ac:dyDescent="0.25">
      <c r="A154" s="12">
        <v>6</v>
      </c>
      <c r="B154" s="12">
        <f>VLOOKUP('Tabelle 1'!B176,'Degree of Symptoms'!$J$9:$K$13,2)</f>
        <v>2</v>
      </c>
      <c r="C154" s="12">
        <f>VLOOKUP('Tabelle 1'!C176,'Degree of Symptoms'!$J$13:$K$22,2)</f>
        <v>2</v>
      </c>
      <c r="D154" s="12">
        <f>VLOOKUP('Tabelle 1'!D176,'Degree of Symptoms'!$J$26:$K$30,2)</f>
        <v>2</v>
      </c>
      <c r="E154" s="17">
        <f t="shared" si="8"/>
        <v>2</v>
      </c>
      <c r="H154" s="1">
        <f>SUM(H149:H153)</f>
        <v>15</v>
      </c>
    </row>
    <row r="155" spans="1:9" x14ac:dyDescent="0.25">
      <c r="A155" s="12">
        <v>7</v>
      </c>
      <c r="B155" s="12">
        <f>VLOOKUP('Tabelle 1'!B177,'Degree of Symptoms'!$J$9:$K$13,2)</f>
        <v>2</v>
      </c>
      <c r="C155" s="12">
        <f>VLOOKUP('Tabelle 1'!C177,'Degree of Symptoms'!$J$13:$K$22,2)</f>
        <v>1</v>
      </c>
      <c r="D155" s="12">
        <f>VLOOKUP('Tabelle 1'!D177,'Degree of Symptoms'!$J$26:$K$30,2)</f>
        <v>2</v>
      </c>
      <c r="E155" s="17">
        <f t="shared" si="8"/>
        <v>1.6666666666666667</v>
      </c>
    </row>
    <row r="156" spans="1:9" x14ac:dyDescent="0.25">
      <c r="A156" s="12">
        <v>8</v>
      </c>
      <c r="B156" s="12">
        <f>VLOOKUP('Tabelle 1'!B178,'Degree of Symptoms'!$J$9:$K$13,2)</f>
        <v>2</v>
      </c>
      <c r="C156" s="12">
        <f>VLOOKUP('Tabelle 1'!C178,'Degree of Symptoms'!$J$13:$K$22,2)</f>
        <v>1</v>
      </c>
      <c r="D156" s="12">
        <f>VLOOKUP('Tabelle 1'!D178,'Degree of Symptoms'!$J$26:$K$30,2)</f>
        <v>2</v>
      </c>
      <c r="E156" s="17">
        <f t="shared" si="8"/>
        <v>1.6666666666666667</v>
      </c>
    </row>
    <row r="157" spans="1:9" x14ac:dyDescent="0.25">
      <c r="A157" s="12">
        <v>9</v>
      </c>
      <c r="B157" s="12">
        <f>VLOOKUP('Tabelle 1'!B179,'Degree of Symptoms'!$J$9:$K$13,2)</f>
        <v>2</v>
      </c>
      <c r="C157" s="12">
        <f>VLOOKUP('Tabelle 1'!C179,'Degree of Symptoms'!$J$13:$K$22,2)</f>
        <v>1</v>
      </c>
      <c r="D157" s="12">
        <f>VLOOKUP('Tabelle 1'!D179,'Degree of Symptoms'!$J$26:$K$30,2)</f>
        <v>1</v>
      </c>
      <c r="E157" s="17">
        <f t="shared" si="8"/>
        <v>1.3333333333333333</v>
      </c>
      <c r="G157" s="33"/>
      <c r="H157" s="33"/>
      <c r="I157" s="33"/>
    </row>
    <row r="158" spans="1:9" x14ac:dyDescent="0.25">
      <c r="A158" s="12">
        <v>10</v>
      </c>
      <c r="B158" s="12">
        <f>VLOOKUP('Tabelle 1'!B180,'Degree of Symptoms'!$J$9:$K$13,2)</f>
        <v>1</v>
      </c>
      <c r="C158" s="12">
        <f>VLOOKUP('Tabelle 1'!C180,'Degree of Symptoms'!$J$13:$K$22,2)</f>
        <v>2</v>
      </c>
      <c r="D158" s="12">
        <f>VLOOKUP('Tabelle 1'!D180,'Degree of Symptoms'!$J$26:$K$30,2)</f>
        <v>1</v>
      </c>
      <c r="E158" s="17">
        <f t="shared" si="8"/>
        <v>1.3333333333333333</v>
      </c>
      <c r="G158" s="33"/>
      <c r="H158" s="2"/>
      <c r="I158" s="2"/>
    </row>
    <row r="159" spans="1:9" x14ac:dyDescent="0.25">
      <c r="A159" s="12">
        <v>11</v>
      </c>
      <c r="B159" s="12">
        <f>VLOOKUP('Tabelle 1'!B181,'Degree of Symptoms'!$J$9:$K$13,2)</f>
        <v>2</v>
      </c>
      <c r="C159" s="12">
        <f>VLOOKUP('Tabelle 1'!C181,'Degree of Symptoms'!$J$13:$K$22,2)</f>
        <v>2</v>
      </c>
      <c r="D159" s="12">
        <f>VLOOKUP('Tabelle 1'!D181,'Degree of Symptoms'!$J$26:$K$30,2)</f>
        <v>4</v>
      </c>
      <c r="E159" s="17">
        <f t="shared" si="8"/>
        <v>2.6666666666666665</v>
      </c>
      <c r="G159" s="33"/>
      <c r="H159" s="2"/>
      <c r="I159" s="2"/>
    </row>
    <row r="160" spans="1:9" x14ac:dyDescent="0.25">
      <c r="A160" s="12">
        <v>12</v>
      </c>
      <c r="B160" s="12">
        <f>VLOOKUP('Tabelle 1'!B182,'Degree of Symptoms'!$J$9:$K$13,2)</f>
        <v>2</v>
      </c>
      <c r="C160" s="12">
        <f>VLOOKUP('Tabelle 1'!C182,'Degree of Symptoms'!$J$13:$K$22,2)</f>
        <v>2</v>
      </c>
      <c r="D160" s="12">
        <f>VLOOKUP('Tabelle 1'!D182,'Degree of Symptoms'!$J$26:$K$30,2)</f>
        <v>4</v>
      </c>
      <c r="E160" s="17">
        <f t="shared" si="8"/>
        <v>2.6666666666666665</v>
      </c>
      <c r="G160" s="33"/>
      <c r="H160" s="2"/>
      <c r="I160" s="2"/>
    </row>
    <row r="161" spans="1:9" x14ac:dyDescent="0.25">
      <c r="A161" s="12">
        <v>13</v>
      </c>
      <c r="B161" s="12">
        <f>VLOOKUP('Tabelle 1'!B183,'Degree of Symptoms'!$J$9:$K$13,2)</f>
        <v>1</v>
      </c>
      <c r="C161" s="12">
        <f>VLOOKUP('Tabelle 1'!C183,'Degree of Symptoms'!$J$13:$K$22,2)</f>
        <v>1</v>
      </c>
      <c r="D161" s="12">
        <f>VLOOKUP('Tabelle 1'!D183,'Degree of Symptoms'!$J$26:$K$30,2)</f>
        <v>2</v>
      </c>
      <c r="E161" s="17">
        <f t="shared" si="8"/>
        <v>1.3333333333333333</v>
      </c>
      <c r="G161" s="33"/>
      <c r="H161" s="2"/>
      <c r="I161" s="2"/>
    </row>
    <row r="162" spans="1:9" x14ac:dyDescent="0.25">
      <c r="A162" s="12">
        <v>14</v>
      </c>
      <c r="B162" s="12">
        <f>VLOOKUP('Tabelle 1'!B184,'Degree of Symptoms'!$J$9:$K$13,2)</f>
        <v>1</v>
      </c>
      <c r="C162" s="12">
        <f>VLOOKUP('Tabelle 1'!C184,'Degree of Symptoms'!$J$13:$K$22,2)</f>
        <v>1</v>
      </c>
      <c r="D162" s="12">
        <f>VLOOKUP('Tabelle 1'!D184,'Degree of Symptoms'!$J$26:$K$30,2)</f>
        <v>1</v>
      </c>
      <c r="E162" s="17">
        <f t="shared" si="8"/>
        <v>1</v>
      </c>
      <c r="G162" s="33"/>
      <c r="H162" s="2"/>
      <c r="I162" s="2"/>
    </row>
    <row r="163" spans="1:9" x14ac:dyDescent="0.25">
      <c r="A163" s="12">
        <v>15</v>
      </c>
      <c r="B163" s="12">
        <f>VLOOKUP('Tabelle 1'!B185,'Degree of Symptoms'!$J$9:$K$13,2)</f>
        <v>1</v>
      </c>
      <c r="C163" s="12">
        <f>VLOOKUP('Tabelle 1'!C185,'Degree of Symptoms'!$J$13:$K$22,2)</f>
        <v>1</v>
      </c>
      <c r="D163" s="12">
        <f>VLOOKUP('Tabelle 1'!D185,'Degree of Symptoms'!$J$26:$K$30,2)</f>
        <v>1</v>
      </c>
      <c r="E163" s="17">
        <f t="shared" si="8"/>
        <v>1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46</v>
      </c>
      <c r="B165" s="12">
        <f>AVERAGE(B149:B163)</f>
        <v>1.6</v>
      </c>
      <c r="C165" s="12">
        <f>AVERAGE(C149:C163)</f>
        <v>1.5333333333333334</v>
      </c>
      <c r="D165" s="12">
        <f>AVERAGE(D149:D163)</f>
        <v>2.0666666666666669</v>
      </c>
      <c r="E165" s="17">
        <f>AVERAGE(E149:E163)</f>
        <v>1.7333333333333334</v>
      </c>
      <c r="F165" s="2">
        <f>'Tabelle 1'!F187</f>
        <v>15</v>
      </c>
    </row>
    <row r="166" spans="1:9" x14ac:dyDescent="0.25">
      <c r="A166" s="19" t="s">
        <v>47</v>
      </c>
      <c r="B166" s="12">
        <f>STDEV(B149:B163)</f>
        <v>0.50709255283711008</v>
      </c>
      <c r="C166" s="12">
        <f>STDEV(C149:C163)</f>
        <v>0.63994047342218441</v>
      </c>
      <c r="D166" s="12">
        <f>STDEV(D149:D163)</f>
        <v>1.0997835284835875</v>
      </c>
      <c r="E166" s="17">
        <f>STDEV(E149:E163)</f>
        <v>0.65707384040610861</v>
      </c>
    </row>
    <row r="169" spans="1:9" x14ac:dyDescent="0.25">
      <c r="A169" s="19" t="str">
        <f>'Tabelle 1'!A190</f>
        <v>AML1-NoGFP c2</v>
      </c>
      <c r="B169" s="19" t="s">
        <v>34</v>
      </c>
      <c r="C169" s="19" t="s">
        <v>35</v>
      </c>
      <c r="D169" s="19" t="s">
        <v>36</v>
      </c>
      <c r="E169" s="19" t="s">
        <v>37</v>
      </c>
      <c r="H169" s="33" t="s">
        <v>38</v>
      </c>
    </row>
    <row r="170" spans="1:9" x14ac:dyDescent="0.25">
      <c r="A170" s="12">
        <v>1</v>
      </c>
      <c r="B170" s="12">
        <f>VLOOKUP('Tabelle 1'!B192,'Degree of Symptoms'!$J$9:$K$13,2)</f>
        <v>3</v>
      </c>
      <c r="C170" s="12">
        <f>VLOOKUP('Tabelle 1'!C192,'Degree of Symptoms'!$J$13:$K$22,2)</f>
        <v>3</v>
      </c>
      <c r="D170" s="12">
        <f>VLOOKUP('Tabelle 1'!D192,'Degree of Symptoms'!$J$26:$K$30,2)</f>
        <v>4</v>
      </c>
      <c r="E170" s="17">
        <f t="shared" ref="E170:E184" si="9">AVERAGE(B170:D170)</f>
        <v>3.3333333333333335</v>
      </c>
      <c r="G170" s="34" t="s">
        <v>39</v>
      </c>
      <c r="H170" s="1">
        <f>COUNTIFS($E$170:$E$184,"&lt;1,99",$E$170:$E$184,"&gt;=1")</f>
        <v>3</v>
      </c>
    </row>
    <row r="171" spans="1:9" x14ac:dyDescent="0.25">
      <c r="A171" s="12">
        <v>2</v>
      </c>
      <c r="B171" s="12">
        <f>VLOOKUP('Tabelle 1'!B193,'Degree of Symptoms'!$J$9:$K$13,2)</f>
        <v>3</v>
      </c>
      <c r="C171" s="12">
        <f>VLOOKUP('Tabelle 1'!C193,'Degree of Symptoms'!$J$13:$K$22,2)</f>
        <v>2</v>
      </c>
      <c r="D171" s="12">
        <f>VLOOKUP('Tabelle 1'!D193,'Degree of Symptoms'!$J$26:$K$30,2)</f>
        <v>4</v>
      </c>
      <c r="E171" s="17">
        <f t="shared" si="9"/>
        <v>3</v>
      </c>
      <c r="G171" s="34" t="s">
        <v>40</v>
      </c>
      <c r="H171" s="1">
        <f>COUNTIFS($E$170:$E$184,"&lt;2,99",$E$170:$E$184,"&gt;=2")</f>
        <v>3</v>
      </c>
    </row>
    <row r="172" spans="1:9" x14ac:dyDescent="0.25">
      <c r="A172" s="12">
        <v>3</v>
      </c>
      <c r="B172" s="12">
        <f>VLOOKUP('Tabelle 1'!B194,'Degree of Symptoms'!$J$9:$K$13,2)</f>
        <v>2</v>
      </c>
      <c r="C172" s="12">
        <f>VLOOKUP('Tabelle 1'!C194,'Degree of Symptoms'!$J$13:$K$22,2)</f>
        <v>2</v>
      </c>
      <c r="D172" s="12">
        <f>VLOOKUP('Tabelle 1'!D194,'Degree of Symptoms'!$J$26:$K$30,2)</f>
        <v>3</v>
      </c>
      <c r="E172" s="17">
        <f t="shared" si="9"/>
        <v>2.3333333333333335</v>
      </c>
      <c r="G172" s="34" t="s">
        <v>42</v>
      </c>
      <c r="H172" s="1">
        <f>COUNTIFS($E$170:$E$184,"&lt;3,99",$E$170:$E$184,"&gt;=3")</f>
        <v>9</v>
      </c>
    </row>
    <row r="173" spans="1:9" x14ac:dyDescent="0.25">
      <c r="A173" s="12">
        <v>4</v>
      </c>
      <c r="B173" s="12">
        <f>VLOOKUP('Tabelle 1'!B195,'Degree of Symptoms'!$J$9:$K$13,2)</f>
        <v>4</v>
      </c>
      <c r="C173" s="12">
        <f>VLOOKUP('Tabelle 1'!C195,'Degree of Symptoms'!$J$13:$K$22,2)</f>
        <v>3</v>
      </c>
      <c r="D173" s="12">
        <f>VLOOKUP('Tabelle 1'!D195,'Degree of Symptoms'!$J$26:$K$30,2)</f>
        <v>4</v>
      </c>
      <c r="E173" s="17">
        <f t="shared" si="9"/>
        <v>3.6666666666666665</v>
      </c>
      <c r="G173" s="34" t="s">
        <v>44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1'!B196,'Degree of Symptoms'!$J$9:$K$13,2)</f>
        <v>1</v>
      </c>
      <c r="C174" s="12">
        <f>VLOOKUP('Tabelle 1'!C196,'Degree of Symptoms'!$J$13:$K$22,2)</f>
        <v>2</v>
      </c>
      <c r="D174" s="12">
        <f>VLOOKUP('Tabelle 1'!D196,'Degree of Symptoms'!$J$26:$K$30,2)</f>
        <v>1</v>
      </c>
      <c r="E174" s="17">
        <f t="shared" si="9"/>
        <v>1.3333333333333333</v>
      </c>
      <c r="G174" s="34">
        <v>5</v>
      </c>
      <c r="H174" s="1">
        <f>COUNTIF($E$170:$E$184,"&gt;=5")</f>
        <v>0</v>
      </c>
    </row>
    <row r="175" spans="1:9" x14ac:dyDescent="0.25">
      <c r="A175" s="12">
        <v>6</v>
      </c>
      <c r="B175" s="12">
        <f>VLOOKUP('Tabelle 1'!B197,'Degree of Symptoms'!$J$9:$K$13,2)</f>
        <v>3</v>
      </c>
      <c r="C175" s="12">
        <f>VLOOKUP('Tabelle 1'!C197,'Degree of Symptoms'!$J$13:$K$22,2)</f>
        <v>3</v>
      </c>
      <c r="D175" s="12">
        <f>VLOOKUP('Tabelle 1'!D197,'Degree of Symptoms'!$J$26:$K$30,2)</f>
        <v>4</v>
      </c>
      <c r="E175" s="17">
        <f t="shared" si="9"/>
        <v>3.3333333333333335</v>
      </c>
      <c r="H175" s="1">
        <f>SUM(H170:H174)</f>
        <v>15</v>
      </c>
    </row>
    <row r="176" spans="1:9" x14ac:dyDescent="0.25">
      <c r="A176" s="12">
        <v>7</v>
      </c>
      <c r="B176" s="12">
        <f>VLOOKUP('Tabelle 1'!B198,'Degree of Symptoms'!$J$9:$K$13,2)</f>
        <v>4</v>
      </c>
      <c r="C176" s="12">
        <f>VLOOKUP('Tabelle 1'!C198,'Degree of Symptoms'!$J$13:$K$22,2)</f>
        <v>3</v>
      </c>
      <c r="D176" s="12">
        <f>VLOOKUP('Tabelle 1'!D198,'Degree of Symptoms'!$J$26:$K$30,2)</f>
        <v>4</v>
      </c>
      <c r="E176" s="17">
        <f t="shared" si="9"/>
        <v>3.6666666666666665</v>
      </c>
    </row>
    <row r="177" spans="1:9" x14ac:dyDescent="0.25">
      <c r="A177" s="12">
        <v>8</v>
      </c>
      <c r="B177" s="12">
        <f>VLOOKUP('Tabelle 1'!B199,'Degree of Symptoms'!$J$9:$K$13,2)</f>
        <v>3</v>
      </c>
      <c r="C177" s="12">
        <f>VLOOKUP('Tabelle 1'!C199,'Degree of Symptoms'!$J$13:$K$22,2)</f>
        <v>2</v>
      </c>
      <c r="D177" s="12">
        <f>VLOOKUP('Tabelle 1'!D199,'Degree of Symptoms'!$J$26:$K$30,2)</f>
        <v>4</v>
      </c>
      <c r="E177" s="17">
        <f t="shared" si="9"/>
        <v>3</v>
      </c>
    </row>
    <row r="178" spans="1:9" x14ac:dyDescent="0.25">
      <c r="A178" s="12">
        <v>9</v>
      </c>
      <c r="B178" s="12">
        <f>VLOOKUP('Tabelle 1'!B200,'Degree of Symptoms'!$J$9:$K$13,2)</f>
        <v>3</v>
      </c>
      <c r="C178" s="12">
        <f>VLOOKUP('Tabelle 1'!C200,'Degree of Symptoms'!$J$13:$K$22,2)</f>
        <v>2</v>
      </c>
      <c r="D178" s="12">
        <f>VLOOKUP('Tabelle 1'!D200,'Degree of Symptoms'!$J$26:$K$30,2)</f>
        <v>4</v>
      </c>
      <c r="E178" s="17">
        <f t="shared" si="9"/>
        <v>3</v>
      </c>
      <c r="G178" s="33"/>
      <c r="H178" s="33"/>
      <c r="I178" s="33"/>
    </row>
    <row r="179" spans="1:9" x14ac:dyDescent="0.25">
      <c r="A179" s="12">
        <v>10</v>
      </c>
      <c r="B179" s="12">
        <f>VLOOKUP('Tabelle 1'!B201,'Degree of Symptoms'!$J$9:$K$13,2)</f>
        <v>2</v>
      </c>
      <c r="C179" s="12">
        <f>VLOOKUP('Tabelle 1'!C201,'Degree of Symptoms'!$J$13:$K$22,2)</f>
        <v>2</v>
      </c>
      <c r="D179" s="12">
        <f>VLOOKUP('Tabelle 1'!D201,'Degree of Symptoms'!$J$26:$K$30,2)</f>
        <v>2</v>
      </c>
      <c r="E179" s="17">
        <f t="shared" si="9"/>
        <v>2</v>
      </c>
      <c r="G179" s="33"/>
      <c r="H179" s="2"/>
      <c r="I179" s="2"/>
    </row>
    <row r="180" spans="1:9" x14ac:dyDescent="0.25">
      <c r="A180" s="12">
        <v>11</v>
      </c>
      <c r="B180" s="12">
        <f>VLOOKUP('Tabelle 1'!B202,'Degree of Symptoms'!$J$9:$K$13,2)</f>
        <v>1</v>
      </c>
      <c r="C180" s="12">
        <f>VLOOKUP('Tabelle 1'!C202,'Degree of Symptoms'!$J$13:$K$22,2)</f>
        <v>1</v>
      </c>
      <c r="D180" s="12">
        <f>VLOOKUP('Tabelle 1'!D202,'Degree of Symptoms'!$J$26:$K$30,2)</f>
        <v>1</v>
      </c>
      <c r="E180" s="17">
        <f t="shared" si="9"/>
        <v>1</v>
      </c>
      <c r="G180" s="33"/>
      <c r="H180" s="2"/>
      <c r="I180" s="2"/>
    </row>
    <row r="181" spans="1:9" x14ac:dyDescent="0.25">
      <c r="A181" s="12">
        <v>12</v>
      </c>
      <c r="B181" s="12">
        <f>VLOOKUP('Tabelle 1'!B203,'Degree of Symptoms'!$J$9:$K$13,2)</f>
        <v>3</v>
      </c>
      <c r="C181" s="12">
        <f>VLOOKUP('Tabelle 1'!C203,'Degree of Symptoms'!$J$13:$K$22,2)</f>
        <v>2</v>
      </c>
      <c r="D181" s="12">
        <f>VLOOKUP('Tabelle 1'!D203,'Degree of Symptoms'!$J$26:$K$30,2)</f>
        <v>4</v>
      </c>
      <c r="E181" s="17">
        <f t="shared" si="9"/>
        <v>3</v>
      </c>
      <c r="G181" s="33"/>
      <c r="H181" s="2"/>
      <c r="I181" s="2"/>
    </row>
    <row r="182" spans="1:9" x14ac:dyDescent="0.25">
      <c r="A182" s="12">
        <v>13</v>
      </c>
      <c r="B182" s="12">
        <f>VLOOKUP('Tabelle 1'!B204,'Degree of Symptoms'!$J$9:$K$13,2)</f>
        <v>3</v>
      </c>
      <c r="C182" s="12">
        <f>VLOOKUP('Tabelle 1'!C204,'Degree of Symptoms'!$J$13:$K$22,2)</f>
        <v>3</v>
      </c>
      <c r="D182" s="12">
        <f>VLOOKUP('Tabelle 1'!D204,'Degree of Symptoms'!$J$26:$K$30,2)</f>
        <v>4</v>
      </c>
      <c r="E182" s="17">
        <f t="shared" si="9"/>
        <v>3.3333333333333335</v>
      </c>
      <c r="G182" s="33"/>
      <c r="H182" s="2"/>
      <c r="I182" s="2"/>
    </row>
    <row r="183" spans="1:9" x14ac:dyDescent="0.25">
      <c r="A183" s="12">
        <v>14</v>
      </c>
      <c r="B183" s="12">
        <f>VLOOKUP('Tabelle 1'!B205,'Degree of Symptoms'!$J$9:$K$13,2)</f>
        <v>2</v>
      </c>
      <c r="C183" s="12">
        <f>VLOOKUP('Tabelle 1'!C205,'Degree of Symptoms'!$J$13:$K$22,2)</f>
        <v>1</v>
      </c>
      <c r="D183" s="12">
        <f>VLOOKUP('Tabelle 1'!D205,'Degree of Symptoms'!$J$26:$K$30,2)</f>
        <v>1</v>
      </c>
      <c r="E183" s="17">
        <f t="shared" si="9"/>
        <v>1.3333333333333333</v>
      </c>
      <c r="G183" s="33"/>
      <c r="H183" s="2"/>
      <c r="I183" s="2"/>
    </row>
    <row r="184" spans="1:9" x14ac:dyDescent="0.25">
      <c r="A184" s="12">
        <v>15</v>
      </c>
      <c r="B184" s="12">
        <f>VLOOKUP('Tabelle 1'!B206,'Degree of Symptoms'!$J$9:$K$13,2)</f>
        <v>2</v>
      </c>
      <c r="C184" s="12">
        <f>VLOOKUP('Tabelle 1'!C206,'Degree of Symptoms'!$J$13:$K$22,2)</f>
        <v>2</v>
      </c>
      <c r="D184" s="12">
        <f>VLOOKUP('Tabelle 1'!D206,'Degree of Symptoms'!$J$26:$K$30,2)</f>
        <v>2</v>
      </c>
      <c r="E184" s="17">
        <f t="shared" si="9"/>
        <v>2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46</v>
      </c>
      <c r="B186" s="12">
        <f>AVERAGE(B170:B184)</f>
        <v>2.6</v>
      </c>
      <c r="C186" s="12">
        <f>AVERAGE(C170:C184)</f>
        <v>2.2000000000000002</v>
      </c>
      <c r="D186" s="12">
        <f>AVERAGE(D170:D184)</f>
        <v>3.0666666666666669</v>
      </c>
      <c r="E186" s="17">
        <f>AVERAGE(E170:E184)</f>
        <v>2.6222222222222227</v>
      </c>
      <c r="F186" s="2">
        <f>'Tabelle 1'!F208</f>
        <v>15</v>
      </c>
    </row>
    <row r="187" spans="1:9" x14ac:dyDescent="0.25">
      <c r="A187" s="19" t="s">
        <v>47</v>
      </c>
      <c r="B187" s="12">
        <f>STDEV(B170:B184)</f>
        <v>0.91025898983279929</v>
      </c>
      <c r="C187" s="12">
        <f>STDEV(C170:C184)</f>
        <v>0.67612340378281355</v>
      </c>
      <c r="D187" s="12">
        <f>STDEV(D170:D184)</f>
        <v>1.2798809468443688</v>
      </c>
      <c r="E187" s="17">
        <f>STDEV(E170:E184)</f>
        <v>0.88968218569014246</v>
      </c>
    </row>
    <row r="190" spans="1:9" x14ac:dyDescent="0.25">
      <c r="A190" s="19" t="str">
        <f>'Tabelle 1'!A211</f>
        <v>AML1-NoGFP c10</v>
      </c>
      <c r="B190" s="19" t="s">
        <v>34</v>
      </c>
      <c r="C190" s="19" t="s">
        <v>35</v>
      </c>
      <c r="D190" s="19" t="s">
        <v>36</v>
      </c>
      <c r="E190" s="19" t="s">
        <v>37</v>
      </c>
      <c r="H190" s="33" t="s">
        <v>38</v>
      </c>
    </row>
    <row r="191" spans="1:9" x14ac:dyDescent="0.25">
      <c r="A191" s="12">
        <v>1</v>
      </c>
      <c r="B191" s="12">
        <f>VLOOKUP('Tabelle 1'!B213,'Degree of Symptoms'!$J$9:$K$13,2)</f>
        <v>2</v>
      </c>
      <c r="C191" s="12">
        <f>VLOOKUP('Tabelle 1'!C213,'Degree of Symptoms'!$J$13:$K$22,2)</f>
        <v>2</v>
      </c>
      <c r="D191" s="12">
        <f>VLOOKUP('Tabelle 1'!D213,'Degree of Symptoms'!$J$26:$K$30,2)</f>
        <v>2</v>
      </c>
      <c r="E191" s="17">
        <f t="shared" ref="E191:E205" si="10">AVERAGE(B191:D191)</f>
        <v>2</v>
      </c>
      <c r="G191" s="34" t="s">
        <v>39</v>
      </c>
      <c r="H191" s="1">
        <f>COUNTIFS($E$191:$E$205,"&lt;1,99",$E$191:$E$205,"&gt;=1")</f>
        <v>3</v>
      </c>
    </row>
    <row r="192" spans="1:9" x14ac:dyDescent="0.25">
      <c r="A192" s="12">
        <v>2</v>
      </c>
      <c r="B192" s="12">
        <f>VLOOKUP('Tabelle 1'!B214,'Degree of Symptoms'!$J$9:$K$13,2)</f>
        <v>3</v>
      </c>
      <c r="C192" s="12">
        <f>VLOOKUP('Tabelle 1'!C214,'Degree of Symptoms'!$J$13:$K$22,2)</f>
        <v>3</v>
      </c>
      <c r="D192" s="12">
        <f>VLOOKUP('Tabelle 1'!D214,'Degree of Symptoms'!$J$26:$K$30,2)</f>
        <v>4</v>
      </c>
      <c r="E192" s="17">
        <f t="shared" si="10"/>
        <v>3.3333333333333335</v>
      </c>
      <c r="G192" s="34" t="s">
        <v>40</v>
      </c>
      <c r="H192" s="1">
        <f>COUNTIFS($E$191:$E$205,"&lt;2,99",$E$191:$E$205,"&gt;=2")</f>
        <v>4</v>
      </c>
    </row>
    <row r="193" spans="1:9" x14ac:dyDescent="0.25">
      <c r="A193" s="12">
        <v>3</v>
      </c>
      <c r="B193" s="12">
        <f>VLOOKUP('Tabelle 1'!B215,'Degree of Symptoms'!$J$9:$K$13,2)</f>
        <v>3</v>
      </c>
      <c r="C193" s="12">
        <f>VLOOKUP('Tabelle 1'!C215,'Degree of Symptoms'!$J$13:$K$22,2)</f>
        <v>2</v>
      </c>
      <c r="D193" s="12">
        <f>VLOOKUP('Tabelle 1'!D215,'Degree of Symptoms'!$J$26:$K$30,2)</f>
        <v>4</v>
      </c>
      <c r="E193" s="17">
        <f t="shared" si="10"/>
        <v>3</v>
      </c>
      <c r="G193" s="34" t="s">
        <v>42</v>
      </c>
      <c r="H193" s="1">
        <f>COUNTIFS($E$191:$E$205,"&lt;3,99",$E$191:$E$205,"&gt;=3")</f>
        <v>7</v>
      </c>
    </row>
    <row r="194" spans="1:9" x14ac:dyDescent="0.25">
      <c r="A194" s="12">
        <v>4</v>
      </c>
      <c r="B194" s="12">
        <f>VLOOKUP('Tabelle 1'!B216,'Degree of Symptoms'!$J$9:$K$13,2)</f>
        <v>4</v>
      </c>
      <c r="C194" s="12">
        <f>VLOOKUP('Tabelle 1'!C216,'Degree of Symptoms'!$J$13:$K$22,2)</f>
        <v>4</v>
      </c>
      <c r="D194" s="12">
        <f>VLOOKUP('Tabelle 1'!D216,'Degree of Symptoms'!$J$26:$K$30,2)</f>
        <v>4</v>
      </c>
      <c r="E194" s="17">
        <f t="shared" si="10"/>
        <v>4</v>
      </c>
      <c r="G194" s="34" t="s">
        <v>44</v>
      </c>
      <c r="H194" s="1">
        <f>COUNTIFS($E$191:$E$205,"&lt;4,99",$E$191:$E$205,"&gt;=4")</f>
        <v>1</v>
      </c>
    </row>
    <row r="195" spans="1:9" x14ac:dyDescent="0.25">
      <c r="A195" s="12">
        <v>5</v>
      </c>
      <c r="B195" s="12">
        <f>VLOOKUP('Tabelle 1'!B217,'Degree of Symptoms'!$J$9:$K$13,2)</f>
        <v>2</v>
      </c>
      <c r="C195" s="12">
        <f>VLOOKUP('Tabelle 1'!C217,'Degree of Symptoms'!$J$13:$K$22,2)</f>
        <v>2</v>
      </c>
      <c r="D195" s="12">
        <f>VLOOKUP('Tabelle 1'!D217,'Degree of Symptoms'!$J$26:$K$30,2)</f>
        <v>2</v>
      </c>
      <c r="E195" s="17">
        <f t="shared" si="10"/>
        <v>2</v>
      </c>
      <c r="G195" s="34">
        <v>5</v>
      </c>
      <c r="H195" s="1">
        <f>COUNTIF($E$191:$E$205,"&gt;=5")</f>
        <v>0</v>
      </c>
    </row>
    <row r="196" spans="1:9" x14ac:dyDescent="0.25">
      <c r="A196" s="12">
        <v>6</v>
      </c>
      <c r="B196" s="12">
        <f>VLOOKUP('Tabelle 1'!B218,'Degree of Symptoms'!$J$9:$K$13,2)</f>
        <v>3</v>
      </c>
      <c r="C196" s="12">
        <f>VLOOKUP('Tabelle 1'!C218,'Degree of Symptoms'!$J$13:$K$22,2)</f>
        <v>3</v>
      </c>
      <c r="D196" s="12">
        <f>VLOOKUP('Tabelle 1'!D218,'Degree of Symptoms'!$J$26:$K$30,2)</f>
        <v>4</v>
      </c>
      <c r="E196" s="17">
        <f t="shared" si="10"/>
        <v>3.3333333333333335</v>
      </c>
      <c r="H196" s="1">
        <f>SUM(H191:H195)</f>
        <v>15</v>
      </c>
    </row>
    <row r="197" spans="1:9" x14ac:dyDescent="0.25">
      <c r="A197" s="12">
        <v>7</v>
      </c>
      <c r="B197" s="12">
        <f>VLOOKUP('Tabelle 1'!B219,'Degree of Symptoms'!$J$9:$K$13,2)</f>
        <v>3</v>
      </c>
      <c r="C197" s="12">
        <f>VLOOKUP('Tabelle 1'!C219,'Degree of Symptoms'!$J$13:$K$22,2)</f>
        <v>3</v>
      </c>
      <c r="D197" s="12">
        <f>VLOOKUP('Tabelle 1'!D219,'Degree of Symptoms'!$J$26:$K$30,2)</f>
        <v>4</v>
      </c>
      <c r="E197" s="17">
        <f t="shared" si="10"/>
        <v>3.3333333333333335</v>
      </c>
    </row>
    <row r="198" spans="1:9" x14ac:dyDescent="0.25">
      <c r="A198" s="12">
        <v>8</v>
      </c>
      <c r="B198" s="12">
        <f>VLOOKUP('Tabelle 1'!B220,'Degree of Symptoms'!$J$9:$K$13,2)</f>
        <v>1</v>
      </c>
      <c r="C198" s="12">
        <f>VLOOKUP('Tabelle 1'!C220,'Degree of Symptoms'!$J$13:$K$22,2)</f>
        <v>2</v>
      </c>
      <c r="D198" s="12">
        <f>VLOOKUP('Tabelle 1'!D220,'Degree of Symptoms'!$J$26:$K$30,2)</f>
        <v>2</v>
      </c>
      <c r="E198" s="17">
        <f t="shared" si="10"/>
        <v>1.6666666666666667</v>
      </c>
    </row>
    <row r="199" spans="1:9" x14ac:dyDescent="0.25">
      <c r="A199" s="12">
        <v>9</v>
      </c>
      <c r="B199" s="12">
        <f>VLOOKUP('Tabelle 1'!B221,'Degree of Symptoms'!$J$9:$K$13,2)</f>
        <v>3</v>
      </c>
      <c r="C199" s="12">
        <f>VLOOKUP('Tabelle 1'!C221,'Degree of Symptoms'!$J$13:$K$22,2)</f>
        <v>3</v>
      </c>
      <c r="D199" s="12">
        <f>VLOOKUP('Tabelle 1'!D221,'Degree of Symptoms'!$J$26:$K$30,2)</f>
        <v>4</v>
      </c>
      <c r="E199" s="17">
        <f t="shared" si="10"/>
        <v>3.3333333333333335</v>
      </c>
      <c r="G199" s="33"/>
      <c r="H199" s="33"/>
      <c r="I199" s="33"/>
    </row>
    <row r="200" spans="1:9" x14ac:dyDescent="0.25">
      <c r="A200" s="12">
        <v>10</v>
      </c>
      <c r="B200" s="12">
        <f>VLOOKUP('Tabelle 1'!B222,'Degree of Symptoms'!$J$9:$K$13,2)</f>
        <v>2</v>
      </c>
      <c r="C200" s="12">
        <f>VLOOKUP('Tabelle 1'!C222,'Degree of Symptoms'!$J$13:$K$22,2)</f>
        <v>1</v>
      </c>
      <c r="D200" s="12">
        <f>VLOOKUP('Tabelle 1'!D222,'Degree of Symptoms'!$J$26:$K$30,2)</f>
        <v>1</v>
      </c>
      <c r="E200" s="17">
        <f t="shared" si="10"/>
        <v>1.3333333333333333</v>
      </c>
      <c r="G200" s="33"/>
      <c r="H200" s="2"/>
      <c r="I200" s="2"/>
    </row>
    <row r="201" spans="1:9" x14ac:dyDescent="0.25">
      <c r="A201" s="12">
        <v>11</v>
      </c>
      <c r="B201" s="12">
        <f>VLOOKUP('Tabelle 1'!B223,'Degree of Symptoms'!$J$9:$K$13,2)</f>
        <v>2</v>
      </c>
      <c r="C201" s="12">
        <f>VLOOKUP('Tabelle 1'!C223,'Degree of Symptoms'!$J$13:$K$22,2)</f>
        <v>3</v>
      </c>
      <c r="D201" s="12">
        <f>VLOOKUP('Tabelle 1'!D223,'Degree of Symptoms'!$J$26:$K$30,2)</f>
        <v>4</v>
      </c>
      <c r="E201" s="17">
        <f t="shared" si="10"/>
        <v>3</v>
      </c>
      <c r="G201" s="33"/>
      <c r="H201" s="2"/>
      <c r="I201" s="2"/>
    </row>
    <row r="202" spans="1:9" x14ac:dyDescent="0.25">
      <c r="A202" s="12">
        <v>12</v>
      </c>
      <c r="B202" s="12">
        <f>VLOOKUP('Tabelle 1'!B224,'Degree of Symptoms'!$J$9:$K$13,2)</f>
        <v>3</v>
      </c>
      <c r="C202" s="12">
        <f>VLOOKUP('Tabelle 1'!C224,'Degree of Symptoms'!$J$13:$K$22,2)</f>
        <v>2</v>
      </c>
      <c r="D202" s="12">
        <f>VLOOKUP('Tabelle 1'!D224,'Degree of Symptoms'!$J$26:$K$30,2)</f>
        <v>3</v>
      </c>
      <c r="E202" s="17">
        <f t="shared" si="10"/>
        <v>2.6666666666666665</v>
      </c>
      <c r="G202" s="33"/>
      <c r="H202" s="2"/>
      <c r="I202" s="2"/>
    </row>
    <row r="203" spans="1:9" x14ac:dyDescent="0.25">
      <c r="A203" s="12">
        <v>13</v>
      </c>
      <c r="B203" s="12">
        <f>VLOOKUP('Tabelle 1'!B225,'Degree of Symptoms'!$J$9:$K$13,2)</f>
        <v>3</v>
      </c>
      <c r="C203" s="12">
        <f>VLOOKUP('Tabelle 1'!C225,'Degree of Symptoms'!$J$13:$K$22,2)</f>
        <v>2</v>
      </c>
      <c r="D203" s="12">
        <f>VLOOKUP('Tabelle 1'!D225,'Degree of Symptoms'!$J$26:$K$30,2)</f>
        <v>3</v>
      </c>
      <c r="E203" s="17">
        <f t="shared" si="10"/>
        <v>2.6666666666666665</v>
      </c>
      <c r="G203" s="33"/>
      <c r="H203" s="2"/>
      <c r="I203" s="2"/>
    </row>
    <row r="204" spans="1:9" x14ac:dyDescent="0.25">
      <c r="A204" s="12">
        <v>14</v>
      </c>
      <c r="B204" s="12">
        <f>VLOOKUP('Tabelle 1'!B226,'Degree of Symptoms'!$J$9:$K$13,2)</f>
        <v>4</v>
      </c>
      <c r="C204" s="12">
        <f>VLOOKUP('Tabelle 1'!C226,'Degree of Symptoms'!$J$13:$K$22,2)</f>
        <v>3</v>
      </c>
      <c r="D204" s="12">
        <f>VLOOKUP('Tabelle 1'!D226,'Degree of Symptoms'!$J$26:$K$30,2)</f>
        <v>4</v>
      </c>
      <c r="E204" s="17">
        <f t="shared" si="10"/>
        <v>3.6666666666666665</v>
      </c>
      <c r="G204" s="33"/>
      <c r="H204" s="2"/>
      <c r="I204" s="2"/>
    </row>
    <row r="205" spans="1:9" x14ac:dyDescent="0.25">
      <c r="A205" s="12">
        <v>15</v>
      </c>
      <c r="B205" s="12">
        <f>VLOOKUP('Tabelle 1'!B227,'Degree of Symptoms'!$J$9:$K$13,2)</f>
        <v>2</v>
      </c>
      <c r="C205" s="12">
        <f>VLOOKUP('Tabelle 1'!C227,'Degree of Symptoms'!$J$13:$K$22,2)</f>
        <v>1</v>
      </c>
      <c r="D205" s="12">
        <f>VLOOKUP('Tabelle 1'!D227,'Degree of Symptoms'!$J$26:$K$30,2)</f>
        <v>1</v>
      </c>
      <c r="E205" s="17">
        <f t="shared" si="10"/>
        <v>1.3333333333333333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46</v>
      </c>
      <c r="B207" s="12">
        <f>AVERAGE(B191:B205)</f>
        <v>2.6666666666666665</v>
      </c>
      <c r="C207" s="12">
        <f>AVERAGE(C191:C205)</f>
        <v>2.4</v>
      </c>
      <c r="D207" s="12">
        <f>AVERAGE(D191:D205)</f>
        <v>3.0666666666666669</v>
      </c>
      <c r="E207" s="17">
        <f>AVERAGE(E191:E205)</f>
        <v>2.7111111111111108</v>
      </c>
      <c r="F207" s="2">
        <f>'Tabelle 1'!F229</f>
        <v>15</v>
      </c>
    </row>
    <row r="208" spans="1:9" x14ac:dyDescent="0.25">
      <c r="A208" s="19" t="s">
        <v>47</v>
      </c>
      <c r="B208" s="12">
        <f>STDEV(B191:B205)</f>
        <v>0.81649658092772581</v>
      </c>
      <c r="C208" s="12">
        <f>STDEV(C191:C205)</f>
        <v>0.82807867121082479</v>
      </c>
      <c r="D208" s="12">
        <f>STDEV(D191:D205)</f>
        <v>1.1629191512658792</v>
      </c>
      <c r="E208" s="17">
        <f>STDEV(E191:E205)</f>
        <v>0.85325396456291303</v>
      </c>
    </row>
    <row r="211" spans="1:9" x14ac:dyDescent="0.25">
      <c r="A211" s="19" t="str">
        <f>'Tabelle 1'!A232</f>
        <v>AML1-GFP c12</v>
      </c>
      <c r="B211" s="19" t="s">
        <v>34</v>
      </c>
      <c r="C211" s="19" t="s">
        <v>35</v>
      </c>
      <c r="D211" s="19" t="s">
        <v>36</v>
      </c>
      <c r="E211" s="19" t="s">
        <v>37</v>
      </c>
      <c r="H211" s="33" t="s">
        <v>38</v>
      </c>
    </row>
    <row r="212" spans="1:9" x14ac:dyDescent="0.25">
      <c r="A212" s="12">
        <v>1</v>
      </c>
      <c r="B212" s="12">
        <f>VLOOKUP('Tabelle 1'!B234,'Degree of Symptoms'!$J$9:$K$13,2)</f>
        <v>1</v>
      </c>
      <c r="C212" s="12">
        <f>VLOOKUP('Tabelle 1'!C234,'Degree of Symptoms'!$J$13:$K$22,2)</f>
        <v>2</v>
      </c>
      <c r="D212" s="12">
        <f>VLOOKUP('Tabelle 1'!D234,'Degree of Symptoms'!$J$26:$K$30,2)</f>
        <v>1</v>
      </c>
      <c r="E212" s="17">
        <f t="shared" ref="E212:E226" si="11">AVERAGE(B212:D212)</f>
        <v>1.3333333333333333</v>
      </c>
      <c r="G212" s="34" t="s">
        <v>39</v>
      </c>
      <c r="H212" s="1">
        <f>COUNTIFS($E$212:$E$226,"&lt;1,99",$E$212:$E$226,"&gt;=1")</f>
        <v>8</v>
      </c>
    </row>
    <row r="213" spans="1:9" x14ac:dyDescent="0.25">
      <c r="A213" s="12">
        <v>2</v>
      </c>
      <c r="B213" s="12">
        <f>VLOOKUP('Tabelle 1'!B235,'Degree of Symptoms'!$J$9:$K$13,2)</f>
        <v>4</v>
      </c>
      <c r="C213" s="12">
        <f>VLOOKUP('Tabelle 1'!C235,'Degree of Symptoms'!$J$13:$K$22,2)</f>
        <v>2</v>
      </c>
      <c r="D213" s="12">
        <f>VLOOKUP('Tabelle 1'!D235,'Degree of Symptoms'!$J$26:$K$30,2)</f>
        <v>2</v>
      </c>
      <c r="E213" s="17">
        <f t="shared" si="11"/>
        <v>2.6666666666666665</v>
      </c>
      <c r="G213" s="34" t="s">
        <v>40</v>
      </c>
      <c r="H213" s="1">
        <f>COUNTIFS($E$212:$E$226,"&lt;2,99",$E$212:$E$226,"&gt;=2")</f>
        <v>5</v>
      </c>
    </row>
    <row r="214" spans="1:9" x14ac:dyDescent="0.25">
      <c r="A214" s="12">
        <v>3</v>
      </c>
      <c r="B214" s="12">
        <f>VLOOKUP('Tabelle 1'!B236,'Degree of Symptoms'!$J$9:$K$13,2)</f>
        <v>2</v>
      </c>
      <c r="C214" s="12">
        <f>VLOOKUP('Tabelle 1'!C236,'Degree of Symptoms'!$J$13:$K$22,2)</f>
        <v>1</v>
      </c>
      <c r="D214" s="12">
        <f>VLOOKUP('Tabelle 1'!D236,'Degree of Symptoms'!$J$26:$K$30,2)</f>
        <v>2</v>
      </c>
      <c r="E214" s="17">
        <f t="shared" si="11"/>
        <v>1.6666666666666667</v>
      </c>
      <c r="G214" s="34" t="s">
        <v>42</v>
      </c>
      <c r="H214" s="1">
        <f>COUNTIFS($E$212:$E$226,"&lt;3,99",$E$212:$E$226,"&gt;=3")</f>
        <v>2</v>
      </c>
    </row>
    <row r="215" spans="1:9" x14ac:dyDescent="0.25">
      <c r="A215" s="12">
        <v>4</v>
      </c>
      <c r="B215" s="12">
        <f>VLOOKUP('Tabelle 1'!B237,'Degree of Symptoms'!$J$9:$K$13,2)</f>
        <v>2</v>
      </c>
      <c r="C215" s="12">
        <f>VLOOKUP('Tabelle 1'!C237,'Degree of Symptoms'!$J$13:$K$22,2)</f>
        <v>1</v>
      </c>
      <c r="D215" s="12">
        <f>VLOOKUP('Tabelle 1'!D237,'Degree of Symptoms'!$J$26:$K$30,2)</f>
        <v>2</v>
      </c>
      <c r="E215" s="17">
        <f t="shared" si="11"/>
        <v>1.6666666666666667</v>
      </c>
      <c r="G215" s="34" t="s">
        <v>44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1'!B238,'Degree of Symptoms'!$J$9:$K$13,2)</f>
        <v>1</v>
      </c>
      <c r="C216" s="12">
        <f>VLOOKUP('Tabelle 1'!C238,'Degree of Symptoms'!$J$13:$K$22,2)</f>
        <v>2</v>
      </c>
      <c r="D216" s="12">
        <f>VLOOKUP('Tabelle 1'!D238,'Degree of Symptoms'!$J$26:$K$30,2)</f>
        <v>2</v>
      </c>
      <c r="E216" s="17">
        <f t="shared" si="11"/>
        <v>1.6666666666666667</v>
      </c>
      <c r="G216" s="34">
        <v>5</v>
      </c>
      <c r="H216" s="1">
        <f>COUNTIF($E$212:$E$226,"&gt;=5")</f>
        <v>0</v>
      </c>
    </row>
    <row r="217" spans="1:9" x14ac:dyDescent="0.25">
      <c r="A217" s="12">
        <v>6</v>
      </c>
      <c r="B217" s="12">
        <f>VLOOKUP('Tabelle 1'!B239,'Degree of Symptoms'!$J$9:$K$13,2)</f>
        <v>1</v>
      </c>
      <c r="C217" s="12">
        <f>VLOOKUP('Tabelle 1'!C239,'Degree of Symptoms'!$J$13:$K$22,2)</f>
        <v>1</v>
      </c>
      <c r="D217" s="12">
        <f>VLOOKUP('Tabelle 1'!D239,'Degree of Symptoms'!$J$26:$K$30,2)</f>
        <v>2</v>
      </c>
      <c r="E217" s="17">
        <f t="shared" si="11"/>
        <v>1.3333333333333333</v>
      </c>
      <c r="H217" s="1">
        <f>SUM(H212:H216)</f>
        <v>15</v>
      </c>
    </row>
    <row r="218" spans="1:9" x14ac:dyDescent="0.25">
      <c r="A218" s="12">
        <v>7</v>
      </c>
      <c r="B218" s="12">
        <f>VLOOKUP('Tabelle 1'!B240,'Degree of Symptoms'!$J$9:$K$13,2)</f>
        <v>2</v>
      </c>
      <c r="C218" s="12">
        <f>VLOOKUP('Tabelle 1'!C240,'Degree of Symptoms'!$J$13:$K$22,2)</f>
        <v>1</v>
      </c>
      <c r="D218" s="12">
        <f>VLOOKUP('Tabelle 1'!D240,'Degree of Symptoms'!$J$26:$K$30,2)</f>
        <v>2</v>
      </c>
      <c r="E218" s="17">
        <f t="shared" si="11"/>
        <v>1.6666666666666667</v>
      </c>
    </row>
    <row r="219" spans="1:9" x14ac:dyDescent="0.25">
      <c r="A219" s="12">
        <v>8</v>
      </c>
      <c r="B219" s="12">
        <f>VLOOKUP('Tabelle 1'!B241,'Degree of Symptoms'!$J$9:$K$13,2)</f>
        <v>2</v>
      </c>
      <c r="C219" s="12">
        <f>VLOOKUP('Tabelle 1'!C241,'Degree of Symptoms'!$J$13:$K$22,2)</f>
        <v>2</v>
      </c>
      <c r="D219" s="12">
        <f>VLOOKUP('Tabelle 1'!D241,'Degree of Symptoms'!$J$26:$K$30,2)</f>
        <v>3</v>
      </c>
      <c r="E219" s="17">
        <f t="shared" si="11"/>
        <v>2.3333333333333335</v>
      </c>
    </row>
    <row r="220" spans="1:9" x14ac:dyDescent="0.25">
      <c r="A220" s="12">
        <v>9</v>
      </c>
      <c r="B220" s="12">
        <f>VLOOKUP('Tabelle 1'!B242,'Degree of Symptoms'!$J$9:$K$13,2)</f>
        <v>3</v>
      </c>
      <c r="C220" s="12">
        <f>VLOOKUP('Tabelle 1'!C242,'Degree of Symptoms'!$J$13:$K$22,2)</f>
        <v>3</v>
      </c>
      <c r="D220" s="12">
        <f>VLOOKUP('Tabelle 1'!D242,'Degree of Symptoms'!$J$26:$K$30,2)</f>
        <v>4</v>
      </c>
      <c r="E220" s="17">
        <f t="shared" si="11"/>
        <v>3.3333333333333335</v>
      </c>
      <c r="G220" s="33"/>
      <c r="H220" s="33"/>
      <c r="I220" s="33"/>
    </row>
    <row r="221" spans="1:9" x14ac:dyDescent="0.25">
      <c r="A221" s="12">
        <v>10</v>
      </c>
      <c r="B221" s="12">
        <f>VLOOKUP('Tabelle 1'!B243,'Degree of Symptoms'!$J$9:$K$13,2)</f>
        <v>3</v>
      </c>
      <c r="C221" s="12">
        <f>VLOOKUP('Tabelle 1'!C243,'Degree of Symptoms'!$J$13:$K$22,2)</f>
        <v>2</v>
      </c>
      <c r="D221" s="12">
        <f>VLOOKUP('Tabelle 1'!D243,'Degree of Symptoms'!$J$26:$K$30,2)</f>
        <v>4</v>
      </c>
      <c r="E221" s="17">
        <f t="shared" si="11"/>
        <v>3</v>
      </c>
      <c r="G221" s="33"/>
      <c r="H221" s="2"/>
      <c r="I221" s="2"/>
    </row>
    <row r="222" spans="1:9" x14ac:dyDescent="0.25">
      <c r="A222" s="12">
        <v>11</v>
      </c>
      <c r="B222" s="12">
        <f>VLOOKUP('Tabelle 1'!B244,'Degree of Symptoms'!$J$9:$K$13,2)</f>
        <v>2</v>
      </c>
      <c r="C222" s="12">
        <f>VLOOKUP('Tabelle 1'!C244,'Degree of Symptoms'!$J$13:$K$22,2)</f>
        <v>2</v>
      </c>
      <c r="D222" s="12">
        <f>VLOOKUP('Tabelle 1'!D244,'Degree of Symptoms'!$J$26:$K$30,2)</f>
        <v>2</v>
      </c>
      <c r="E222" s="17">
        <f t="shared" si="11"/>
        <v>2</v>
      </c>
      <c r="G222" s="33"/>
      <c r="H222" s="2"/>
      <c r="I222" s="2"/>
    </row>
    <row r="223" spans="1:9" x14ac:dyDescent="0.25">
      <c r="A223" s="12">
        <v>12</v>
      </c>
      <c r="B223" s="12">
        <f>VLOOKUP('Tabelle 1'!B245,'Degree of Symptoms'!$J$9:$K$13,2)</f>
        <v>2</v>
      </c>
      <c r="C223" s="12">
        <f>VLOOKUP('Tabelle 1'!C245,'Degree of Symptoms'!$J$13:$K$22,2)</f>
        <v>1</v>
      </c>
      <c r="D223" s="12">
        <f>VLOOKUP('Tabelle 1'!D245,'Degree of Symptoms'!$J$26:$K$30,2)</f>
        <v>2</v>
      </c>
      <c r="E223" s="17">
        <f t="shared" si="11"/>
        <v>1.6666666666666667</v>
      </c>
      <c r="G223" s="33"/>
      <c r="H223" s="2"/>
      <c r="I223" s="2"/>
    </row>
    <row r="224" spans="1:9" x14ac:dyDescent="0.25">
      <c r="A224" s="12">
        <v>13</v>
      </c>
      <c r="B224" s="12">
        <f>VLOOKUP('Tabelle 1'!B246,'Degree of Symptoms'!$J$9:$K$13,2)</f>
        <v>3</v>
      </c>
      <c r="C224" s="12">
        <f>VLOOKUP('Tabelle 1'!C246,'Degree of Symptoms'!$J$13:$K$22,2)</f>
        <v>2</v>
      </c>
      <c r="D224" s="12">
        <f>VLOOKUP('Tabelle 1'!D246,'Degree of Symptoms'!$J$26:$K$30,2)</f>
        <v>3</v>
      </c>
      <c r="E224" s="17">
        <f t="shared" si="11"/>
        <v>2.6666666666666665</v>
      </c>
      <c r="G224" s="33"/>
      <c r="H224" s="2"/>
      <c r="I224" s="2"/>
    </row>
    <row r="225" spans="1:9" x14ac:dyDescent="0.25">
      <c r="A225" s="12">
        <v>14</v>
      </c>
      <c r="B225" s="12">
        <f>VLOOKUP('Tabelle 1'!B247,'Degree of Symptoms'!$J$9:$K$13,2)</f>
        <v>2</v>
      </c>
      <c r="C225" s="12">
        <f>VLOOKUP('Tabelle 1'!C247,'Degree of Symptoms'!$J$13:$K$22,2)</f>
        <v>2</v>
      </c>
      <c r="D225" s="12">
        <f>VLOOKUP('Tabelle 1'!D247,'Degree of Symptoms'!$J$26:$K$30,2)</f>
        <v>3</v>
      </c>
      <c r="E225" s="17">
        <f t="shared" si="11"/>
        <v>2.3333333333333335</v>
      </c>
      <c r="G225" s="33"/>
      <c r="H225" s="2"/>
      <c r="I225" s="2"/>
    </row>
    <row r="226" spans="1:9" x14ac:dyDescent="0.25">
      <c r="A226" s="12">
        <v>15</v>
      </c>
      <c r="B226" s="12">
        <f>VLOOKUP('Tabelle 1'!B248,'Degree of Symptoms'!$J$9:$K$13,2)</f>
        <v>2</v>
      </c>
      <c r="C226" s="12">
        <f>VLOOKUP('Tabelle 1'!C248,'Degree of Symptoms'!$J$13:$K$22,2)</f>
        <v>1</v>
      </c>
      <c r="D226" s="12">
        <f>VLOOKUP('Tabelle 1'!D248,'Degree of Symptoms'!$J$26:$K$30,2)</f>
        <v>2</v>
      </c>
      <c r="E226" s="17">
        <f t="shared" si="11"/>
        <v>1.6666666666666667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46</v>
      </c>
      <c r="B228" s="12">
        <f>AVERAGE(B212:B226)</f>
        <v>2.1333333333333333</v>
      </c>
      <c r="C228" s="12">
        <f>AVERAGE(C212:C226)</f>
        <v>1.6666666666666667</v>
      </c>
      <c r="D228" s="12">
        <f>AVERAGE(D212:D226)</f>
        <v>2.4</v>
      </c>
      <c r="E228" s="17">
        <f>AVERAGE(E212:E226)</f>
        <v>2.0666666666666669</v>
      </c>
      <c r="F228" s="2">
        <f>'Tabelle 1'!F250</f>
        <v>15</v>
      </c>
    </row>
    <row r="229" spans="1:9" x14ac:dyDescent="0.25">
      <c r="A229" s="19" t="s">
        <v>47</v>
      </c>
      <c r="B229" s="12">
        <f>STDEV(B212:B226)</f>
        <v>0.83380938783279201</v>
      </c>
      <c r="C229" s="12">
        <f>STDEV(C212:C226)</f>
        <v>0.61721339984836776</v>
      </c>
      <c r="D229" s="12">
        <f>STDEV(D212:D226)</f>
        <v>0.82807867121082479</v>
      </c>
      <c r="E229" s="17">
        <f>STDEV(E212:E226)</f>
        <v>0.6197797868009115</v>
      </c>
    </row>
    <row r="232" spans="1:9" x14ac:dyDescent="0.25">
      <c r="A232" s="19" t="str">
        <f>'Tabelle 1'!A253</f>
        <v>AML1-GFP c14</v>
      </c>
      <c r="B232" s="19" t="s">
        <v>34</v>
      </c>
      <c r="C232" s="19" t="s">
        <v>35</v>
      </c>
      <c r="D232" s="19" t="s">
        <v>36</v>
      </c>
      <c r="E232" s="19" t="s">
        <v>37</v>
      </c>
      <c r="H232" s="33" t="s">
        <v>38</v>
      </c>
    </row>
    <row r="233" spans="1:9" x14ac:dyDescent="0.25">
      <c r="A233" s="12">
        <v>1</v>
      </c>
      <c r="B233" s="12">
        <f>VLOOKUP('Tabelle 1'!B255,'Degree of Symptoms'!$J$9:$K$13,2)</f>
        <v>3</v>
      </c>
      <c r="C233" s="12">
        <f>VLOOKUP('Tabelle 1'!C255,'Degree of Symptoms'!$J$13:$K$22,2)</f>
        <v>2</v>
      </c>
      <c r="D233" s="12">
        <f>VLOOKUP('Tabelle 1'!D255,'Degree of Symptoms'!$J$26:$K$30,2)</f>
        <v>4</v>
      </c>
      <c r="E233" s="17">
        <f t="shared" ref="E233:E247" si="12">AVERAGE(B233:D233)</f>
        <v>3</v>
      </c>
      <c r="G233" s="34" t="s">
        <v>39</v>
      </c>
      <c r="H233" s="1">
        <f>COUNTIFS($E$233:$E$247,"&lt;1,99",$E$233:$E$247,"&gt;=1")</f>
        <v>5</v>
      </c>
    </row>
    <row r="234" spans="1:9" x14ac:dyDescent="0.25">
      <c r="A234" s="12">
        <v>2</v>
      </c>
      <c r="B234" s="12">
        <f>VLOOKUP('Tabelle 1'!B256,'Degree of Symptoms'!$J$9:$K$13,2)</f>
        <v>1</v>
      </c>
      <c r="C234" s="12">
        <f>VLOOKUP('Tabelle 1'!C256,'Degree of Symptoms'!$J$13:$K$22,2)</f>
        <v>1</v>
      </c>
      <c r="D234" s="12">
        <f>VLOOKUP('Tabelle 1'!D256,'Degree of Symptoms'!$J$26:$K$30,2)</f>
        <v>2</v>
      </c>
      <c r="E234" s="17">
        <f t="shared" si="12"/>
        <v>1.3333333333333333</v>
      </c>
      <c r="G234" s="34" t="s">
        <v>40</v>
      </c>
      <c r="H234" s="1">
        <f>COUNTIFS($E$233:$E$247,"&lt;2,99",$E$233:$E$247,"&gt;=2")</f>
        <v>6</v>
      </c>
    </row>
    <row r="235" spans="1:9" x14ac:dyDescent="0.25">
      <c r="A235" s="12">
        <v>3</v>
      </c>
      <c r="B235" s="12">
        <f>VLOOKUP('Tabelle 1'!B257,'Degree of Symptoms'!$J$9:$K$13,2)</f>
        <v>3</v>
      </c>
      <c r="C235" s="12">
        <f>VLOOKUP('Tabelle 1'!C257,'Degree of Symptoms'!$J$13:$K$22,2)</f>
        <v>3</v>
      </c>
      <c r="D235" s="12">
        <f>VLOOKUP('Tabelle 1'!D257,'Degree of Symptoms'!$J$26:$K$30,2)</f>
        <v>2</v>
      </c>
      <c r="E235" s="17">
        <f t="shared" si="12"/>
        <v>2.6666666666666665</v>
      </c>
      <c r="G235" s="34" t="s">
        <v>42</v>
      </c>
      <c r="H235" s="1">
        <f>COUNTIFS($E$233:$E$247,"&lt;3,99",$E$233:$E$247,"&gt;=3")</f>
        <v>4</v>
      </c>
    </row>
    <row r="236" spans="1:9" x14ac:dyDescent="0.25">
      <c r="A236" s="12">
        <v>4</v>
      </c>
      <c r="B236" s="12">
        <f>VLOOKUP('Tabelle 1'!B258,'Degree of Symptoms'!$J$9:$K$13,2)</f>
        <v>3</v>
      </c>
      <c r="C236" s="12">
        <f>VLOOKUP('Tabelle 1'!C258,'Degree of Symptoms'!$J$13:$K$22,2)</f>
        <v>2</v>
      </c>
      <c r="D236" s="12">
        <f>VLOOKUP('Tabelle 1'!D258,'Degree of Symptoms'!$J$26:$K$30,2)</f>
        <v>4</v>
      </c>
      <c r="E236" s="17">
        <f t="shared" si="12"/>
        <v>3</v>
      </c>
      <c r="G236" s="34" t="s">
        <v>44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1'!B259,'Degree of Symptoms'!$J$9:$K$13,2)</f>
        <v>1</v>
      </c>
      <c r="C237" s="12">
        <f>VLOOKUP('Tabelle 1'!C259,'Degree of Symptoms'!$J$13:$K$22,2)</f>
        <v>2</v>
      </c>
      <c r="D237" s="12">
        <f>VLOOKUP('Tabelle 1'!D259,'Degree of Symptoms'!$J$26:$K$30,2)</f>
        <v>2</v>
      </c>
      <c r="E237" s="17">
        <f t="shared" si="12"/>
        <v>1.6666666666666667</v>
      </c>
      <c r="G237" s="34">
        <v>5</v>
      </c>
      <c r="H237" s="1">
        <f>COUNTIF($E$233:$E$247,"&gt;=5")</f>
        <v>0</v>
      </c>
    </row>
    <row r="238" spans="1:9" x14ac:dyDescent="0.25">
      <c r="A238" s="12">
        <v>6</v>
      </c>
      <c r="B238" s="12">
        <f>VLOOKUP('Tabelle 1'!B260,'Degree of Symptoms'!$J$9:$K$13,2)</f>
        <v>3</v>
      </c>
      <c r="C238" s="12">
        <f>VLOOKUP('Tabelle 1'!C260,'Degree of Symptoms'!$J$13:$K$22,2)</f>
        <v>3</v>
      </c>
      <c r="D238" s="12">
        <f>VLOOKUP('Tabelle 1'!D260,'Degree of Symptoms'!$J$26:$K$30,2)</f>
        <v>4</v>
      </c>
      <c r="E238" s="17">
        <f t="shared" si="12"/>
        <v>3.3333333333333335</v>
      </c>
      <c r="H238" s="1">
        <f>SUM(H233:H237)</f>
        <v>15</v>
      </c>
    </row>
    <row r="239" spans="1:9" x14ac:dyDescent="0.25">
      <c r="A239" s="12">
        <v>7</v>
      </c>
      <c r="B239" s="12">
        <f>VLOOKUP('Tabelle 1'!B261,'Degree of Symptoms'!$J$9:$K$13,2)</f>
        <v>1</v>
      </c>
      <c r="C239" s="12">
        <f>VLOOKUP('Tabelle 1'!C261,'Degree of Symptoms'!$J$13:$K$22,2)</f>
        <v>1</v>
      </c>
      <c r="D239" s="12">
        <f>VLOOKUP('Tabelle 1'!D261,'Degree of Symptoms'!$J$26:$K$30,2)</f>
        <v>1</v>
      </c>
      <c r="E239" s="17">
        <f t="shared" si="12"/>
        <v>1</v>
      </c>
    </row>
    <row r="240" spans="1:9" x14ac:dyDescent="0.25">
      <c r="A240" s="12">
        <v>8</v>
      </c>
      <c r="B240" s="12">
        <f>VLOOKUP('Tabelle 1'!B262,'Degree of Symptoms'!$J$9:$K$13,2)</f>
        <v>1</v>
      </c>
      <c r="C240" s="12">
        <f>VLOOKUP('Tabelle 1'!C262,'Degree of Symptoms'!$J$13:$K$22,2)</f>
        <v>1</v>
      </c>
      <c r="D240" s="12">
        <f>VLOOKUP('Tabelle 1'!D262,'Degree of Symptoms'!$J$26:$K$30,2)</f>
        <v>1</v>
      </c>
      <c r="E240" s="17">
        <f t="shared" si="12"/>
        <v>1</v>
      </c>
    </row>
    <row r="241" spans="1:9" x14ac:dyDescent="0.25">
      <c r="A241" s="12">
        <v>9</v>
      </c>
      <c r="B241" s="12">
        <f>VLOOKUP('Tabelle 1'!B263,'Degree of Symptoms'!$J$9:$K$13,2)</f>
        <v>3</v>
      </c>
      <c r="C241" s="12">
        <f>VLOOKUP('Tabelle 1'!C263,'Degree of Symptoms'!$J$13:$K$22,2)</f>
        <v>2</v>
      </c>
      <c r="D241" s="12">
        <f>VLOOKUP('Tabelle 1'!D263,'Degree of Symptoms'!$J$26:$K$30,2)</f>
        <v>3</v>
      </c>
      <c r="E241" s="17">
        <f t="shared" si="12"/>
        <v>2.6666666666666665</v>
      </c>
      <c r="G241" s="33"/>
      <c r="H241" s="33"/>
      <c r="I241" s="33"/>
    </row>
    <row r="242" spans="1:9" x14ac:dyDescent="0.25">
      <c r="A242" s="12">
        <v>10</v>
      </c>
      <c r="B242" s="12">
        <f>VLOOKUP('Tabelle 1'!B264,'Degree of Symptoms'!$J$9:$K$13,2)</f>
        <v>2</v>
      </c>
      <c r="C242" s="12">
        <f>VLOOKUP('Tabelle 1'!C264,'Degree of Symptoms'!$J$13:$K$22,2)</f>
        <v>2</v>
      </c>
      <c r="D242" s="12">
        <f>VLOOKUP('Tabelle 1'!D264,'Degree of Symptoms'!$J$26:$K$30,2)</f>
        <v>3</v>
      </c>
      <c r="E242" s="17">
        <f t="shared" si="12"/>
        <v>2.3333333333333335</v>
      </c>
      <c r="G242" s="33"/>
      <c r="H242" s="2"/>
      <c r="I242" s="2"/>
    </row>
    <row r="243" spans="1:9" x14ac:dyDescent="0.25">
      <c r="A243" s="12">
        <v>11</v>
      </c>
      <c r="B243" s="12">
        <f>VLOOKUP('Tabelle 1'!B265,'Degree of Symptoms'!$J$9:$K$13,2)</f>
        <v>1</v>
      </c>
      <c r="C243" s="12">
        <f>VLOOKUP('Tabelle 1'!C265,'Degree of Symptoms'!$J$13:$K$22,2)</f>
        <v>1</v>
      </c>
      <c r="D243" s="12">
        <f>VLOOKUP('Tabelle 1'!D265,'Degree of Symptoms'!$J$26:$K$30,2)</f>
        <v>1</v>
      </c>
      <c r="E243" s="17">
        <f t="shared" si="12"/>
        <v>1</v>
      </c>
      <c r="G243" s="33"/>
      <c r="H243" s="2"/>
      <c r="I243" s="2"/>
    </row>
    <row r="244" spans="1:9" x14ac:dyDescent="0.25">
      <c r="A244" s="12">
        <v>12</v>
      </c>
      <c r="B244" s="12">
        <f>VLOOKUP('Tabelle 1'!B266,'Degree of Symptoms'!$J$9:$K$13,2)</f>
        <v>2</v>
      </c>
      <c r="C244" s="12">
        <f>VLOOKUP('Tabelle 1'!C266,'Degree of Symptoms'!$J$13:$K$22,2)</f>
        <v>2</v>
      </c>
      <c r="D244" s="12">
        <f>VLOOKUP('Tabelle 1'!D266,'Degree of Symptoms'!$J$26:$K$30,2)</f>
        <v>2</v>
      </c>
      <c r="E244" s="17">
        <f t="shared" si="12"/>
        <v>2</v>
      </c>
      <c r="G244" s="33"/>
      <c r="H244" s="2"/>
      <c r="I244" s="2"/>
    </row>
    <row r="245" spans="1:9" x14ac:dyDescent="0.25">
      <c r="A245" s="12">
        <v>13</v>
      </c>
      <c r="B245" s="12">
        <f>VLOOKUP('Tabelle 1'!B267,'Degree of Symptoms'!$J$9:$K$13,2)</f>
        <v>3</v>
      </c>
      <c r="C245" s="12">
        <f>VLOOKUP('Tabelle 1'!C267,'Degree of Symptoms'!$J$13:$K$22,2)</f>
        <v>2</v>
      </c>
      <c r="D245" s="12">
        <f>VLOOKUP('Tabelle 1'!D267,'Degree of Symptoms'!$J$26:$K$30,2)</f>
        <v>2</v>
      </c>
      <c r="E245" s="17">
        <f t="shared" si="12"/>
        <v>2.3333333333333335</v>
      </c>
      <c r="G245" s="33"/>
      <c r="H245" s="2"/>
      <c r="I245" s="2"/>
    </row>
    <row r="246" spans="1:9" x14ac:dyDescent="0.25">
      <c r="A246" s="12">
        <v>14</v>
      </c>
      <c r="B246" s="12">
        <f>VLOOKUP('Tabelle 1'!B268,'Degree of Symptoms'!$J$9:$K$13,2)</f>
        <v>3</v>
      </c>
      <c r="C246" s="12">
        <f>VLOOKUP('Tabelle 1'!C268,'Degree of Symptoms'!$J$13:$K$22,2)</f>
        <v>3</v>
      </c>
      <c r="D246" s="12">
        <f>VLOOKUP('Tabelle 1'!D268,'Degree of Symptoms'!$J$26:$K$30,2)</f>
        <v>3</v>
      </c>
      <c r="E246" s="17">
        <f t="shared" si="12"/>
        <v>3</v>
      </c>
      <c r="G246" s="33"/>
      <c r="H246" s="2"/>
      <c r="I246" s="2"/>
    </row>
    <row r="247" spans="1:9" x14ac:dyDescent="0.25">
      <c r="A247" s="12">
        <v>15</v>
      </c>
      <c r="B247" s="12">
        <f>VLOOKUP('Tabelle 1'!B269,'Degree of Symptoms'!$J$9:$K$13,2)</f>
        <v>2</v>
      </c>
      <c r="C247" s="12">
        <f>VLOOKUP('Tabelle 1'!C269,'Degree of Symptoms'!$J$13:$K$22,2)</f>
        <v>2</v>
      </c>
      <c r="D247" s="12">
        <f>VLOOKUP('Tabelle 1'!D269,'Degree of Symptoms'!$J$26:$K$30,2)</f>
        <v>2</v>
      </c>
      <c r="E247" s="17">
        <f t="shared" si="12"/>
        <v>2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46</v>
      </c>
      <c r="B249" s="12">
        <f>AVERAGE(B233:B247)</f>
        <v>2.1333333333333333</v>
      </c>
      <c r="C249" s="12">
        <f>AVERAGE(C233:C247)</f>
        <v>1.9333333333333333</v>
      </c>
      <c r="D249" s="12">
        <f>AVERAGE(D233:D247)</f>
        <v>2.4</v>
      </c>
      <c r="E249" s="17">
        <f>AVERAGE(E233:E247)</f>
        <v>2.1555555555555554</v>
      </c>
      <c r="F249" s="2">
        <f>'Tabelle 1'!F271</f>
        <v>15</v>
      </c>
    </row>
    <row r="250" spans="1:9" x14ac:dyDescent="0.25">
      <c r="A250" s="19" t="s">
        <v>47</v>
      </c>
      <c r="B250" s="12">
        <f>STDEV(B233:B247)</f>
        <v>0.91547541643412689</v>
      </c>
      <c r="C250" s="12">
        <f>STDEV(C233:C247)</f>
        <v>0.70373155054899661</v>
      </c>
      <c r="D250" s="12">
        <f>STDEV(D233:D247)</f>
        <v>1.055597325823495</v>
      </c>
      <c r="E250" s="17">
        <f>STDEV(E233:E247)</f>
        <v>0.80540502151231352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mergeCells count="1">
    <mergeCell ref="L12:L18"/>
  </mergeCells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topLeftCell="A7" zoomScale="117" zoomScaleNormal="117" workbookViewId="0"/>
  </sheetViews>
  <sheetFormatPr defaultColWidth="8.44140625" defaultRowHeight="14.4" x14ac:dyDescent="0.3"/>
  <cols>
    <col min="1" max="16384" width="8.44140625" style="24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689E-4E67-491F-94C4-AC908FC3B949}">
  <dimension ref="A1:U237"/>
  <sheetViews>
    <sheetView tabSelected="1" workbookViewId="0">
      <selection activeCell="M15" sqref="M15"/>
    </sheetView>
  </sheetViews>
  <sheetFormatPr defaultRowHeight="13.2" x14ac:dyDescent="0.25"/>
  <cols>
    <col min="2" max="2" width="18.77734375" customWidth="1"/>
    <col min="6" max="6" width="11.88671875" customWidth="1"/>
    <col min="7" max="7" width="11.21875" customWidth="1"/>
  </cols>
  <sheetData>
    <row r="1" spans="1:21" x14ac:dyDescent="0.25">
      <c r="K1" t="s">
        <v>71</v>
      </c>
      <c r="L1" t="s">
        <v>72</v>
      </c>
      <c r="Q1" t="s">
        <v>63</v>
      </c>
      <c r="R1" t="s">
        <v>64</v>
      </c>
      <c r="S1" t="s">
        <v>66</v>
      </c>
      <c r="T1" t="s">
        <v>67</v>
      </c>
      <c r="U1" t="s">
        <v>73</v>
      </c>
    </row>
    <row r="2" spans="1:21" x14ac:dyDescent="0.25">
      <c r="C2" t="s">
        <v>63</v>
      </c>
      <c r="D2" t="s">
        <v>64</v>
      </c>
      <c r="E2" t="s">
        <v>66</v>
      </c>
      <c r="F2" t="s">
        <v>67</v>
      </c>
      <c r="G2" t="s">
        <v>68</v>
      </c>
      <c r="K2" t="s">
        <v>63</v>
      </c>
      <c r="L2">
        <v>1</v>
      </c>
      <c r="O2">
        <v>1</v>
      </c>
      <c r="P2" t="s">
        <v>26</v>
      </c>
      <c r="Q2">
        <f>C3/C$9</f>
        <v>0.91379310344827591</v>
      </c>
      <c r="R2">
        <f>D3/D$9</f>
        <v>5.1724137931034482E-2</v>
      </c>
      <c r="S2">
        <f>E3/E$9</f>
        <v>0.4</v>
      </c>
      <c r="T2">
        <f>F3/F$9</f>
        <v>0.2</v>
      </c>
      <c r="U2">
        <f>G3/G$9</f>
        <v>0.43333333333333335</v>
      </c>
    </row>
    <row r="3" spans="1:21" x14ac:dyDescent="0.25">
      <c r="A3">
        <v>1</v>
      </c>
      <c r="B3" t="s">
        <v>26</v>
      </c>
      <c r="C3">
        <v>53</v>
      </c>
      <c r="D3">
        <v>3</v>
      </c>
      <c r="E3">
        <v>24</v>
      </c>
      <c r="F3">
        <v>6</v>
      </c>
      <c r="G3">
        <v>13</v>
      </c>
      <c r="K3" t="s">
        <v>63</v>
      </c>
      <c r="L3">
        <v>1</v>
      </c>
      <c r="O3">
        <v>2</v>
      </c>
      <c r="P3" t="s">
        <v>41</v>
      </c>
      <c r="Q3">
        <f t="shared" ref="Q3:Q5" si="0">C4/C$9</f>
        <v>6.8965517241379309E-2</v>
      </c>
      <c r="R3">
        <f t="shared" ref="R3:R5" si="1">D4/D$9</f>
        <v>0.32758620689655171</v>
      </c>
      <c r="S3">
        <f t="shared" ref="S3:S5" si="2">E4/E$9</f>
        <v>0.36666666666666664</v>
      </c>
      <c r="T3">
        <f t="shared" ref="T3:T5" si="3">F4/F$9</f>
        <v>0.23333333333333334</v>
      </c>
      <c r="U3">
        <f t="shared" ref="U3:U5" si="4">G4/G$9</f>
        <v>0.36666666666666664</v>
      </c>
    </row>
    <row r="4" spans="1:21" x14ac:dyDescent="0.25">
      <c r="A4">
        <v>2</v>
      </c>
      <c r="B4" t="s">
        <v>41</v>
      </c>
      <c r="C4">
        <v>4</v>
      </c>
      <c r="D4">
        <v>19</v>
      </c>
      <c r="E4">
        <v>22</v>
      </c>
      <c r="F4">
        <v>7</v>
      </c>
      <c r="G4">
        <v>11</v>
      </c>
      <c r="K4" t="s">
        <v>63</v>
      </c>
      <c r="L4">
        <v>1</v>
      </c>
      <c r="O4">
        <v>3</v>
      </c>
      <c r="P4" t="s">
        <v>43</v>
      </c>
      <c r="Q4">
        <f t="shared" si="0"/>
        <v>1.7241379310344827E-2</v>
      </c>
      <c r="R4">
        <f t="shared" si="1"/>
        <v>0.5</v>
      </c>
      <c r="S4">
        <f t="shared" si="2"/>
        <v>0.16666666666666666</v>
      </c>
      <c r="T4">
        <f t="shared" si="3"/>
        <v>0.53333333333333333</v>
      </c>
      <c r="U4">
        <f t="shared" si="4"/>
        <v>0.2</v>
      </c>
    </row>
    <row r="5" spans="1:21" x14ac:dyDescent="0.25">
      <c r="A5">
        <v>3</v>
      </c>
      <c r="B5" t="s">
        <v>43</v>
      </c>
      <c r="C5">
        <v>1</v>
      </c>
      <c r="D5">
        <v>29</v>
      </c>
      <c r="E5">
        <v>10</v>
      </c>
      <c r="F5">
        <v>16</v>
      </c>
      <c r="G5">
        <v>6</v>
      </c>
      <c r="K5" t="s">
        <v>63</v>
      </c>
      <c r="L5">
        <v>1</v>
      </c>
      <c r="O5">
        <v>4</v>
      </c>
      <c r="P5" t="s">
        <v>45</v>
      </c>
      <c r="Q5">
        <f t="shared" si="0"/>
        <v>0</v>
      </c>
      <c r="R5">
        <f t="shared" si="1"/>
        <v>0.1206896551724138</v>
      </c>
      <c r="S5">
        <f t="shared" si="2"/>
        <v>6.6666666666666666E-2</v>
      </c>
      <c r="T5">
        <f t="shared" si="3"/>
        <v>3.3333333333333333E-2</v>
      </c>
      <c r="U5">
        <f t="shared" si="4"/>
        <v>0</v>
      </c>
    </row>
    <row r="6" spans="1:21" x14ac:dyDescent="0.25">
      <c r="A6">
        <v>4</v>
      </c>
      <c r="B6" t="s">
        <v>45</v>
      </c>
      <c r="C6">
        <v>0</v>
      </c>
      <c r="D6">
        <v>7</v>
      </c>
      <c r="E6">
        <v>4</v>
      </c>
      <c r="F6">
        <v>1</v>
      </c>
      <c r="G6">
        <v>0</v>
      </c>
      <c r="K6" t="s">
        <v>63</v>
      </c>
      <c r="L6">
        <v>1</v>
      </c>
    </row>
    <row r="7" spans="1:21" x14ac:dyDescent="0.25">
      <c r="K7" t="s">
        <v>63</v>
      </c>
      <c r="L7">
        <v>1</v>
      </c>
      <c r="P7" t="s">
        <v>71</v>
      </c>
      <c r="Q7" t="s">
        <v>74</v>
      </c>
      <c r="R7" t="s">
        <v>72</v>
      </c>
    </row>
    <row r="8" spans="1:21" x14ac:dyDescent="0.25">
      <c r="K8" t="s">
        <v>63</v>
      </c>
      <c r="L8">
        <v>1</v>
      </c>
      <c r="P8" t="s">
        <v>63</v>
      </c>
      <c r="Q8">
        <v>0.91379310344827591</v>
      </c>
      <c r="R8">
        <v>1</v>
      </c>
    </row>
    <row r="9" spans="1:21" x14ac:dyDescent="0.25">
      <c r="B9" t="s">
        <v>12</v>
      </c>
      <c r="C9">
        <v>58</v>
      </c>
      <c r="D9">
        <v>58</v>
      </c>
      <c r="E9">
        <v>60</v>
      </c>
      <c r="F9">
        <v>30</v>
      </c>
      <c r="G9">
        <v>30</v>
      </c>
      <c r="K9" t="s">
        <v>63</v>
      </c>
      <c r="L9">
        <v>1</v>
      </c>
      <c r="P9" t="s">
        <v>63</v>
      </c>
      <c r="Q9">
        <v>6.8965517241379309E-2</v>
      </c>
      <c r="R9">
        <v>2</v>
      </c>
    </row>
    <row r="10" spans="1:21" x14ac:dyDescent="0.25">
      <c r="K10" t="s">
        <v>63</v>
      </c>
      <c r="L10">
        <v>1</v>
      </c>
      <c r="P10" t="s">
        <v>63</v>
      </c>
      <c r="Q10">
        <v>1.7241379310344827E-2</v>
      </c>
      <c r="R10">
        <v>3</v>
      </c>
    </row>
    <row r="11" spans="1:21" x14ac:dyDescent="0.25">
      <c r="K11" t="s">
        <v>63</v>
      </c>
      <c r="L11">
        <v>1</v>
      </c>
      <c r="P11" t="s">
        <v>63</v>
      </c>
      <c r="Q11">
        <v>0</v>
      </c>
      <c r="R11">
        <v>4</v>
      </c>
    </row>
    <row r="12" spans="1:21" x14ac:dyDescent="0.25">
      <c r="B12" t="s">
        <v>63</v>
      </c>
      <c r="C12">
        <v>1</v>
      </c>
      <c r="D12">
        <v>1</v>
      </c>
      <c r="E12">
        <v>1</v>
      </c>
      <c r="F12">
        <v>1</v>
      </c>
      <c r="G12">
        <v>1</v>
      </c>
      <c r="K12" t="s">
        <v>63</v>
      </c>
      <c r="L12">
        <v>1</v>
      </c>
      <c r="P12" t="s">
        <v>64</v>
      </c>
      <c r="Q12">
        <v>5.1724137931034482E-2</v>
      </c>
      <c r="R12">
        <v>1</v>
      </c>
    </row>
    <row r="13" spans="1:21" x14ac:dyDescent="0.25">
      <c r="B13" t="s">
        <v>63</v>
      </c>
      <c r="C13">
        <v>1</v>
      </c>
      <c r="D13">
        <v>1</v>
      </c>
      <c r="E13">
        <v>1</v>
      </c>
      <c r="F13">
        <v>1</v>
      </c>
      <c r="G13">
        <v>1</v>
      </c>
      <c r="K13" t="s">
        <v>63</v>
      </c>
      <c r="L13">
        <v>1</v>
      </c>
      <c r="P13" t="s">
        <v>64</v>
      </c>
      <c r="Q13">
        <v>0.32758620689655171</v>
      </c>
      <c r="R13">
        <v>2</v>
      </c>
    </row>
    <row r="14" spans="1:21" x14ac:dyDescent="0.25">
      <c r="B14" t="s">
        <v>63</v>
      </c>
      <c r="C14">
        <v>1</v>
      </c>
      <c r="D14">
        <v>1</v>
      </c>
      <c r="E14">
        <v>1</v>
      </c>
      <c r="F14">
        <v>1</v>
      </c>
      <c r="G14">
        <v>1</v>
      </c>
      <c r="K14" t="s">
        <v>63</v>
      </c>
      <c r="L14">
        <v>1</v>
      </c>
      <c r="P14" t="s">
        <v>64</v>
      </c>
      <c r="Q14">
        <v>0.5</v>
      </c>
      <c r="R14">
        <v>3</v>
      </c>
    </row>
    <row r="15" spans="1:21" x14ac:dyDescent="0.25">
      <c r="B15" t="s">
        <v>63</v>
      </c>
      <c r="C15">
        <v>1</v>
      </c>
      <c r="D15">
        <v>2</v>
      </c>
      <c r="E15">
        <v>1</v>
      </c>
      <c r="F15">
        <v>1</v>
      </c>
      <c r="G15">
        <v>1</v>
      </c>
      <c r="K15" t="s">
        <v>63</v>
      </c>
      <c r="L15">
        <v>1</v>
      </c>
      <c r="P15" t="s">
        <v>64</v>
      </c>
      <c r="Q15">
        <v>0.1206896551724138</v>
      </c>
      <c r="R15">
        <v>4</v>
      </c>
    </row>
    <row r="16" spans="1:21" x14ac:dyDescent="0.25">
      <c r="B16" t="s">
        <v>63</v>
      </c>
      <c r="C16">
        <v>1</v>
      </c>
      <c r="D16">
        <v>2</v>
      </c>
      <c r="E16">
        <v>1</v>
      </c>
      <c r="F16">
        <v>1</v>
      </c>
      <c r="G16">
        <v>1</v>
      </c>
      <c r="K16" t="s">
        <v>63</v>
      </c>
      <c r="L16">
        <v>1</v>
      </c>
      <c r="P16" t="s">
        <v>66</v>
      </c>
      <c r="Q16">
        <v>0.4</v>
      </c>
      <c r="R16">
        <v>1</v>
      </c>
    </row>
    <row r="17" spans="2:18" x14ac:dyDescent="0.25">
      <c r="B17" t="s">
        <v>63</v>
      </c>
      <c r="C17">
        <v>1</v>
      </c>
      <c r="D17">
        <v>2</v>
      </c>
      <c r="E17">
        <v>1</v>
      </c>
      <c r="F17">
        <v>1</v>
      </c>
      <c r="G17">
        <v>1</v>
      </c>
      <c r="K17" t="s">
        <v>63</v>
      </c>
      <c r="L17">
        <v>1</v>
      </c>
      <c r="P17" t="s">
        <v>66</v>
      </c>
      <c r="Q17">
        <v>0.36666666666666664</v>
      </c>
      <c r="R17">
        <v>2</v>
      </c>
    </row>
    <row r="18" spans="2:18" x14ac:dyDescent="0.25">
      <c r="B18" t="s">
        <v>63</v>
      </c>
      <c r="C18">
        <v>1</v>
      </c>
      <c r="D18">
        <v>2</v>
      </c>
      <c r="E18">
        <v>1</v>
      </c>
      <c r="F18">
        <v>2</v>
      </c>
      <c r="G18">
        <v>1</v>
      </c>
      <c r="K18" t="s">
        <v>63</v>
      </c>
      <c r="L18">
        <v>1</v>
      </c>
      <c r="P18" t="s">
        <v>66</v>
      </c>
      <c r="Q18">
        <v>0.16666666666666666</v>
      </c>
      <c r="R18">
        <v>3</v>
      </c>
    </row>
    <row r="19" spans="2:18" x14ac:dyDescent="0.25">
      <c r="B19" t="s">
        <v>63</v>
      </c>
      <c r="C19">
        <v>1</v>
      </c>
      <c r="D19">
        <v>2</v>
      </c>
      <c r="E19">
        <v>1</v>
      </c>
      <c r="F19">
        <v>2</v>
      </c>
      <c r="G19">
        <v>1</v>
      </c>
      <c r="K19" t="s">
        <v>63</v>
      </c>
      <c r="L19">
        <v>1</v>
      </c>
      <c r="P19" t="s">
        <v>66</v>
      </c>
      <c r="Q19">
        <v>6.6666666666666666E-2</v>
      </c>
      <c r="R19">
        <v>4</v>
      </c>
    </row>
    <row r="20" spans="2:18" x14ac:dyDescent="0.25">
      <c r="B20" t="s">
        <v>63</v>
      </c>
      <c r="C20">
        <v>1</v>
      </c>
      <c r="D20">
        <v>2</v>
      </c>
      <c r="E20">
        <v>1</v>
      </c>
      <c r="F20">
        <v>2</v>
      </c>
      <c r="G20">
        <v>1</v>
      </c>
      <c r="K20" t="s">
        <v>63</v>
      </c>
      <c r="L20">
        <v>1</v>
      </c>
      <c r="P20" t="s">
        <v>67</v>
      </c>
      <c r="Q20">
        <v>0.2</v>
      </c>
      <c r="R20">
        <v>1</v>
      </c>
    </row>
    <row r="21" spans="2:18" x14ac:dyDescent="0.25">
      <c r="B21" t="s">
        <v>63</v>
      </c>
      <c r="C21">
        <v>1</v>
      </c>
      <c r="D21">
        <v>2</v>
      </c>
      <c r="E21">
        <v>1</v>
      </c>
      <c r="F21">
        <v>2</v>
      </c>
      <c r="G21">
        <v>1</v>
      </c>
      <c r="K21" t="s">
        <v>63</v>
      </c>
      <c r="L21">
        <v>1</v>
      </c>
      <c r="P21" t="s">
        <v>67</v>
      </c>
      <c r="Q21">
        <v>0.23333333333333334</v>
      </c>
      <c r="R21">
        <v>2</v>
      </c>
    </row>
    <row r="22" spans="2:18" x14ac:dyDescent="0.25">
      <c r="B22" t="s">
        <v>63</v>
      </c>
      <c r="C22">
        <v>1</v>
      </c>
      <c r="D22">
        <v>2</v>
      </c>
      <c r="E22">
        <v>1</v>
      </c>
      <c r="F22">
        <v>2</v>
      </c>
      <c r="G22">
        <v>1</v>
      </c>
      <c r="K22" t="s">
        <v>63</v>
      </c>
      <c r="L22">
        <v>1</v>
      </c>
      <c r="P22" t="s">
        <v>67</v>
      </c>
      <c r="Q22">
        <v>0.53333333333333333</v>
      </c>
      <c r="R22">
        <v>3</v>
      </c>
    </row>
    <row r="23" spans="2:18" x14ac:dyDescent="0.25">
      <c r="B23" t="s">
        <v>63</v>
      </c>
      <c r="C23">
        <v>1</v>
      </c>
      <c r="D23">
        <v>2</v>
      </c>
      <c r="E23">
        <v>1</v>
      </c>
      <c r="F23">
        <v>2</v>
      </c>
      <c r="G23">
        <v>1</v>
      </c>
      <c r="K23" t="s">
        <v>63</v>
      </c>
      <c r="L23">
        <v>1</v>
      </c>
      <c r="P23" t="s">
        <v>67</v>
      </c>
      <c r="Q23">
        <v>3.3333333333333333E-2</v>
      </c>
      <c r="R23">
        <v>4</v>
      </c>
    </row>
    <row r="24" spans="2:18" x14ac:dyDescent="0.25">
      <c r="B24" t="s">
        <v>63</v>
      </c>
      <c r="C24">
        <v>1</v>
      </c>
      <c r="D24">
        <v>2</v>
      </c>
      <c r="E24">
        <v>1</v>
      </c>
      <c r="F24">
        <v>2</v>
      </c>
      <c r="G24">
        <v>1</v>
      </c>
      <c r="K24" t="s">
        <v>63</v>
      </c>
      <c r="L24">
        <v>1</v>
      </c>
      <c r="P24" t="s">
        <v>73</v>
      </c>
      <c r="Q24">
        <v>0.43333333333333335</v>
      </c>
      <c r="R24">
        <v>1</v>
      </c>
    </row>
    <row r="25" spans="2:18" x14ac:dyDescent="0.25">
      <c r="B25" t="s">
        <v>63</v>
      </c>
      <c r="C25">
        <v>1</v>
      </c>
      <c r="D25">
        <v>2</v>
      </c>
      <c r="E25">
        <v>1</v>
      </c>
      <c r="F25">
        <v>3</v>
      </c>
      <c r="G25">
        <v>2</v>
      </c>
      <c r="K25" t="s">
        <v>63</v>
      </c>
      <c r="L25">
        <v>1</v>
      </c>
      <c r="P25" t="s">
        <v>73</v>
      </c>
      <c r="Q25">
        <v>0.36666666666666664</v>
      </c>
      <c r="R25">
        <v>2</v>
      </c>
    </row>
    <row r="26" spans="2:18" x14ac:dyDescent="0.25">
      <c r="B26" t="s">
        <v>63</v>
      </c>
      <c r="C26">
        <v>1</v>
      </c>
      <c r="D26">
        <v>2</v>
      </c>
      <c r="E26">
        <v>1</v>
      </c>
      <c r="F26">
        <v>3</v>
      </c>
      <c r="G26">
        <v>2</v>
      </c>
      <c r="K26" t="s">
        <v>63</v>
      </c>
      <c r="L26">
        <v>1</v>
      </c>
      <c r="P26" t="s">
        <v>73</v>
      </c>
      <c r="Q26">
        <v>0.2</v>
      </c>
      <c r="R26">
        <v>3</v>
      </c>
    </row>
    <row r="27" spans="2:18" x14ac:dyDescent="0.25">
      <c r="B27" t="s">
        <v>63</v>
      </c>
      <c r="C27">
        <v>1</v>
      </c>
      <c r="D27">
        <v>2</v>
      </c>
      <c r="E27">
        <v>1</v>
      </c>
      <c r="F27">
        <v>3</v>
      </c>
      <c r="G27">
        <v>2</v>
      </c>
      <c r="K27" t="s">
        <v>63</v>
      </c>
      <c r="L27">
        <v>1</v>
      </c>
      <c r="P27" t="s">
        <v>73</v>
      </c>
      <c r="Q27">
        <v>0</v>
      </c>
      <c r="R27">
        <v>4</v>
      </c>
    </row>
    <row r="28" spans="2:18" x14ac:dyDescent="0.25">
      <c r="B28" t="s">
        <v>63</v>
      </c>
      <c r="C28">
        <v>1</v>
      </c>
      <c r="D28">
        <v>2</v>
      </c>
      <c r="E28">
        <v>1</v>
      </c>
      <c r="F28">
        <v>3</v>
      </c>
      <c r="G28">
        <v>2</v>
      </c>
      <c r="K28" t="s">
        <v>63</v>
      </c>
      <c r="L28">
        <v>1</v>
      </c>
    </row>
    <row r="29" spans="2:18" x14ac:dyDescent="0.25">
      <c r="B29" t="s">
        <v>63</v>
      </c>
      <c r="C29">
        <v>1</v>
      </c>
      <c r="D29">
        <v>2</v>
      </c>
      <c r="E29">
        <v>1</v>
      </c>
      <c r="F29">
        <v>3</v>
      </c>
      <c r="G29">
        <v>2</v>
      </c>
      <c r="K29" t="s">
        <v>63</v>
      </c>
      <c r="L29">
        <v>1</v>
      </c>
    </row>
    <row r="30" spans="2:18" x14ac:dyDescent="0.25">
      <c r="B30" t="s">
        <v>63</v>
      </c>
      <c r="C30">
        <v>1</v>
      </c>
      <c r="D30">
        <v>2</v>
      </c>
      <c r="E30">
        <v>1</v>
      </c>
      <c r="F30">
        <v>3</v>
      </c>
      <c r="G30">
        <v>2</v>
      </c>
      <c r="K30" t="s">
        <v>63</v>
      </c>
      <c r="L30">
        <v>1</v>
      </c>
    </row>
    <row r="31" spans="2:18" x14ac:dyDescent="0.25">
      <c r="B31" t="s">
        <v>63</v>
      </c>
      <c r="C31">
        <v>1</v>
      </c>
      <c r="D31">
        <v>2</v>
      </c>
      <c r="E31">
        <v>1</v>
      </c>
      <c r="F31">
        <v>3</v>
      </c>
      <c r="G31">
        <v>2</v>
      </c>
      <c r="K31" t="s">
        <v>63</v>
      </c>
      <c r="L31">
        <v>1</v>
      </c>
    </row>
    <row r="32" spans="2:18" x14ac:dyDescent="0.25">
      <c r="B32" t="s">
        <v>63</v>
      </c>
      <c r="C32">
        <v>1</v>
      </c>
      <c r="D32">
        <v>2</v>
      </c>
      <c r="E32">
        <v>1</v>
      </c>
      <c r="F32">
        <v>3</v>
      </c>
      <c r="G32">
        <v>2</v>
      </c>
      <c r="K32" t="s">
        <v>63</v>
      </c>
      <c r="L32">
        <v>1</v>
      </c>
    </row>
    <row r="33" spans="2:12" x14ac:dyDescent="0.25">
      <c r="B33" t="s">
        <v>63</v>
      </c>
      <c r="C33">
        <v>1</v>
      </c>
      <c r="D33">
        <v>2</v>
      </c>
      <c r="E33">
        <v>1</v>
      </c>
      <c r="F33">
        <v>3</v>
      </c>
      <c r="G33">
        <v>2</v>
      </c>
      <c r="K33" t="s">
        <v>63</v>
      </c>
      <c r="L33">
        <v>1</v>
      </c>
    </row>
    <row r="34" spans="2:12" x14ac:dyDescent="0.25">
      <c r="B34" t="s">
        <v>63</v>
      </c>
      <c r="C34">
        <v>1</v>
      </c>
      <c r="D34">
        <v>3</v>
      </c>
      <c r="E34">
        <v>1</v>
      </c>
      <c r="F34">
        <v>3</v>
      </c>
      <c r="G34">
        <v>2</v>
      </c>
      <c r="K34" t="s">
        <v>63</v>
      </c>
      <c r="L34">
        <v>1</v>
      </c>
    </row>
    <row r="35" spans="2:12" x14ac:dyDescent="0.25">
      <c r="B35" t="s">
        <v>63</v>
      </c>
      <c r="C35">
        <v>1</v>
      </c>
      <c r="D35">
        <v>3</v>
      </c>
      <c r="E35">
        <v>1</v>
      </c>
      <c r="F35">
        <v>3</v>
      </c>
      <c r="G35">
        <v>2</v>
      </c>
      <c r="K35" t="s">
        <v>63</v>
      </c>
      <c r="L35">
        <v>1</v>
      </c>
    </row>
    <row r="36" spans="2:12" x14ac:dyDescent="0.25">
      <c r="B36" t="s">
        <v>63</v>
      </c>
      <c r="C36">
        <v>1</v>
      </c>
      <c r="D36">
        <v>3</v>
      </c>
      <c r="E36">
        <v>2</v>
      </c>
      <c r="F36">
        <v>3</v>
      </c>
      <c r="G36">
        <v>3</v>
      </c>
      <c r="K36" t="s">
        <v>63</v>
      </c>
      <c r="L36">
        <v>1</v>
      </c>
    </row>
    <row r="37" spans="2:12" x14ac:dyDescent="0.25">
      <c r="B37" t="s">
        <v>63</v>
      </c>
      <c r="C37">
        <v>1</v>
      </c>
      <c r="D37">
        <v>3</v>
      </c>
      <c r="E37">
        <v>2</v>
      </c>
      <c r="F37">
        <v>3</v>
      </c>
      <c r="G37">
        <v>3</v>
      </c>
      <c r="K37" t="s">
        <v>63</v>
      </c>
      <c r="L37">
        <v>1</v>
      </c>
    </row>
    <row r="38" spans="2:12" x14ac:dyDescent="0.25">
      <c r="B38" t="s">
        <v>63</v>
      </c>
      <c r="C38">
        <v>1</v>
      </c>
      <c r="D38">
        <v>3</v>
      </c>
      <c r="E38">
        <v>2</v>
      </c>
      <c r="F38">
        <v>3</v>
      </c>
      <c r="G38">
        <v>3</v>
      </c>
      <c r="K38" t="s">
        <v>63</v>
      </c>
      <c r="L38">
        <v>1</v>
      </c>
    </row>
    <row r="39" spans="2:12" x14ac:dyDescent="0.25">
      <c r="B39" t="s">
        <v>63</v>
      </c>
      <c r="C39">
        <v>1</v>
      </c>
      <c r="D39">
        <v>3</v>
      </c>
      <c r="E39">
        <v>2</v>
      </c>
      <c r="F39">
        <v>3</v>
      </c>
      <c r="G39">
        <v>3</v>
      </c>
      <c r="K39" t="s">
        <v>63</v>
      </c>
      <c r="L39">
        <v>1</v>
      </c>
    </row>
    <row r="40" spans="2:12" x14ac:dyDescent="0.25">
      <c r="B40" t="s">
        <v>63</v>
      </c>
      <c r="C40">
        <v>1</v>
      </c>
      <c r="D40">
        <v>3</v>
      </c>
      <c r="E40">
        <v>2</v>
      </c>
      <c r="F40">
        <v>3</v>
      </c>
      <c r="G40">
        <v>3</v>
      </c>
      <c r="K40" t="s">
        <v>63</v>
      </c>
      <c r="L40">
        <v>1</v>
      </c>
    </row>
    <row r="41" spans="2:12" x14ac:dyDescent="0.25">
      <c r="B41" t="s">
        <v>63</v>
      </c>
      <c r="C41">
        <v>1</v>
      </c>
      <c r="D41">
        <v>3</v>
      </c>
      <c r="E41">
        <v>2</v>
      </c>
      <c r="F41">
        <v>4</v>
      </c>
      <c r="G41">
        <v>3</v>
      </c>
      <c r="K41" t="s">
        <v>63</v>
      </c>
      <c r="L41">
        <v>1</v>
      </c>
    </row>
    <row r="42" spans="2:12" x14ac:dyDescent="0.25">
      <c r="B42" t="s">
        <v>63</v>
      </c>
      <c r="C42">
        <v>1</v>
      </c>
      <c r="D42">
        <v>3</v>
      </c>
      <c r="E42">
        <v>2</v>
      </c>
      <c r="K42" t="s">
        <v>63</v>
      </c>
      <c r="L42">
        <v>1</v>
      </c>
    </row>
    <row r="43" spans="2:12" x14ac:dyDescent="0.25">
      <c r="B43" t="s">
        <v>63</v>
      </c>
      <c r="C43">
        <v>1</v>
      </c>
      <c r="D43">
        <v>3</v>
      </c>
      <c r="E43">
        <v>2</v>
      </c>
      <c r="K43" t="s">
        <v>63</v>
      </c>
      <c r="L43">
        <v>1</v>
      </c>
    </row>
    <row r="44" spans="2:12" x14ac:dyDescent="0.25">
      <c r="B44" t="s">
        <v>63</v>
      </c>
      <c r="C44">
        <v>1</v>
      </c>
      <c r="D44">
        <v>3</v>
      </c>
      <c r="E44">
        <v>2</v>
      </c>
      <c r="K44" t="s">
        <v>63</v>
      </c>
      <c r="L44">
        <v>1</v>
      </c>
    </row>
    <row r="45" spans="2:12" x14ac:dyDescent="0.25">
      <c r="B45" t="s">
        <v>63</v>
      </c>
      <c r="C45">
        <v>1</v>
      </c>
      <c r="D45">
        <v>3</v>
      </c>
      <c r="E45">
        <v>2</v>
      </c>
      <c r="K45" t="s">
        <v>63</v>
      </c>
      <c r="L45">
        <v>1</v>
      </c>
    </row>
    <row r="46" spans="2:12" x14ac:dyDescent="0.25">
      <c r="B46" t="s">
        <v>63</v>
      </c>
      <c r="C46">
        <v>1</v>
      </c>
      <c r="D46">
        <v>3</v>
      </c>
      <c r="E46">
        <v>2</v>
      </c>
      <c r="K46" t="s">
        <v>63</v>
      </c>
      <c r="L46">
        <v>1</v>
      </c>
    </row>
    <row r="47" spans="2:12" x14ac:dyDescent="0.25">
      <c r="B47" t="s">
        <v>63</v>
      </c>
      <c r="C47">
        <v>1</v>
      </c>
      <c r="D47">
        <v>3</v>
      </c>
      <c r="E47">
        <v>2</v>
      </c>
      <c r="K47" t="s">
        <v>63</v>
      </c>
      <c r="L47">
        <v>1</v>
      </c>
    </row>
    <row r="48" spans="2:12" x14ac:dyDescent="0.25">
      <c r="B48" t="s">
        <v>63</v>
      </c>
      <c r="C48">
        <v>1</v>
      </c>
      <c r="D48">
        <v>3</v>
      </c>
      <c r="E48">
        <v>2</v>
      </c>
      <c r="K48" t="s">
        <v>63</v>
      </c>
      <c r="L48">
        <v>1</v>
      </c>
    </row>
    <row r="49" spans="2:12" x14ac:dyDescent="0.25">
      <c r="B49" t="s">
        <v>63</v>
      </c>
      <c r="C49">
        <v>1</v>
      </c>
      <c r="D49">
        <v>3</v>
      </c>
      <c r="E49">
        <v>2</v>
      </c>
      <c r="K49" t="s">
        <v>63</v>
      </c>
      <c r="L49">
        <v>1</v>
      </c>
    </row>
    <row r="50" spans="2:12" x14ac:dyDescent="0.25">
      <c r="B50" t="s">
        <v>63</v>
      </c>
      <c r="C50">
        <v>1</v>
      </c>
      <c r="D50">
        <v>3</v>
      </c>
      <c r="E50">
        <v>2</v>
      </c>
      <c r="K50" t="s">
        <v>63</v>
      </c>
      <c r="L50">
        <v>1</v>
      </c>
    </row>
    <row r="51" spans="2:12" x14ac:dyDescent="0.25">
      <c r="B51" t="s">
        <v>63</v>
      </c>
      <c r="C51">
        <v>1</v>
      </c>
      <c r="D51">
        <v>3</v>
      </c>
      <c r="E51">
        <v>2</v>
      </c>
      <c r="K51" t="s">
        <v>63</v>
      </c>
      <c r="L51">
        <v>1</v>
      </c>
    </row>
    <row r="52" spans="2:12" x14ac:dyDescent="0.25">
      <c r="B52" t="s">
        <v>63</v>
      </c>
      <c r="C52">
        <v>1</v>
      </c>
      <c r="D52">
        <v>3</v>
      </c>
      <c r="E52">
        <v>2</v>
      </c>
      <c r="K52" t="s">
        <v>63</v>
      </c>
      <c r="L52">
        <v>1</v>
      </c>
    </row>
    <row r="53" spans="2:12" x14ac:dyDescent="0.25">
      <c r="B53" t="s">
        <v>63</v>
      </c>
      <c r="C53">
        <v>1</v>
      </c>
      <c r="D53">
        <v>3</v>
      </c>
      <c r="E53">
        <v>2</v>
      </c>
      <c r="K53" t="s">
        <v>63</v>
      </c>
      <c r="L53">
        <v>1</v>
      </c>
    </row>
    <row r="54" spans="2:12" x14ac:dyDescent="0.25">
      <c r="B54" t="s">
        <v>63</v>
      </c>
      <c r="C54">
        <v>1</v>
      </c>
      <c r="D54">
        <v>3</v>
      </c>
      <c r="E54">
        <v>2</v>
      </c>
      <c r="K54" t="s">
        <v>63</v>
      </c>
      <c r="L54">
        <v>1</v>
      </c>
    </row>
    <row r="55" spans="2:12" x14ac:dyDescent="0.25">
      <c r="B55" t="s">
        <v>63</v>
      </c>
      <c r="C55">
        <v>1</v>
      </c>
      <c r="D55">
        <v>3</v>
      </c>
      <c r="E55">
        <v>2</v>
      </c>
      <c r="K55" t="s">
        <v>63</v>
      </c>
      <c r="L55">
        <v>2</v>
      </c>
    </row>
    <row r="56" spans="2:12" x14ac:dyDescent="0.25">
      <c r="B56" t="s">
        <v>63</v>
      </c>
      <c r="C56">
        <v>1</v>
      </c>
      <c r="D56">
        <v>3</v>
      </c>
      <c r="E56">
        <v>2</v>
      </c>
      <c r="K56" t="s">
        <v>63</v>
      </c>
      <c r="L56">
        <v>2</v>
      </c>
    </row>
    <row r="57" spans="2:12" x14ac:dyDescent="0.25">
      <c r="B57" t="s">
        <v>63</v>
      </c>
      <c r="C57">
        <v>1</v>
      </c>
      <c r="D57">
        <v>3</v>
      </c>
      <c r="E57">
        <v>2</v>
      </c>
      <c r="K57" t="s">
        <v>63</v>
      </c>
      <c r="L57">
        <v>2</v>
      </c>
    </row>
    <row r="58" spans="2:12" x14ac:dyDescent="0.25">
      <c r="B58" t="s">
        <v>63</v>
      </c>
      <c r="C58">
        <v>1</v>
      </c>
      <c r="D58">
        <v>3</v>
      </c>
      <c r="E58">
        <v>3</v>
      </c>
      <c r="K58" t="s">
        <v>63</v>
      </c>
      <c r="L58">
        <v>2</v>
      </c>
    </row>
    <row r="59" spans="2:12" x14ac:dyDescent="0.25">
      <c r="B59" t="s">
        <v>63</v>
      </c>
      <c r="C59">
        <v>1</v>
      </c>
      <c r="D59">
        <v>3</v>
      </c>
      <c r="E59">
        <v>3</v>
      </c>
      <c r="K59" t="s">
        <v>63</v>
      </c>
      <c r="L59">
        <v>3</v>
      </c>
    </row>
    <row r="60" spans="2:12" x14ac:dyDescent="0.25">
      <c r="B60" t="s">
        <v>63</v>
      </c>
      <c r="C60">
        <v>1</v>
      </c>
      <c r="D60">
        <v>3</v>
      </c>
      <c r="E60">
        <v>3</v>
      </c>
      <c r="K60" t="s">
        <v>64</v>
      </c>
      <c r="L60">
        <v>1</v>
      </c>
    </row>
    <row r="61" spans="2:12" x14ac:dyDescent="0.25">
      <c r="B61" t="s">
        <v>63</v>
      </c>
      <c r="C61">
        <v>1</v>
      </c>
      <c r="D61">
        <v>3</v>
      </c>
      <c r="E61">
        <v>3</v>
      </c>
      <c r="K61" t="s">
        <v>64</v>
      </c>
      <c r="L61">
        <v>1</v>
      </c>
    </row>
    <row r="62" spans="2:12" x14ac:dyDescent="0.25">
      <c r="B62" t="s">
        <v>63</v>
      </c>
      <c r="C62">
        <v>1</v>
      </c>
      <c r="D62">
        <v>3</v>
      </c>
      <c r="E62">
        <v>3</v>
      </c>
      <c r="K62" t="s">
        <v>64</v>
      </c>
      <c r="L62">
        <v>1</v>
      </c>
    </row>
    <row r="63" spans="2:12" x14ac:dyDescent="0.25">
      <c r="B63" t="s">
        <v>63</v>
      </c>
      <c r="C63">
        <v>1</v>
      </c>
      <c r="D63">
        <v>4</v>
      </c>
      <c r="E63">
        <v>3</v>
      </c>
      <c r="K63" t="s">
        <v>64</v>
      </c>
      <c r="L63">
        <v>2</v>
      </c>
    </row>
    <row r="64" spans="2:12" x14ac:dyDescent="0.25">
      <c r="B64" t="s">
        <v>63</v>
      </c>
      <c r="C64">
        <v>1</v>
      </c>
      <c r="D64">
        <v>4</v>
      </c>
      <c r="E64">
        <v>3</v>
      </c>
      <c r="K64" t="s">
        <v>64</v>
      </c>
      <c r="L64">
        <v>2</v>
      </c>
    </row>
    <row r="65" spans="2:12" x14ac:dyDescent="0.25">
      <c r="B65" t="s">
        <v>63</v>
      </c>
      <c r="C65">
        <v>2</v>
      </c>
      <c r="D65">
        <v>4</v>
      </c>
      <c r="E65">
        <v>3</v>
      </c>
      <c r="K65" t="s">
        <v>64</v>
      </c>
      <c r="L65">
        <v>2</v>
      </c>
    </row>
    <row r="66" spans="2:12" x14ac:dyDescent="0.25">
      <c r="B66" t="s">
        <v>63</v>
      </c>
      <c r="C66">
        <v>2</v>
      </c>
      <c r="D66">
        <v>4</v>
      </c>
      <c r="E66">
        <v>3</v>
      </c>
      <c r="K66" t="s">
        <v>64</v>
      </c>
      <c r="L66">
        <v>2</v>
      </c>
    </row>
    <row r="67" spans="2:12" x14ac:dyDescent="0.25">
      <c r="B67" t="s">
        <v>63</v>
      </c>
      <c r="C67">
        <v>2</v>
      </c>
      <c r="D67">
        <v>4</v>
      </c>
      <c r="E67">
        <v>3</v>
      </c>
      <c r="K67" t="s">
        <v>64</v>
      </c>
      <c r="L67">
        <v>2</v>
      </c>
    </row>
    <row r="68" spans="2:12" x14ac:dyDescent="0.25">
      <c r="B68" t="s">
        <v>63</v>
      </c>
      <c r="C68">
        <v>2</v>
      </c>
      <c r="D68">
        <v>4</v>
      </c>
      <c r="E68">
        <v>4</v>
      </c>
      <c r="K68" t="s">
        <v>64</v>
      </c>
      <c r="L68">
        <v>2</v>
      </c>
    </row>
    <row r="69" spans="2:12" x14ac:dyDescent="0.25">
      <c r="B69" t="s">
        <v>63</v>
      </c>
      <c r="C69">
        <v>3</v>
      </c>
      <c r="D69">
        <v>4</v>
      </c>
      <c r="E69">
        <v>4</v>
      </c>
      <c r="K69" t="s">
        <v>64</v>
      </c>
      <c r="L69">
        <v>2</v>
      </c>
    </row>
    <row r="70" spans="2:12" x14ac:dyDescent="0.25">
      <c r="E70">
        <v>4</v>
      </c>
      <c r="K70" t="s">
        <v>64</v>
      </c>
      <c r="L70">
        <v>2</v>
      </c>
    </row>
    <row r="71" spans="2:12" x14ac:dyDescent="0.25">
      <c r="E71">
        <v>4</v>
      </c>
      <c r="K71" t="s">
        <v>64</v>
      </c>
      <c r="L71">
        <v>2</v>
      </c>
    </row>
    <row r="72" spans="2:12" x14ac:dyDescent="0.25">
      <c r="K72" t="s">
        <v>64</v>
      </c>
      <c r="L72">
        <v>2</v>
      </c>
    </row>
    <row r="73" spans="2:12" x14ac:dyDescent="0.25">
      <c r="K73" t="s">
        <v>64</v>
      </c>
      <c r="L73">
        <v>2</v>
      </c>
    </row>
    <row r="74" spans="2:12" x14ac:dyDescent="0.25">
      <c r="K74" t="s">
        <v>64</v>
      </c>
      <c r="L74">
        <v>2</v>
      </c>
    </row>
    <row r="75" spans="2:12" x14ac:dyDescent="0.25">
      <c r="K75" t="s">
        <v>64</v>
      </c>
      <c r="L75">
        <v>2</v>
      </c>
    </row>
    <row r="76" spans="2:12" x14ac:dyDescent="0.25">
      <c r="K76" t="s">
        <v>64</v>
      </c>
      <c r="L76">
        <v>2</v>
      </c>
    </row>
    <row r="77" spans="2:12" x14ac:dyDescent="0.25">
      <c r="K77" t="s">
        <v>64</v>
      </c>
      <c r="L77">
        <v>2</v>
      </c>
    </row>
    <row r="78" spans="2:12" x14ac:dyDescent="0.25">
      <c r="K78" t="s">
        <v>64</v>
      </c>
      <c r="L78">
        <v>2</v>
      </c>
    </row>
    <row r="79" spans="2:12" x14ac:dyDescent="0.25">
      <c r="K79" t="s">
        <v>64</v>
      </c>
      <c r="L79">
        <v>2</v>
      </c>
    </row>
    <row r="80" spans="2:12" x14ac:dyDescent="0.25">
      <c r="K80" t="s">
        <v>64</v>
      </c>
      <c r="L80">
        <v>2</v>
      </c>
    </row>
    <row r="81" spans="11:12" x14ac:dyDescent="0.25">
      <c r="K81" t="s">
        <v>64</v>
      </c>
      <c r="L81">
        <v>2</v>
      </c>
    </row>
    <row r="82" spans="11:12" x14ac:dyDescent="0.25">
      <c r="K82" t="s">
        <v>64</v>
      </c>
      <c r="L82">
        <v>3</v>
      </c>
    </row>
    <row r="83" spans="11:12" x14ac:dyDescent="0.25">
      <c r="K83" t="s">
        <v>64</v>
      </c>
      <c r="L83">
        <v>3</v>
      </c>
    </row>
    <row r="84" spans="11:12" x14ac:dyDescent="0.25">
      <c r="K84" t="s">
        <v>64</v>
      </c>
      <c r="L84">
        <v>3</v>
      </c>
    </row>
    <row r="85" spans="11:12" x14ac:dyDescent="0.25">
      <c r="K85" t="s">
        <v>64</v>
      </c>
      <c r="L85">
        <v>3</v>
      </c>
    </row>
    <row r="86" spans="11:12" x14ac:dyDescent="0.25">
      <c r="K86" t="s">
        <v>64</v>
      </c>
      <c r="L86">
        <v>3</v>
      </c>
    </row>
    <row r="87" spans="11:12" x14ac:dyDescent="0.25">
      <c r="K87" t="s">
        <v>64</v>
      </c>
      <c r="L87">
        <v>3</v>
      </c>
    </row>
    <row r="88" spans="11:12" x14ac:dyDescent="0.25">
      <c r="K88" t="s">
        <v>64</v>
      </c>
      <c r="L88">
        <v>3</v>
      </c>
    </row>
    <row r="89" spans="11:12" x14ac:dyDescent="0.25">
      <c r="K89" t="s">
        <v>64</v>
      </c>
      <c r="L89">
        <v>3</v>
      </c>
    </row>
    <row r="90" spans="11:12" x14ac:dyDescent="0.25">
      <c r="K90" t="s">
        <v>64</v>
      </c>
      <c r="L90">
        <v>3</v>
      </c>
    </row>
    <row r="91" spans="11:12" x14ac:dyDescent="0.25">
      <c r="K91" t="s">
        <v>64</v>
      </c>
      <c r="L91">
        <v>3</v>
      </c>
    </row>
    <row r="92" spans="11:12" x14ac:dyDescent="0.25">
      <c r="K92" t="s">
        <v>64</v>
      </c>
      <c r="L92">
        <v>3</v>
      </c>
    </row>
    <row r="93" spans="11:12" x14ac:dyDescent="0.25">
      <c r="K93" t="s">
        <v>64</v>
      </c>
      <c r="L93">
        <v>3</v>
      </c>
    </row>
    <row r="94" spans="11:12" x14ac:dyDescent="0.25">
      <c r="K94" t="s">
        <v>64</v>
      </c>
      <c r="L94">
        <v>3</v>
      </c>
    </row>
    <row r="95" spans="11:12" x14ac:dyDescent="0.25">
      <c r="K95" t="s">
        <v>64</v>
      </c>
      <c r="L95">
        <v>3</v>
      </c>
    </row>
    <row r="96" spans="11:12" x14ac:dyDescent="0.25">
      <c r="K96" t="s">
        <v>64</v>
      </c>
      <c r="L96">
        <v>3</v>
      </c>
    </row>
    <row r="97" spans="11:12" x14ac:dyDescent="0.25">
      <c r="K97" t="s">
        <v>64</v>
      </c>
      <c r="L97">
        <v>3</v>
      </c>
    </row>
    <row r="98" spans="11:12" x14ac:dyDescent="0.25">
      <c r="K98" t="s">
        <v>64</v>
      </c>
      <c r="L98">
        <v>3</v>
      </c>
    </row>
    <row r="99" spans="11:12" x14ac:dyDescent="0.25">
      <c r="K99" t="s">
        <v>64</v>
      </c>
      <c r="L99">
        <v>3</v>
      </c>
    </row>
    <row r="100" spans="11:12" x14ac:dyDescent="0.25">
      <c r="K100" t="s">
        <v>64</v>
      </c>
      <c r="L100">
        <v>3</v>
      </c>
    </row>
    <row r="101" spans="11:12" x14ac:dyDescent="0.25">
      <c r="K101" t="s">
        <v>64</v>
      </c>
      <c r="L101">
        <v>3</v>
      </c>
    </row>
    <row r="102" spans="11:12" x14ac:dyDescent="0.25">
      <c r="K102" t="s">
        <v>64</v>
      </c>
      <c r="L102">
        <v>3</v>
      </c>
    </row>
    <row r="103" spans="11:12" x14ac:dyDescent="0.25">
      <c r="K103" t="s">
        <v>64</v>
      </c>
      <c r="L103">
        <v>3</v>
      </c>
    </row>
    <row r="104" spans="11:12" x14ac:dyDescent="0.25">
      <c r="K104" t="s">
        <v>64</v>
      </c>
      <c r="L104">
        <v>3</v>
      </c>
    </row>
    <row r="105" spans="11:12" x14ac:dyDescent="0.25">
      <c r="K105" t="s">
        <v>64</v>
      </c>
      <c r="L105">
        <v>3</v>
      </c>
    </row>
    <row r="106" spans="11:12" x14ac:dyDescent="0.25">
      <c r="K106" t="s">
        <v>64</v>
      </c>
      <c r="L106">
        <v>3</v>
      </c>
    </row>
    <row r="107" spans="11:12" x14ac:dyDescent="0.25">
      <c r="K107" t="s">
        <v>64</v>
      </c>
      <c r="L107">
        <v>3</v>
      </c>
    </row>
    <row r="108" spans="11:12" x14ac:dyDescent="0.25">
      <c r="K108" t="s">
        <v>64</v>
      </c>
      <c r="L108">
        <v>3</v>
      </c>
    </row>
    <row r="109" spans="11:12" x14ac:dyDescent="0.25">
      <c r="K109" t="s">
        <v>64</v>
      </c>
      <c r="L109">
        <v>3</v>
      </c>
    </row>
    <row r="110" spans="11:12" x14ac:dyDescent="0.25">
      <c r="K110" t="s">
        <v>64</v>
      </c>
      <c r="L110">
        <v>3</v>
      </c>
    </row>
    <row r="111" spans="11:12" x14ac:dyDescent="0.25">
      <c r="K111" t="s">
        <v>64</v>
      </c>
      <c r="L111">
        <v>4</v>
      </c>
    </row>
    <row r="112" spans="11:12" x14ac:dyDescent="0.25">
      <c r="K112" t="s">
        <v>64</v>
      </c>
      <c r="L112">
        <v>4</v>
      </c>
    </row>
    <row r="113" spans="11:12" x14ac:dyDescent="0.25">
      <c r="K113" t="s">
        <v>64</v>
      </c>
      <c r="L113">
        <v>4</v>
      </c>
    </row>
    <row r="114" spans="11:12" x14ac:dyDescent="0.25">
      <c r="K114" t="s">
        <v>64</v>
      </c>
      <c r="L114">
        <v>4</v>
      </c>
    </row>
    <row r="115" spans="11:12" x14ac:dyDescent="0.25">
      <c r="K115" t="s">
        <v>64</v>
      </c>
      <c r="L115">
        <v>4</v>
      </c>
    </row>
    <row r="116" spans="11:12" x14ac:dyDescent="0.25">
      <c r="K116" t="s">
        <v>64</v>
      </c>
      <c r="L116">
        <v>4</v>
      </c>
    </row>
    <row r="117" spans="11:12" x14ac:dyDescent="0.25">
      <c r="K117" t="s">
        <v>64</v>
      </c>
      <c r="L117">
        <v>4</v>
      </c>
    </row>
    <row r="118" spans="11:12" x14ac:dyDescent="0.25">
      <c r="K118" t="s">
        <v>66</v>
      </c>
      <c r="L118">
        <v>1</v>
      </c>
    </row>
    <row r="119" spans="11:12" x14ac:dyDescent="0.25">
      <c r="K119" t="s">
        <v>66</v>
      </c>
      <c r="L119">
        <v>1</v>
      </c>
    </row>
    <row r="120" spans="11:12" x14ac:dyDescent="0.25">
      <c r="K120" t="s">
        <v>66</v>
      </c>
      <c r="L120">
        <v>1</v>
      </c>
    </row>
    <row r="121" spans="11:12" x14ac:dyDescent="0.25">
      <c r="K121" t="s">
        <v>66</v>
      </c>
      <c r="L121">
        <v>1</v>
      </c>
    </row>
    <row r="122" spans="11:12" x14ac:dyDescent="0.25">
      <c r="K122" t="s">
        <v>66</v>
      </c>
      <c r="L122">
        <v>1</v>
      </c>
    </row>
    <row r="123" spans="11:12" x14ac:dyDescent="0.25">
      <c r="K123" t="s">
        <v>66</v>
      </c>
      <c r="L123">
        <v>1</v>
      </c>
    </row>
    <row r="124" spans="11:12" x14ac:dyDescent="0.25">
      <c r="K124" t="s">
        <v>66</v>
      </c>
      <c r="L124">
        <v>1</v>
      </c>
    </row>
    <row r="125" spans="11:12" x14ac:dyDescent="0.25">
      <c r="K125" t="s">
        <v>66</v>
      </c>
      <c r="L125">
        <v>1</v>
      </c>
    </row>
    <row r="126" spans="11:12" x14ac:dyDescent="0.25">
      <c r="K126" t="s">
        <v>66</v>
      </c>
      <c r="L126">
        <v>1</v>
      </c>
    </row>
    <row r="127" spans="11:12" x14ac:dyDescent="0.25">
      <c r="K127" t="s">
        <v>66</v>
      </c>
      <c r="L127">
        <v>1</v>
      </c>
    </row>
    <row r="128" spans="11:12" x14ac:dyDescent="0.25">
      <c r="K128" t="s">
        <v>66</v>
      </c>
      <c r="L128">
        <v>1</v>
      </c>
    </row>
    <row r="129" spans="11:12" x14ac:dyDescent="0.25">
      <c r="K129" t="s">
        <v>66</v>
      </c>
      <c r="L129">
        <v>1</v>
      </c>
    </row>
    <row r="130" spans="11:12" x14ac:dyDescent="0.25">
      <c r="K130" t="s">
        <v>66</v>
      </c>
      <c r="L130">
        <v>1</v>
      </c>
    </row>
    <row r="131" spans="11:12" x14ac:dyDescent="0.25">
      <c r="K131" t="s">
        <v>66</v>
      </c>
      <c r="L131">
        <v>1</v>
      </c>
    </row>
    <row r="132" spans="11:12" x14ac:dyDescent="0.25">
      <c r="K132" t="s">
        <v>66</v>
      </c>
      <c r="L132">
        <v>1</v>
      </c>
    </row>
    <row r="133" spans="11:12" x14ac:dyDescent="0.25">
      <c r="K133" t="s">
        <v>66</v>
      </c>
      <c r="L133">
        <v>1</v>
      </c>
    </row>
    <row r="134" spans="11:12" x14ac:dyDescent="0.25">
      <c r="K134" t="s">
        <v>66</v>
      </c>
      <c r="L134">
        <v>1</v>
      </c>
    </row>
    <row r="135" spans="11:12" x14ac:dyDescent="0.25">
      <c r="K135" t="s">
        <v>66</v>
      </c>
      <c r="L135">
        <v>1</v>
      </c>
    </row>
    <row r="136" spans="11:12" x14ac:dyDescent="0.25">
      <c r="K136" t="s">
        <v>66</v>
      </c>
      <c r="L136">
        <v>1</v>
      </c>
    </row>
    <row r="137" spans="11:12" x14ac:dyDescent="0.25">
      <c r="K137" t="s">
        <v>66</v>
      </c>
      <c r="L137">
        <v>1</v>
      </c>
    </row>
    <row r="138" spans="11:12" x14ac:dyDescent="0.25">
      <c r="K138" t="s">
        <v>66</v>
      </c>
      <c r="L138">
        <v>1</v>
      </c>
    </row>
    <row r="139" spans="11:12" x14ac:dyDescent="0.25">
      <c r="K139" t="s">
        <v>66</v>
      </c>
      <c r="L139">
        <v>1</v>
      </c>
    </row>
    <row r="140" spans="11:12" x14ac:dyDescent="0.25">
      <c r="K140" t="s">
        <v>66</v>
      </c>
      <c r="L140">
        <v>1</v>
      </c>
    </row>
    <row r="141" spans="11:12" x14ac:dyDescent="0.25">
      <c r="K141" t="s">
        <v>66</v>
      </c>
      <c r="L141">
        <v>1</v>
      </c>
    </row>
    <row r="142" spans="11:12" x14ac:dyDescent="0.25">
      <c r="K142" t="s">
        <v>66</v>
      </c>
      <c r="L142">
        <v>2</v>
      </c>
    </row>
    <row r="143" spans="11:12" x14ac:dyDescent="0.25">
      <c r="K143" t="s">
        <v>66</v>
      </c>
      <c r="L143">
        <v>2</v>
      </c>
    </row>
    <row r="144" spans="11:12" x14ac:dyDescent="0.25">
      <c r="K144" t="s">
        <v>66</v>
      </c>
      <c r="L144">
        <v>2</v>
      </c>
    </row>
    <row r="145" spans="11:12" x14ac:dyDescent="0.25">
      <c r="K145" t="s">
        <v>66</v>
      </c>
      <c r="L145">
        <v>2</v>
      </c>
    </row>
    <row r="146" spans="11:12" x14ac:dyDescent="0.25">
      <c r="K146" t="s">
        <v>66</v>
      </c>
      <c r="L146">
        <v>2</v>
      </c>
    </row>
    <row r="147" spans="11:12" x14ac:dyDescent="0.25">
      <c r="K147" t="s">
        <v>66</v>
      </c>
      <c r="L147">
        <v>2</v>
      </c>
    </row>
    <row r="148" spans="11:12" x14ac:dyDescent="0.25">
      <c r="K148" t="s">
        <v>66</v>
      </c>
      <c r="L148">
        <v>2</v>
      </c>
    </row>
    <row r="149" spans="11:12" x14ac:dyDescent="0.25">
      <c r="K149" t="s">
        <v>66</v>
      </c>
      <c r="L149">
        <v>2</v>
      </c>
    </row>
    <row r="150" spans="11:12" x14ac:dyDescent="0.25">
      <c r="K150" t="s">
        <v>66</v>
      </c>
      <c r="L150">
        <v>2</v>
      </c>
    </row>
    <row r="151" spans="11:12" x14ac:dyDescent="0.25">
      <c r="K151" t="s">
        <v>66</v>
      </c>
      <c r="L151">
        <v>2</v>
      </c>
    </row>
    <row r="152" spans="11:12" x14ac:dyDescent="0.25">
      <c r="K152" t="s">
        <v>66</v>
      </c>
      <c r="L152">
        <v>2</v>
      </c>
    </row>
    <row r="153" spans="11:12" x14ac:dyDescent="0.25">
      <c r="K153" t="s">
        <v>66</v>
      </c>
      <c r="L153">
        <v>2</v>
      </c>
    </row>
    <row r="154" spans="11:12" x14ac:dyDescent="0.25">
      <c r="K154" t="s">
        <v>66</v>
      </c>
      <c r="L154">
        <v>2</v>
      </c>
    </row>
    <row r="155" spans="11:12" x14ac:dyDescent="0.25">
      <c r="K155" t="s">
        <v>66</v>
      </c>
      <c r="L155">
        <v>2</v>
      </c>
    </row>
    <row r="156" spans="11:12" x14ac:dyDescent="0.25">
      <c r="K156" t="s">
        <v>66</v>
      </c>
      <c r="L156">
        <v>2</v>
      </c>
    </row>
    <row r="157" spans="11:12" x14ac:dyDescent="0.25">
      <c r="K157" t="s">
        <v>66</v>
      </c>
      <c r="L157">
        <v>2</v>
      </c>
    </row>
    <row r="158" spans="11:12" x14ac:dyDescent="0.25">
      <c r="K158" t="s">
        <v>66</v>
      </c>
      <c r="L158">
        <v>2</v>
      </c>
    </row>
    <row r="159" spans="11:12" x14ac:dyDescent="0.25">
      <c r="K159" t="s">
        <v>66</v>
      </c>
      <c r="L159">
        <v>2</v>
      </c>
    </row>
    <row r="160" spans="11:12" x14ac:dyDescent="0.25">
      <c r="K160" t="s">
        <v>66</v>
      </c>
      <c r="L160">
        <v>2</v>
      </c>
    </row>
    <row r="161" spans="11:12" x14ac:dyDescent="0.25">
      <c r="K161" t="s">
        <v>66</v>
      </c>
      <c r="L161">
        <v>2</v>
      </c>
    </row>
    <row r="162" spans="11:12" x14ac:dyDescent="0.25">
      <c r="K162" t="s">
        <v>66</v>
      </c>
      <c r="L162">
        <v>2</v>
      </c>
    </row>
    <row r="163" spans="11:12" x14ac:dyDescent="0.25">
      <c r="K163" t="s">
        <v>66</v>
      </c>
      <c r="L163">
        <v>2</v>
      </c>
    </row>
    <row r="164" spans="11:12" x14ac:dyDescent="0.25">
      <c r="K164" t="s">
        <v>66</v>
      </c>
      <c r="L164">
        <v>3</v>
      </c>
    </row>
    <row r="165" spans="11:12" x14ac:dyDescent="0.25">
      <c r="K165" t="s">
        <v>66</v>
      </c>
      <c r="L165">
        <v>3</v>
      </c>
    </row>
    <row r="166" spans="11:12" x14ac:dyDescent="0.25">
      <c r="K166" t="s">
        <v>66</v>
      </c>
      <c r="L166">
        <v>3</v>
      </c>
    </row>
    <row r="167" spans="11:12" x14ac:dyDescent="0.25">
      <c r="K167" t="s">
        <v>66</v>
      </c>
      <c r="L167">
        <v>3</v>
      </c>
    </row>
    <row r="168" spans="11:12" x14ac:dyDescent="0.25">
      <c r="K168" t="s">
        <v>66</v>
      </c>
      <c r="L168">
        <v>3</v>
      </c>
    </row>
    <row r="169" spans="11:12" x14ac:dyDescent="0.25">
      <c r="K169" t="s">
        <v>66</v>
      </c>
      <c r="L169">
        <v>3</v>
      </c>
    </row>
    <row r="170" spans="11:12" x14ac:dyDescent="0.25">
      <c r="K170" t="s">
        <v>66</v>
      </c>
      <c r="L170">
        <v>3</v>
      </c>
    </row>
    <row r="171" spans="11:12" x14ac:dyDescent="0.25">
      <c r="K171" t="s">
        <v>66</v>
      </c>
      <c r="L171">
        <v>3</v>
      </c>
    </row>
    <row r="172" spans="11:12" x14ac:dyDescent="0.25">
      <c r="K172" t="s">
        <v>66</v>
      </c>
      <c r="L172">
        <v>3</v>
      </c>
    </row>
    <row r="173" spans="11:12" x14ac:dyDescent="0.25">
      <c r="K173" t="s">
        <v>66</v>
      </c>
      <c r="L173">
        <v>3</v>
      </c>
    </row>
    <row r="174" spans="11:12" x14ac:dyDescent="0.25">
      <c r="K174" t="s">
        <v>66</v>
      </c>
      <c r="L174">
        <v>4</v>
      </c>
    </row>
    <row r="175" spans="11:12" x14ac:dyDescent="0.25">
      <c r="K175" t="s">
        <v>66</v>
      </c>
      <c r="L175">
        <v>4</v>
      </c>
    </row>
    <row r="176" spans="11:12" x14ac:dyDescent="0.25">
      <c r="K176" t="s">
        <v>66</v>
      </c>
      <c r="L176">
        <v>4</v>
      </c>
    </row>
    <row r="177" spans="11:12" x14ac:dyDescent="0.25">
      <c r="K177" t="s">
        <v>66</v>
      </c>
      <c r="L177">
        <v>4</v>
      </c>
    </row>
    <row r="178" spans="11:12" x14ac:dyDescent="0.25">
      <c r="K178" t="s">
        <v>67</v>
      </c>
      <c r="L178">
        <v>1</v>
      </c>
    </row>
    <row r="179" spans="11:12" x14ac:dyDescent="0.25">
      <c r="K179" t="s">
        <v>67</v>
      </c>
      <c r="L179">
        <v>1</v>
      </c>
    </row>
    <row r="180" spans="11:12" x14ac:dyDescent="0.25">
      <c r="K180" t="s">
        <v>67</v>
      </c>
      <c r="L180">
        <v>1</v>
      </c>
    </row>
    <row r="181" spans="11:12" x14ac:dyDescent="0.25">
      <c r="K181" t="s">
        <v>67</v>
      </c>
      <c r="L181">
        <v>1</v>
      </c>
    </row>
    <row r="182" spans="11:12" x14ac:dyDescent="0.25">
      <c r="K182" t="s">
        <v>67</v>
      </c>
      <c r="L182">
        <v>1</v>
      </c>
    </row>
    <row r="183" spans="11:12" x14ac:dyDescent="0.25">
      <c r="K183" t="s">
        <v>67</v>
      </c>
      <c r="L183">
        <v>1</v>
      </c>
    </row>
    <row r="184" spans="11:12" x14ac:dyDescent="0.25">
      <c r="K184" t="s">
        <v>67</v>
      </c>
      <c r="L184">
        <v>2</v>
      </c>
    </row>
    <row r="185" spans="11:12" x14ac:dyDescent="0.25">
      <c r="K185" t="s">
        <v>67</v>
      </c>
      <c r="L185">
        <v>2</v>
      </c>
    </row>
    <row r="186" spans="11:12" x14ac:dyDescent="0.25">
      <c r="K186" t="s">
        <v>67</v>
      </c>
      <c r="L186">
        <v>2</v>
      </c>
    </row>
    <row r="187" spans="11:12" x14ac:dyDescent="0.25">
      <c r="K187" t="s">
        <v>67</v>
      </c>
      <c r="L187">
        <v>2</v>
      </c>
    </row>
    <row r="188" spans="11:12" x14ac:dyDescent="0.25">
      <c r="K188" t="s">
        <v>67</v>
      </c>
      <c r="L188">
        <v>2</v>
      </c>
    </row>
    <row r="189" spans="11:12" x14ac:dyDescent="0.25">
      <c r="K189" t="s">
        <v>67</v>
      </c>
      <c r="L189">
        <v>2</v>
      </c>
    </row>
    <row r="190" spans="11:12" x14ac:dyDescent="0.25">
      <c r="K190" t="s">
        <v>67</v>
      </c>
      <c r="L190">
        <v>2</v>
      </c>
    </row>
    <row r="191" spans="11:12" x14ac:dyDescent="0.25">
      <c r="K191" t="s">
        <v>67</v>
      </c>
      <c r="L191">
        <v>3</v>
      </c>
    </row>
    <row r="192" spans="11:12" x14ac:dyDescent="0.25">
      <c r="K192" t="s">
        <v>67</v>
      </c>
      <c r="L192">
        <v>3</v>
      </c>
    </row>
    <row r="193" spans="11:12" x14ac:dyDescent="0.25">
      <c r="K193" t="s">
        <v>67</v>
      </c>
      <c r="L193">
        <v>3</v>
      </c>
    </row>
    <row r="194" spans="11:12" x14ac:dyDescent="0.25">
      <c r="K194" t="s">
        <v>67</v>
      </c>
      <c r="L194">
        <v>3</v>
      </c>
    </row>
    <row r="195" spans="11:12" x14ac:dyDescent="0.25">
      <c r="K195" t="s">
        <v>67</v>
      </c>
      <c r="L195">
        <v>3</v>
      </c>
    </row>
    <row r="196" spans="11:12" x14ac:dyDescent="0.25">
      <c r="K196" t="s">
        <v>67</v>
      </c>
      <c r="L196">
        <v>3</v>
      </c>
    </row>
    <row r="197" spans="11:12" x14ac:dyDescent="0.25">
      <c r="K197" t="s">
        <v>67</v>
      </c>
      <c r="L197">
        <v>3</v>
      </c>
    </row>
    <row r="198" spans="11:12" x14ac:dyDescent="0.25">
      <c r="K198" t="s">
        <v>67</v>
      </c>
      <c r="L198">
        <v>3</v>
      </c>
    </row>
    <row r="199" spans="11:12" x14ac:dyDescent="0.25">
      <c r="K199" t="s">
        <v>67</v>
      </c>
      <c r="L199">
        <v>3</v>
      </c>
    </row>
    <row r="200" spans="11:12" x14ac:dyDescent="0.25">
      <c r="K200" t="s">
        <v>67</v>
      </c>
      <c r="L200">
        <v>3</v>
      </c>
    </row>
    <row r="201" spans="11:12" x14ac:dyDescent="0.25">
      <c r="K201" t="s">
        <v>67</v>
      </c>
      <c r="L201">
        <v>3</v>
      </c>
    </row>
    <row r="202" spans="11:12" x14ac:dyDescent="0.25">
      <c r="K202" t="s">
        <v>67</v>
      </c>
      <c r="L202">
        <v>3</v>
      </c>
    </row>
    <row r="203" spans="11:12" x14ac:dyDescent="0.25">
      <c r="K203" t="s">
        <v>67</v>
      </c>
      <c r="L203">
        <v>3</v>
      </c>
    </row>
    <row r="204" spans="11:12" x14ac:dyDescent="0.25">
      <c r="K204" t="s">
        <v>67</v>
      </c>
      <c r="L204">
        <v>3</v>
      </c>
    </row>
    <row r="205" spans="11:12" x14ac:dyDescent="0.25">
      <c r="K205" t="s">
        <v>67</v>
      </c>
      <c r="L205">
        <v>3</v>
      </c>
    </row>
    <row r="206" spans="11:12" x14ac:dyDescent="0.25">
      <c r="K206" t="s">
        <v>67</v>
      </c>
      <c r="L206">
        <v>3</v>
      </c>
    </row>
    <row r="207" spans="11:12" x14ac:dyDescent="0.25">
      <c r="K207" t="s">
        <v>67</v>
      </c>
      <c r="L207">
        <v>4</v>
      </c>
    </row>
    <row r="208" spans="11:12" x14ac:dyDescent="0.25">
      <c r="K208" t="s">
        <v>73</v>
      </c>
      <c r="L208">
        <v>1</v>
      </c>
    </row>
    <row r="209" spans="11:12" x14ac:dyDescent="0.25">
      <c r="K209" t="s">
        <v>73</v>
      </c>
      <c r="L209">
        <v>1</v>
      </c>
    </row>
    <row r="210" spans="11:12" x14ac:dyDescent="0.25">
      <c r="K210" t="s">
        <v>73</v>
      </c>
      <c r="L210">
        <v>1</v>
      </c>
    </row>
    <row r="211" spans="11:12" x14ac:dyDescent="0.25">
      <c r="K211" t="s">
        <v>73</v>
      </c>
      <c r="L211">
        <v>1</v>
      </c>
    </row>
    <row r="212" spans="11:12" x14ac:dyDescent="0.25">
      <c r="K212" t="s">
        <v>73</v>
      </c>
      <c r="L212">
        <v>1</v>
      </c>
    </row>
    <row r="213" spans="11:12" x14ac:dyDescent="0.25">
      <c r="K213" t="s">
        <v>73</v>
      </c>
      <c r="L213">
        <v>1</v>
      </c>
    </row>
    <row r="214" spans="11:12" x14ac:dyDescent="0.25">
      <c r="K214" t="s">
        <v>73</v>
      </c>
      <c r="L214">
        <v>1</v>
      </c>
    </row>
    <row r="215" spans="11:12" x14ac:dyDescent="0.25">
      <c r="K215" t="s">
        <v>73</v>
      </c>
      <c r="L215">
        <v>1</v>
      </c>
    </row>
    <row r="216" spans="11:12" x14ac:dyDescent="0.25">
      <c r="K216" t="s">
        <v>73</v>
      </c>
      <c r="L216">
        <v>1</v>
      </c>
    </row>
    <row r="217" spans="11:12" x14ac:dyDescent="0.25">
      <c r="K217" t="s">
        <v>73</v>
      </c>
      <c r="L217">
        <v>1</v>
      </c>
    </row>
    <row r="218" spans="11:12" x14ac:dyDescent="0.25">
      <c r="K218" t="s">
        <v>73</v>
      </c>
      <c r="L218">
        <v>1</v>
      </c>
    </row>
    <row r="219" spans="11:12" x14ac:dyDescent="0.25">
      <c r="K219" t="s">
        <v>73</v>
      </c>
      <c r="L219">
        <v>1</v>
      </c>
    </row>
    <row r="220" spans="11:12" x14ac:dyDescent="0.25">
      <c r="K220" t="s">
        <v>73</v>
      </c>
      <c r="L220">
        <v>1</v>
      </c>
    </row>
    <row r="221" spans="11:12" x14ac:dyDescent="0.25">
      <c r="K221" t="s">
        <v>73</v>
      </c>
      <c r="L221">
        <v>2</v>
      </c>
    </row>
    <row r="222" spans="11:12" x14ac:dyDescent="0.25">
      <c r="K222" t="s">
        <v>73</v>
      </c>
      <c r="L222">
        <v>2</v>
      </c>
    </row>
    <row r="223" spans="11:12" x14ac:dyDescent="0.25">
      <c r="K223" t="s">
        <v>73</v>
      </c>
      <c r="L223">
        <v>2</v>
      </c>
    </row>
    <row r="224" spans="11:12" x14ac:dyDescent="0.25">
      <c r="K224" t="s">
        <v>73</v>
      </c>
      <c r="L224">
        <v>2</v>
      </c>
    </row>
    <row r="225" spans="11:12" x14ac:dyDescent="0.25">
      <c r="K225" t="s">
        <v>73</v>
      </c>
      <c r="L225">
        <v>2</v>
      </c>
    </row>
    <row r="226" spans="11:12" x14ac:dyDescent="0.25">
      <c r="K226" t="s">
        <v>73</v>
      </c>
      <c r="L226">
        <v>2</v>
      </c>
    </row>
    <row r="227" spans="11:12" x14ac:dyDescent="0.25">
      <c r="K227" t="s">
        <v>73</v>
      </c>
      <c r="L227">
        <v>2</v>
      </c>
    </row>
    <row r="228" spans="11:12" x14ac:dyDescent="0.25">
      <c r="K228" t="s">
        <v>73</v>
      </c>
      <c r="L228">
        <v>2</v>
      </c>
    </row>
    <row r="229" spans="11:12" x14ac:dyDescent="0.25">
      <c r="K229" t="s">
        <v>73</v>
      </c>
      <c r="L229">
        <v>2</v>
      </c>
    </row>
    <row r="230" spans="11:12" x14ac:dyDescent="0.25">
      <c r="K230" t="s">
        <v>73</v>
      </c>
      <c r="L230">
        <v>2</v>
      </c>
    </row>
    <row r="231" spans="11:12" x14ac:dyDescent="0.25">
      <c r="K231" t="s">
        <v>73</v>
      </c>
      <c r="L231">
        <v>2</v>
      </c>
    </row>
    <row r="232" spans="11:12" x14ac:dyDescent="0.25">
      <c r="K232" t="s">
        <v>73</v>
      </c>
      <c r="L232">
        <v>3</v>
      </c>
    </row>
    <row r="233" spans="11:12" x14ac:dyDescent="0.25">
      <c r="K233" t="s">
        <v>73</v>
      </c>
      <c r="L233">
        <v>3</v>
      </c>
    </row>
    <row r="234" spans="11:12" x14ac:dyDescent="0.25">
      <c r="K234" t="s">
        <v>73</v>
      </c>
      <c r="L234">
        <v>3</v>
      </c>
    </row>
    <row r="235" spans="11:12" x14ac:dyDescent="0.25">
      <c r="K235" t="s">
        <v>73</v>
      </c>
      <c r="L235">
        <v>3</v>
      </c>
    </row>
    <row r="236" spans="11:12" x14ac:dyDescent="0.25">
      <c r="K236" t="s">
        <v>73</v>
      </c>
      <c r="L236">
        <v>3</v>
      </c>
    </row>
    <row r="237" spans="11:12" x14ac:dyDescent="0.25">
      <c r="K237" t="s">
        <v>73</v>
      </c>
      <c r="L237">
        <v>3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Tabelle 1</vt:lpstr>
      <vt:lpstr>Summary</vt:lpstr>
      <vt:lpstr>Degree of Symptoms</vt:lpstr>
      <vt:lpstr>Tabelle1 (2)</vt:lpstr>
      <vt:lpstr>Diagramm4</vt:lpstr>
      <vt:lpstr>PARA ESTADÍSTICA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Chávez</dc:creator>
  <cp:lastModifiedBy>Chavez Rodriguez, Luciana</cp:lastModifiedBy>
  <dcterms:created xsi:type="dcterms:W3CDTF">2025-06-20T16:22:56Z</dcterms:created>
  <dcterms:modified xsi:type="dcterms:W3CDTF">2025-06-22T15:53:14Z</dcterms:modified>
</cp:coreProperties>
</file>