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71BE49CD-91A6-4BD3-9E7F-B33428219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XM-L" sheetId="4" r:id="rId1"/>
    <sheet name="PDM-L" sheetId="5" r:id="rId2"/>
    <sheet name="PLATE" sheetId="6" r:id="rId3"/>
    <sheet name="statistic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6" l="1"/>
  <c r="R19" i="6"/>
  <c r="Q19" i="6"/>
  <c r="P19" i="6"/>
  <c r="P17" i="6"/>
  <c r="O17" i="6"/>
  <c r="N17" i="6"/>
  <c r="M17" i="6"/>
  <c r="S16" i="6"/>
  <c r="R16" i="6"/>
  <c r="Q16" i="6"/>
  <c r="P16" i="6"/>
  <c r="O16" i="6"/>
  <c r="N16" i="6"/>
  <c r="M16" i="6"/>
  <c r="S15" i="6"/>
  <c r="R15" i="6"/>
  <c r="Q15" i="6"/>
  <c r="P15" i="6"/>
  <c r="O15" i="6"/>
  <c r="N15" i="6"/>
  <c r="M15" i="6"/>
  <c r="S14" i="6"/>
  <c r="S18" i="6" s="1"/>
  <c r="R14" i="6"/>
  <c r="R18" i="6" s="1"/>
  <c r="Q14" i="6"/>
  <c r="Q18" i="6" s="1"/>
  <c r="P14" i="6"/>
  <c r="P18" i="6" s="1"/>
  <c r="O14" i="6"/>
  <c r="O19" i="6" s="1"/>
  <c r="N14" i="6"/>
  <c r="N19" i="6" s="1"/>
  <c r="M14" i="6"/>
  <c r="M19" i="6" s="1"/>
  <c r="P9" i="6"/>
  <c r="O9" i="6"/>
  <c r="N9" i="6"/>
  <c r="M9" i="6"/>
  <c r="P7" i="6"/>
  <c r="O7" i="6"/>
  <c r="N7" i="6"/>
  <c r="M7" i="6"/>
  <c r="Q6" i="6"/>
  <c r="P6" i="6"/>
  <c r="O6" i="6"/>
  <c r="N6" i="6"/>
  <c r="M6" i="6"/>
  <c r="Q5" i="6"/>
  <c r="P5" i="6"/>
  <c r="P8" i="6" s="1"/>
  <c r="O5" i="6"/>
  <c r="O8" i="6" s="1"/>
  <c r="N5" i="6"/>
  <c r="N8" i="6" s="1"/>
  <c r="M5" i="6"/>
  <c r="M8" i="6" s="1"/>
  <c r="Q4" i="6"/>
  <c r="Q8" i="6" s="1"/>
  <c r="P4" i="6"/>
  <c r="O4" i="6"/>
  <c r="N4" i="6"/>
  <c r="M4" i="6"/>
  <c r="N14" i="5"/>
  <c r="O14" i="5"/>
  <c r="P14" i="5"/>
  <c r="Q14" i="5"/>
  <c r="R14" i="5"/>
  <c r="S14" i="5"/>
  <c r="N15" i="5"/>
  <c r="O15" i="5"/>
  <c r="P15" i="5"/>
  <c r="Q15" i="5"/>
  <c r="R15" i="5"/>
  <c r="R19" i="5" s="1"/>
  <c r="S15" i="5"/>
  <c r="S19" i="5" s="1"/>
  <c r="N16" i="5"/>
  <c r="O16" i="5"/>
  <c r="O19" i="5" s="1"/>
  <c r="P16" i="5"/>
  <c r="P19" i="5" s="1"/>
  <c r="Q16" i="5"/>
  <c r="Q19" i="5" s="1"/>
  <c r="R16" i="5"/>
  <c r="R18" i="5" s="1"/>
  <c r="S16" i="5"/>
  <c r="S18" i="5" s="1"/>
  <c r="N17" i="5"/>
  <c r="N19" i="5" s="1"/>
  <c r="O17" i="5"/>
  <c r="O18" i="5" s="1"/>
  <c r="P17" i="5"/>
  <c r="M15" i="5"/>
  <c r="M19" i="5" s="1"/>
  <c r="M16" i="5"/>
  <c r="M17" i="5"/>
  <c r="M14" i="5"/>
  <c r="N4" i="5"/>
  <c r="O4" i="5"/>
  <c r="O8" i="5" s="1"/>
  <c r="P4" i="5"/>
  <c r="Q4" i="5"/>
  <c r="N5" i="5"/>
  <c r="N8" i="5" s="1"/>
  <c r="O5" i="5"/>
  <c r="P5" i="5"/>
  <c r="Q5" i="5"/>
  <c r="N6" i="5"/>
  <c r="O6" i="5"/>
  <c r="P6" i="5"/>
  <c r="Q6" i="5"/>
  <c r="N7" i="5"/>
  <c r="O7" i="5"/>
  <c r="P7" i="5"/>
  <c r="Q9" i="5"/>
  <c r="M5" i="5"/>
  <c r="M6" i="5"/>
  <c r="M7" i="5"/>
  <c r="M4" i="5"/>
  <c r="Q18" i="5"/>
  <c r="P18" i="5"/>
  <c r="N18" i="5"/>
  <c r="P9" i="5"/>
  <c r="O9" i="5"/>
  <c r="N9" i="5"/>
  <c r="Q8" i="5"/>
  <c r="P8" i="5"/>
  <c r="N15" i="4"/>
  <c r="O15" i="4"/>
  <c r="P15" i="4"/>
  <c r="Q15" i="4"/>
  <c r="R15" i="4"/>
  <c r="R17" i="4" s="1"/>
  <c r="S15" i="4"/>
  <c r="N14" i="4"/>
  <c r="O14" i="4"/>
  <c r="P14" i="4"/>
  <c r="Q14" i="4"/>
  <c r="R14" i="4"/>
  <c r="S14" i="4"/>
  <c r="S13" i="4"/>
  <c r="N13" i="4"/>
  <c r="O13" i="4"/>
  <c r="P13" i="4"/>
  <c r="Q13" i="4"/>
  <c r="R13" i="4"/>
  <c r="M14" i="4"/>
  <c r="M16" i="4" s="1"/>
  <c r="M15" i="4"/>
  <c r="M13" i="4"/>
  <c r="N6" i="4"/>
  <c r="O6" i="4"/>
  <c r="O8" i="4" s="1"/>
  <c r="P6" i="4"/>
  <c r="P8" i="4" s="1"/>
  <c r="Q6" i="4"/>
  <c r="Q7" i="4" s="1"/>
  <c r="N5" i="4"/>
  <c r="N8" i="4" s="1"/>
  <c r="O5" i="4"/>
  <c r="P5" i="4"/>
  <c r="Q5" i="4"/>
  <c r="N4" i="4"/>
  <c r="O4" i="4"/>
  <c r="P4" i="4"/>
  <c r="Q4" i="4"/>
  <c r="M5" i="4"/>
  <c r="M6" i="4"/>
  <c r="M4" i="4"/>
  <c r="M8" i="4" s="1"/>
  <c r="S17" i="4"/>
  <c r="S16" i="4"/>
  <c r="I19" i="6"/>
  <c r="H19" i="6"/>
  <c r="G19" i="6"/>
  <c r="F19" i="6"/>
  <c r="E19" i="6"/>
  <c r="D19" i="6"/>
  <c r="C19" i="6"/>
  <c r="I18" i="6"/>
  <c r="H18" i="6"/>
  <c r="G18" i="6"/>
  <c r="F18" i="6"/>
  <c r="E18" i="6"/>
  <c r="D18" i="6"/>
  <c r="C18" i="6"/>
  <c r="G9" i="6"/>
  <c r="F9" i="6"/>
  <c r="E9" i="6"/>
  <c r="D9" i="6"/>
  <c r="C9" i="6"/>
  <c r="G8" i="6"/>
  <c r="F8" i="6"/>
  <c r="E8" i="6"/>
  <c r="D8" i="6"/>
  <c r="C8" i="6"/>
  <c r="I19" i="5"/>
  <c r="H19" i="5"/>
  <c r="G19" i="5"/>
  <c r="F19" i="5"/>
  <c r="E19" i="5"/>
  <c r="D19" i="5"/>
  <c r="C19" i="5"/>
  <c r="I18" i="5"/>
  <c r="H18" i="5"/>
  <c r="G18" i="5"/>
  <c r="F18" i="5"/>
  <c r="E18" i="5"/>
  <c r="D18" i="5"/>
  <c r="C18" i="5"/>
  <c r="G9" i="5"/>
  <c r="F9" i="5"/>
  <c r="E9" i="5"/>
  <c r="D9" i="5"/>
  <c r="C9" i="5"/>
  <c r="G8" i="5"/>
  <c r="F8" i="5"/>
  <c r="E8" i="5"/>
  <c r="D8" i="5"/>
  <c r="C8" i="5"/>
  <c r="I16" i="4"/>
  <c r="I17" i="4"/>
  <c r="G8" i="4"/>
  <c r="G7" i="4"/>
  <c r="G17" i="4"/>
  <c r="H17" i="4"/>
  <c r="G16" i="4"/>
  <c r="H16" i="4"/>
  <c r="Q9" i="6" l="1"/>
  <c r="M18" i="6"/>
  <c r="N18" i="6"/>
  <c r="O18" i="6"/>
  <c r="M18" i="5"/>
  <c r="M9" i="5"/>
  <c r="M8" i="5"/>
  <c r="R16" i="4"/>
  <c r="O17" i="4"/>
  <c r="Q17" i="4"/>
  <c r="P17" i="4"/>
  <c r="N17" i="4"/>
  <c r="N16" i="4"/>
  <c r="O16" i="4"/>
  <c r="P16" i="4"/>
  <c r="Q16" i="4"/>
  <c r="M17" i="4"/>
  <c r="O7" i="4"/>
  <c r="P7" i="4"/>
  <c r="Q8" i="4"/>
  <c r="N7" i="4"/>
  <c r="M7" i="4"/>
  <c r="E7" i="4"/>
  <c r="F7" i="4"/>
  <c r="F17" i="4"/>
  <c r="E17" i="4"/>
  <c r="D17" i="4"/>
  <c r="C17" i="4"/>
  <c r="F16" i="4"/>
  <c r="E16" i="4"/>
  <c r="D16" i="4"/>
  <c r="C16" i="4"/>
  <c r="F8" i="4"/>
  <c r="E8" i="4"/>
  <c r="D8" i="4"/>
  <c r="C8" i="4"/>
  <c r="D7" i="4"/>
  <c r="C7" i="4"/>
</calcChain>
</file>

<file path=xl/sharedStrings.xml><?xml version="1.0" encoding="utf-8"?>
<sst xmlns="http://schemas.openxmlformats.org/spreadsheetml/2006/main" count="621" uniqueCount="33">
  <si>
    <t>WT</t>
  </si>
  <si>
    <t>AVERAGE</t>
  </si>
  <si>
    <t>SD</t>
  </si>
  <si>
    <t>ΔLLM1</t>
  </si>
  <si>
    <t>oeLLM1</t>
  </si>
  <si>
    <t>VEL1</t>
  </si>
  <si>
    <t>VEL2</t>
  </si>
  <si>
    <t>LLM1-C</t>
  </si>
  <si>
    <t>ΔVEL1ΔLLM1</t>
  </si>
  <si>
    <t>ΔVEL1oeLLM1</t>
  </si>
  <si>
    <t>ΔVEL1</t>
  </si>
  <si>
    <t>ΔVEL2</t>
  </si>
  <si>
    <t>SXM RELATIVE</t>
  </si>
  <si>
    <t>SXM log2</t>
  </si>
  <si>
    <t>PDM RELATIVE</t>
  </si>
  <si>
    <t>PLATE RELATIVE</t>
  </si>
  <si>
    <t>PDM log2</t>
  </si>
  <si>
    <t>PLATE log2</t>
  </si>
  <si>
    <t>Stage</t>
  </si>
  <si>
    <t>Protein</t>
  </si>
  <si>
    <t>Expression</t>
  </si>
  <si>
    <t>Treatment</t>
  </si>
  <si>
    <t>Plot</t>
  </si>
  <si>
    <t>SXM</t>
  </si>
  <si>
    <t>a</t>
  </si>
  <si>
    <t>b</t>
  </si>
  <si>
    <t>c</t>
  </si>
  <si>
    <t>d</t>
  </si>
  <si>
    <t>e</t>
  </si>
  <si>
    <t>f</t>
  </si>
  <si>
    <t>g</t>
  </si>
  <si>
    <t>PDM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</si>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</sst>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##0.00000;\-###0.00000"/>
    <numFmt numFmtId="166" formatCode="###0.000;\-###0.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8.25"/>
      <name val="Microsoft Sans Serif"/>
      <family val="2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>
      <alignment vertical="top"/>
      <protection locked="0"/>
    </xf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66" fontId="0" fillId="0" borderId="0" xfId="0" applyNumberFormat="1"/>
    <xf numFmtId="0" fontId="0" fillId="0" borderId="0" xfId="0" applyAlignment="1">
      <alignment vertical="center"/>
    </xf>
    <xf numFmtId="0" fontId="0" fillId="3" borderId="0" xfId="0" applyFill="1" applyAlignment="1">
      <alignment horizontal="right" vertical="center"/>
    </xf>
    <xf numFmtId="1" fontId="0" fillId="3" borderId="0" xfId="0" applyNumberFormat="1" applyFill="1" applyAlignment="1">
      <alignment horizontal="right"/>
    </xf>
    <xf numFmtId="166" fontId="0" fillId="3" borderId="0" xfId="0" applyNumberFormat="1" applyFill="1"/>
    <xf numFmtId="0" fontId="0" fillId="3" borderId="0" xfId="0" applyFill="1" applyAlignment="1">
      <alignment horizontal="right"/>
    </xf>
    <xf numFmtId="166" fontId="0" fillId="3" borderId="0" xfId="0" applyNumberFormat="1" applyFill="1" applyAlignment="1">
      <alignment horizontal="right"/>
    </xf>
    <xf numFmtId="166" fontId="1" fillId="0" borderId="0" xfId="1" applyNumberFormat="1" applyFont="1" applyAlignment="1" applyProtection="1">
      <alignment vertical="center"/>
    </xf>
    <xf numFmtId="166" fontId="1" fillId="0" borderId="0" xfId="0" applyNumberFormat="1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6" fillId="0" borderId="0" xfId="1" applyNumberFormat="1" applyAlignment="1" applyProtection="1">
      <alignment vertical="center"/>
    </xf>
    <xf numFmtId="166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wrapText="1"/>
    </xf>
    <xf numFmtId="166" fontId="6" fillId="0" borderId="0" xfId="0" applyNumberFormat="1" applyFont="1" applyAlignment="1">
      <alignment vertical="center"/>
    </xf>
    <xf numFmtId="1" fontId="0" fillId="0" borderId="0" xfId="0" applyNumberFormat="1" applyAlignment="1">
      <alignment horizontal="right"/>
    </xf>
    <xf numFmtId="165" fontId="6" fillId="0" borderId="0" xfId="0" applyNumberFormat="1" applyFont="1" applyAlignment="1">
      <alignment vertical="center"/>
    </xf>
    <xf numFmtId="166" fontId="0" fillId="0" borderId="0" xfId="0" applyNumberFormat="1" applyAlignment="1">
      <alignment horizontal="right"/>
    </xf>
    <xf numFmtId="166" fontId="7" fillId="0" borderId="0" xfId="0" applyNumberFormat="1" applyFont="1"/>
    <xf numFmtId="164" fontId="0" fillId="0" borderId="0" xfId="0" applyNumberFormat="1" applyAlignment="1">
      <alignment horizontal="right" vertical="center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Normal 2" xfId="1" xr:uid="{D74374B0-840D-4706-A6B6-A287B7B4A6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'SXM-L'!$C$3:$G$3</c:f>
              <c:strCache>
                <c:ptCount val="5"/>
                <c:pt idx="0">
                  <c:v>WT</c:v>
                </c:pt>
                <c:pt idx="1">
                  <c:v>ΔLLM1</c:v>
                </c:pt>
                <c:pt idx="2">
                  <c:v>LLM1-C</c:v>
                </c:pt>
                <c:pt idx="3">
                  <c:v>oeLLM1</c:v>
                </c:pt>
                <c:pt idx="4">
                  <c:v>ΔVEL2</c:v>
                </c:pt>
              </c:strCache>
            </c:strRef>
          </c:cat>
          <c:val>
            <c:numRef>
              <c:f>'SXM-L'!$C$7:$G$7</c:f>
              <c:numCache>
                <c:formatCode>###0.000;\-###0.000</c:formatCode>
                <c:ptCount val="5"/>
                <c:pt idx="0" formatCode="0">
                  <c:v>1</c:v>
                </c:pt>
                <c:pt idx="1">
                  <c:v>1.1493269029341107</c:v>
                </c:pt>
                <c:pt idx="2">
                  <c:v>0.88788829587925833</c:v>
                </c:pt>
                <c:pt idx="3">
                  <c:v>1.2411283157397166</c:v>
                </c:pt>
                <c:pt idx="4">
                  <c:v>1.1099320648231645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3-400C-A43C-700DB8D89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153375"/>
        <c:axId val="1486159615"/>
      </c:barChart>
      <c:catAx>
        <c:axId val="148615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86159615"/>
        <c:crosses val="autoZero"/>
        <c:auto val="1"/>
        <c:lblAlgn val="ctr"/>
        <c:lblOffset val="100"/>
        <c:noMultiLvlLbl val="0"/>
      </c:catAx>
      <c:valAx>
        <c:axId val="1486159615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8615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'SXM-L'!$M$3:$Q$3</c:f>
              <c:strCache>
                <c:ptCount val="5"/>
                <c:pt idx="0">
                  <c:v>WT</c:v>
                </c:pt>
                <c:pt idx="1">
                  <c:v>ΔLLM1</c:v>
                </c:pt>
                <c:pt idx="2">
                  <c:v>LLM1-C</c:v>
                </c:pt>
                <c:pt idx="3">
                  <c:v>oeLLM1</c:v>
                </c:pt>
                <c:pt idx="4">
                  <c:v>ΔVEL2</c:v>
                </c:pt>
              </c:strCache>
            </c:strRef>
          </c:cat>
          <c:val>
            <c:numRef>
              <c:f>'SXM-L'!$M$7:$Q$7</c:f>
              <c:numCache>
                <c:formatCode>###0.000;\-###0.000</c:formatCode>
                <c:ptCount val="5"/>
                <c:pt idx="0" formatCode="0">
                  <c:v>0</c:v>
                </c:pt>
                <c:pt idx="1">
                  <c:v>0.19319511820871602</c:v>
                </c:pt>
                <c:pt idx="2">
                  <c:v>-0.1777451278119844</c:v>
                </c:pt>
                <c:pt idx="3">
                  <c:v>0.30610396615263702</c:v>
                </c:pt>
                <c:pt idx="4">
                  <c:v>0.13323369175784774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E-47F6-AB61-2DCA92B12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949151"/>
        <c:axId val="1485947231"/>
      </c:barChart>
      <c:catAx>
        <c:axId val="148594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85947231"/>
        <c:crosses val="autoZero"/>
        <c:auto val="1"/>
        <c:lblAlgn val="ctr"/>
        <c:lblOffset val="100"/>
        <c:noMultiLvlLbl val="0"/>
      </c:catAx>
      <c:valAx>
        <c:axId val="14859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85949151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'PDM-L'!$M$3:$Q$3</c:f>
              <c:strCache>
                <c:ptCount val="5"/>
                <c:pt idx="0">
                  <c:v>WT</c:v>
                </c:pt>
                <c:pt idx="1">
                  <c:v>ΔLLM1</c:v>
                </c:pt>
                <c:pt idx="2">
                  <c:v>LLM1-C</c:v>
                </c:pt>
                <c:pt idx="3">
                  <c:v>oeLLM1</c:v>
                </c:pt>
                <c:pt idx="4">
                  <c:v>ΔVEL2</c:v>
                </c:pt>
              </c:strCache>
            </c:strRef>
          </c:cat>
          <c:val>
            <c:numRef>
              <c:f>'PDM-L'!$M$8:$Q$8</c:f>
              <c:numCache>
                <c:formatCode>###0.000;\-###0.000</c:formatCode>
                <c:ptCount val="5"/>
                <c:pt idx="0" formatCode="0">
                  <c:v>0</c:v>
                </c:pt>
                <c:pt idx="1">
                  <c:v>0.70910625254873749</c:v>
                </c:pt>
                <c:pt idx="2">
                  <c:v>0.18028312873692123</c:v>
                </c:pt>
                <c:pt idx="3">
                  <c:v>1.3973589508002391</c:v>
                </c:pt>
                <c:pt idx="4">
                  <c:v>-0.22408067601369117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8-4441-8195-6A428E541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105343"/>
        <c:axId val="1531105823"/>
      </c:barChart>
      <c:catAx>
        <c:axId val="153110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31105823"/>
        <c:crosses val="autoZero"/>
        <c:auto val="1"/>
        <c:lblAlgn val="ctr"/>
        <c:lblOffset val="100"/>
        <c:noMultiLvlLbl val="0"/>
      </c:catAx>
      <c:valAx>
        <c:axId val="153110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3110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PLATE!$M$3:$Q$3</c:f>
              <c:strCache>
                <c:ptCount val="5"/>
                <c:pt idx="0">
                  <c:v>WT</c:v>
                </c:pt>
                <c:pt idx="1">
                  <c:v>ΔLLM1</c:v>
                </c:pt>
                <c:pt idx="2">
                  <c:v>LLM1-C</c:v>
                </c:pt>
                <c:pt idx="3">
                  <c:v>oeLLM1</c:v>
                </c:pt>
                <c:pt idx="4">
                  <c:v>ΔVEL2</c:v>
                </c:pt>
              </c:strCache>
            </c:strRef>
          </c:cat>
          <c:val>
            <c:numRef>
              <c:f>PLATE!$M$8:$Q$8</c:f>
              <c:numCache>
                <c:formatCode>###0.000;\-###0.000</c:formatCode>
                <c:ptCount val="5"/>
                <c:pt idx="0" formatCode="0">
                  <c:v>0</c:v>
                </c:pt>
                <c:pt idx="1">
                  <c:v>0.25897308783635642</c:v>
                </c:pt>
                <c:pt idx="2">
                  <c:v>-0.12695458431062945</c:v>
                </c:pt>
                <c:pt idx="3">
                  <c:v>7.333103067045843E-2</c:v>
                </c:pt>
                <c:pt idx="4">
                  <c:v>-0.49054440877272204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A-4195-A0B0-FDC9422DF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620367"/>
        <c:axId val="1446620847"/>
      </c:barChart>
      <c:catAx>
        <c:axId val="144662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46620847"/>
        <c:crosses val="autoZero"/>
        <c:auto val="1"/>
        <c:lblAlgn val="ctr"/>
        <c:lblOffset val="100"/>
        <c:noMultiLvlLbl val="0"/>
      </c:catAx>
      <c:valAx>
        <c:axId val="144662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4662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18</xdr:row>
      <xdr:rowOff>57150</xdr:rowOff>
    </xdr:from>
    <xdr:to>
      <xdr:col>8</xdr:col>
      <xdr:colOff>426720</xdr:colOff>
      <xdr:row>33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B7D9B-7788-F323-37F5-EA868AA2E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19</xdr:row>
      <xdr:rowOff>11430</xdr:rowOff>
    </xdr:from>
    <xdr:to>
      <xdr:col>18</xdr:col>
      <xdr:colOff>15240</xdr:colOff>
      <xdr:row>34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B35CCA-2538-3AB5-141A-8D58F602A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594360</xdr:colOff>
      <xdr:row>20</xdr:row>
      <xdr:rowOff>11430</xdr:rowOff>
    </xdr:from>
    <xdr:to>
      <xdr:col>18</xdr:col>
      <xdr:colOff>419100</xdr:colOff>
      <xdr:row>29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F8241-3643-18E2-0981-3957BEDEC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21</xdr:row>
      <xdr:rowOff>22860</xdr:rowOff>
    </xdr:from>
    <xdr:to>
      <xdr:col>18</xdr:col>
      <xdr:colOff>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2E27B-33E6-64A5-DC8D-0776C10B2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C454-A24B-4D4E-8889-DF95219990D8}">
  <dimension ref="B2:S36"/>
  <sheetViews>
    <sheetView tabSelected="1" workbookViewId="0">
      <selection activeCell="C13" sqref="C13"/>
    </sheetView>
  </sheetViews>
  <sheetFormatPr defaultRowHeight="14.4" x14ac:dyDescent="0.3"/>
  <cols>
    <col min="3" max="3" width="8.21875" customWidth="1"/>
    <col min="4" max="4" width="9.77734375" customWidth="1"/>
    <col min="5" max="5" width="10.77734375" customWidth="1"/>
    <col min="6" max="6" width="9.5546875" customWidth="1"/>
    <col min="7" max="7" width="12.5546875" customWidth="1"/>
    <col min="8" max="8" width="13.21875" customWidth="1"/>
    <col min="9" max="9" width="9.44140625" customWidth="1"/>
    <col min="11" max="11" width="9" customWidth="1"/>
    <col min="17" max="17" width="11.88671875" bestFit="1" customWidth="1"/>
    <col min="18" max="18" width="12.88671875" bestFit="1" customWidth="1"/>
  </cols>
  <sheetData>
    <row r="2" spans="2:19" x14ac:dyDescent="0.3">
      <c r="C2" s="28" t="s">
        <v>12</v>
      </c>
      <c r="D2" s="28"/>
      <c r="E2" s="28"/>
      <c r="F2" s="28"/>
      <c r="G2" s="28"/>
      <c r="M2" s="28" t="s">
        <v>13</v>
      </c>
      <c r="N2" s="28"/>
      <c r="O2" s="28"/>
      <c r="P2" s="28"/>
      <c r="Q2" s="28"/>
    </row>
    <row r="3" spans="2:19" x14ac:dyDescent="0.3">
      <c r="B3" s="5"/>
      <c r="C3" s="13" t="s">
        <v>0</v>
      </c>
      <c r="D3" s="13" t="s">
        <v>3</v>
      </c>
      <c r="E3" s="13" t="s">
        <v>7</v>
      </c>
      <c r="F3" s="13" t="s">
        <v>4</v>
      </c>
      <c r="G3" s="13" t="s">
        <v>11</v>
      </c>
      <c r="H3" s="15"/>
      <c r="L3" s="5"/>
      <c r="M3" s="13" t="s">
        <v>0</v>
      </c>
      <c r="N3" s="13" t="s">
        <v>3</v>
      </c>
      <c r="O3" s="13" t="s">
        <v>7</v>
      </c>
      <c r="P3" s="13" t="s">
        <v>4</v>
      </c>
      <c r="Q3" s="13" t="s">
        <v>11</v>
      </c>
    </row>
    <row r="4" spans="2:19" x14ac:dyDescent="0.3">
      <c r="B4" s="14" t="s">
        <v>5</v>
      </c>
      <c r="C4" s="2">
        <v>1</v>
      </c>
      <c r="D4" s="11">
        <v>1.26465520188765</v>
      </c>
      <c r="E4" s="11">
        <v>0.77483653168594502</v>
      </c>
      <c r="F4" s="11">
        <v>1.1826632202603</v>
      </c>
      <c r="G4" s="11">
        <v>1.32607763100275</v>
      </c>
      <c r="L4" s="14" t="s">
        <v>5</v>
      </c>
      <c r="M4" s="2">
        <f>LOG(C4,2)</f>
        <v>0</v>
      </c>
      <c r="N4" s="27">
        <f t="shared" ref="N4:Q6" si="0">LOG(D4,2)</f>
        <v>0.33874409928168148</v>
      </c>
      <c r="O4" s="27">
        <f t="shared" si="0"/>
        <v>-0.36803611972821287</v>
      </c>
      <c r="P4" s="27">
        <f t="shared" si="0"/>
        <v>0.24203930475720736</v>
      </c>
      <c r="Q4" s="27">
        <f t="shared" si="0"/>
        <v>0.40716523592134773</v>
      </c>
    </row>
    <row r="5" spans="2:19" x14ac:dyDescent="0.3">
      <c r="B5" s="1"/>
      <c r="C5" s="2">
        <v>1</v>
      </c>
      <c r="D5" s="11">
        <v>0.99143275818332199</v>
      </c>
      <c r="E5" s="11">
        <v>0.95503509971810396</v>
      </c>
      <c r="F5" s="11">
        <v>1.1446191448369101</v>
      </c>
      <c r="G5" s="11">
        <v>1.0961058808727</v>
      </c>
      <c r="L5" s="1"/>
      <c r="M5" s="2">
        <f t="shared" ref="M5:M6" si="1">LOG(C5,2)</f>
        <v>0</v>
      </c>
      <c r="N5" s="27">
        <f t="shared" si="0"/>
        <v>-1.2413166835777355E-2</v>
      </c>
      <c r="O5" s="27">
        <f t="shared" si="0"/>
        <v>-6.637433843143746E-2</v>
      </c>
      <c r="P5" s="27">
        <f t="shared" si="0"/>
        <v>0.19486764263928966</v>
      </c>
      <c r="Q5" s="27">
        <f t="shared" si="0"/>
        <v>0.1323871654808563</v>
      </c>
    </row>
    <row r="6" spans="2:19" x14ac:dyDescent="0.3">
      <c r="B6" s="1"/>
      <c r="C6" s="2">
        <v>1</v>
      </c>
      <c r="D6" s="11">
        <v>1.19189274873136</v>
      </c>
      <c r="E6" s="11">
        <v>0.933793256233726</v>
      </c>
      <c r="F6" s="11">
        <v>1.3961025821219399</v>
      </c>
      <c r="G6" s="11">
        <v>0.90761268259404404</v>
      </c>
      <c r="L6" s="1"/>
      <c r="M6" s="2">
        <f t="shared" si="1"/>
        <v>0</v>
      </c>
      <c r="N6" s="27">
        <f t="shared" si="0"/>
        <v>0.25325442218024391</v>
      </c>
      <c r="O6" s="27">
        <f t="shared" si="0"/>
        <v>-9.8824925276302919E-2</v>
      </c>
      <c r="P6" s="27">
        <f t="shared" si="0"/>
        <v>0.48140495106141395</v>
      </c>
      <c r="Q6" s="27">
        <f t="shared" si="0"/>
        <v>-0.1398513261286608</v>
      </c>
    </row>
    <row r="7" spans="2:19" x14ac:dyDescent="0.3">
      <c r="B7" s="6" t="s">
        <v>1</v>
      </c>
      <c r="C7" s="7">
        <f>AVERAGE(C4:C6)</f>
        <v>1</v>
      </c>
      <c r="D7" s="8">
        <f>AVERAGE(D4:D6)</f>
        <v>1.1493269029341107</v>
      </c>
      <c r="E7" s="8">
        <f t="shared" ref="E7:G7" si="2">AVERAGE(E4:E6)</f>
        <v>0.88788829587925833</v>
      </c>
      <c r="F7" s="8">
        <f t="shared" si="2"/>
        <v>1.2411283157397166</v>
      </c>
      <c r="G7" s="8">
        <f t="shared" si="2"/>
        <v>1.1099320648231645</v>
      </c>
      <c r="L7" s="6" t="s">
        <v>1</v>
      </c>
      <c r="M7" s="7">
        <f>AVERAGE(M4:M6)</f>
        <v>0</v>
      </c>
      <c r="N7" s="8">
        <f>AVERAGE(N4:N6)</f>
        <v>0.19319511820871602</v>
      </c>
      <c r="O7" s="8">
        <f t="shared" ref="O7:Q7" si="3">AVERAGE(O4:O6)</f>
        <v>-0.1777451278119844</v>
      </c>
      <c r="P7" s="8">
        <f t="shared" si="3"/>
        <v>0.30610396615263702</v>
      </c>
      <c r="Q7" s="8">
        <f t="shared" si="3"/>
        <v>0.13323369175784774</v>
      </c>
    </row>
    <row r="8" spans="2:19" x14ac:dyDescent="0.3">
      <c r="B8" s="6" t="s">
        <v>2</v>
      </c>
      <c r="C8" s="9">
        <f>_xlfn.STDEV.P(C4:C6)</f>
        <v>0</v>
      </c>
      <c r="D8" s="8">
        <f>_xlfn.STDEV.P(D4:D6)</f>
        <v>0.11553214374440858</v>
      </c>
      <c r="E8" s="8">
        <f>_xlfn.STDEV.P(E4:E6)</f>
        <v>8.0408664620462769E-2</v>
      </c>
      <c r="F8" s="8">
        <f>_xlfn.STDEV.P(F4:F6)</f>
        <v>0.11067852953256521</v>
      </c>
      <c r="G8" s="8">
        <f>_xlfn.STDEV.P(G4:G6)</f>
        <v>0.17111711541835822</v>
      </c>
      <c r="L8" s="6" t="s">
        <v>2</v>
      </c>
      <c r="M8" s="9">
        <f>_xlfn.STDEV.P(M4:M6)</f>
        <v>0</v>
      </c>
      <c r="N8" s="8">
        <f>_xlfn.STDEV.P(N4:N6)</f>
        <v>0.14951743796166439</v>
      </c>
      <c r="O8" s="8">
        <f>_xlfn.STDEV.P(O4:O6)</f>
        <v>0.13520664764226806</v>
      </c>
      <c r="P8" s="8">
        <f>_xlfn.STDEV.P(P4:P6)</f>
        <v>0.1254435275578408</v>
      </c>
      <c r="Q8" s="8">
        <f>_xlfn.STDEV.P(Q4:Q6)</f>
        <v>0.22331937853562392</v>
      </c>
    </row>
    <row r="9" spans="2:19" x14ac:dyDescent="0.3">
      <c r="B9" s="2"/>
      <c r="C9" s="3"/>
      <c r="D9" s="4"/>
      <c r="E9" s="4"/>
      <c r="F9" s="4"/>
    </row>
    <row r="10" spans="2:19" x14ac:dyDescent="0.3">
      <c r="B10" s="2"/>
      <c r="C10" s="3"/>
      <c r="D10" s="4"/>
      <c r="E10" s="4"/>
      <c r="F10" s="4"/>
    </row>
    <row r="11" spans="2:19" x14ac:dyDescent="0.3">
      <c r="B11" s="2"/>
      <c r="C11" s="28" t="s">
        <v>12</v>
      </c>
      <c r="D11" s="28"/>
      <c r="E11" s="28"/>
      <c r="F11" s="28"/>
      <c r="G11" s="28"/>
      <c r="H11" s="28"/>
      <c r="I11" s="28"/>
      <c r="L11" s="2"/>
      <c r="M11" s="28" t="s">
        <v>13</v>
      </c>
      <c r="N11" s="28"/>
      <c r="O11" s="28"/>
      <c r="P11" s="28"/>
      <c r="Q11" s="28"/>
      <c r="R11" s="28"/>
      <c r="S11" s="28"/>
    </row>
    <row r="12" spans="2:19" x14ac:dyDescent="0.3">
      <c r="B12" s="2"/>
      <c r="C12" s="13" t="s">
        <v>0</v>
      </c>
      <c r="D12" s="13" t="s">
        <v>3</v>
      </c>
      <c r="E12" s="13" t="s">
        <v>7</v>
      </c>
      <c r="F12" s="13" t="s">
        <v>4</v>
      </c>
      <c r="G12" s="13" t="s">
        <v>8</v>
      </c>
      <c r="H12" s="13" t="s">
        <v>9</v>
      </c>
      <c r="I12" s="13" t="s">
        <v>10</v>
      </c>
      <c r="L12" s="2"/>
      <c r="M12" s="13" t="s">
        <v>0</v>
      </c>
      <c r="N12" s="13" t="s">
        <v>3</v>
      </c>
      <c r="O12" s="13" t="s">
        <v>7</v>
      </c>
      <c r="P12" s="13" t="s">
        <v>4</v>
      </c>
      <c r="Q12" s="13" t="s">
        <v>8</v>
      </c>
      <c r="R12" s="13" t="s">
        <v>9</v>
      </c>
      <c r="S12" s="13" t="s">
        <v>10</v>
      </c>
    </row>
    <row r="13" spans="2:19" x14ac:dyDescent="0.3">
      <c r="B13" s="14" t="s">
        <v>6</v>
      </c>
      <c r="C13" s="2">
        <v>1</v>
      </c>
      <c r="D13" s="11">
        <v>1.2370584384405401</v>
      </c>
      <c r="E13" s="11">
        <v>1.16915692376576</v>
      </c>
      <c r="F13" s="12">
        <v>1.0373600000000001</v>
      </c>
      <c r="G13" s="12">
        <v>0.80644897651577196</v>
      </c>
      <c r="H13" s="12">
        <v>0.55078748115527598</v>
      </c>
      <c r="I13" s="12">
        <v>1.2380179202371899</v>
      </c>
      <c r="L13" s="14" t="s">
        <v>6</v>
      </c>
      <c r="M13" s="2">
        <f>LOG(C13,2)</f>
        <v>0</v>
      </c>
      <c r="N13" s="27">
        <f t="shared" ref="N13:R15" si="4">LOG(D13,2)</f>
        <v>0.30691365460447262</v>
      </c>
      <c r="O13" s="27">
        <f t="shared" si="4"/>
        <v>0.22546858080608115</v>
      </c>
      <c r="P13" s="27">
        <f t="shared" si="4"/>
        <v>5.2916646402372154E-2</v>
      </c>
      <c r="Q13" s="27">
        <f t="shared" si="4"/>
        <v>-0.31034483696371051</v>
      </c>
      <c r="R13" s="27">
        <f t="shared" si="4"/>
        <v>-0.86043232604711462</v>
      </c>
      <c r="S13" s="27">
        <f>LOG(I13,2)</f>
        <v>0.30803219762989253</v>
      </c>
    </row>
    <row r="14" spans="2:19" x14ac:dyDescent="0.3">
      <c r="B14" s="1"/>
      <c r="C14" s="2">
        <v>1</v>
      </c>
      <c r="D14" s="11">
        <v>0.898562524123938</v>
      </c>
      <c r="E14" s="11">
        <v>0.96417130027398401</v>
      </c>
      <c r="F14" s="11">
        <v>0.98727610090181195</v>
      </c>
      <c r="G14" s="12">
        <v>2.1221923453443998</v>
      </c>
      <c r="H14" s="12">
        <v>1.40952655451772</v>
      </c>
      <c r="I14" s="12">
        <v>1.65708232194607</v>
      </c>
      <c r="L14" s="1"/>
      <c r="M14" s="2">
        <f t="shared" ref="M14:M15" si="5">LOG(C14,2)</f>
        <v>0</v>
      </c>
      <c r="N14" s="27">
        <f t="shared" si="4"/>
        <v>-0.15430920149695315</v>
      </c>
      <c r="O14" s="27">
        <f t="shared" si="4"/>
        <v>-5.2638608078553396E-2</v>
      </c>
      <c r="P14" s="27">
        <f t="shared" si="4"/>
        <v>-1.8474490754439445E-2</v>
      </c>
      <c r="Q14" s="27">
        <f t="shared" si="4"/>
        <v>1.0855554211436695</v>
      </c>
      <c r="R14" s="27">
        <f t="shared" si="4"/>
        <v>0.49521065755371096</v>
      </c>
      <c r="S14" s="27">
        <f t="shared" ref="S14:S15" si="6">LOG(I14,2)</f>
        <v>0.72864527577193972</v>
      </c>
    </row>
    <row r="15" spans="2:19" x14ac:dyDescent="0.3">
      <c r="B15" s="1"/>
      <c r="C15" s="2">
        <v>1</v>
      </c>
      <c r="D15" s="11">
        <v>1.3249143276733999</v>
      </c>
      <c r="E15" s="11">
        <v>0.89381676270988097</v>
      </c>
      <c r="F15" s="11">
        <v>1.7869014603373401</v>
      </c>
      <c r="G15" s="12">
        <v>1.8055226916382701</v>
      </c>
      <c r="H15" s="12">
        <v>1.33038929342322</v>
      </c>
      <c r="I15" s="12">
        <v>2.41093696385034</v>
      </c>
      <c r="L15" s="1"/>
      <c r="M15" s="2">
        <f t="shared" si="5"/>
        <v>0</v>
      </c>
      <c r="N15" s="27">
        <f t="shared" si="4"/>
        <v>0.40589907436507811</v>
      </c>
      <c r="O15" s="27">
        <f t="shared" si="4"/>
        <v>-0.16194899348443903</v>
      </c>
      <c r="P15" s="27">
        <f t="shared" si="4"/>
        <v>0.837460078362393</v>
      </c>
      <c r="Q15" s="27">
        <f t="shared" si="4"/>
        <v>0.85241655205519462</v>
      </c>
      <c r="R15" s="27">
        <f t="shared" si="4"/>
        <v>0.41184846340455228</v>
      </c>
      <c r="S15" s="27">
        <f t="shared" si="6"/>
        <v>1.2695939308535951</v>
      </c>
    </row>
    <row r="16" spans="2:19" x14ac:dyDescent="0.3">
      <c r="B16" s="6" t="s">
        <v>1</v>
      </c>
      <c r="C16" s="9">
        <f>AVERAGE(C13:C15)</f>
        <v>1</v>
      </c>
      <c r="D16" s="10">
        <f>AVERAGE(D13:D15)</f>
        <v>1.1535117634126262</v>
      </c>
      <c r="E16" s="8">
        <f>AVERAGE(E13:E15)</f>
        <v>1.0090483289165417</v>
      </c>
      <c r="F16" s="8">
        <f>AVERAGE(F13:F15)</f>
        <v>1.2705125204130507</v>
      </c>
      <c r="G16" s="8">
        <f t="shared" ref="G16:I16" si="7">AVERAGE(G13:G15)</f>
        <v>1.5780546711661472</v>
      </c>
      <c r="H16" s="8">
        <f t="shared" si="7"/>
        <v>1.0969011096987387</v>
      </c>
      <c r="I16" s="8">
        <f t="shared" si="7"/>
        <v>1.7686790686778666</v>
      </c>
      <c r="L16" s="6" t="s">
        <v>1</v>
      </c>
      <c r="M16" s="9">
        <f>AVERAGE(M13:M15)</f>
        <v>0</v>
      </c>
      <c r="N16" s="10">
        <f>AVERAGE(N13:N15)</f>
        <v>0.18616784249086585</v>
      </c>
      <c r="O16" s="8">
        <f>AVERAGE(O13:O15)</f>
        <v>3.6269930810295761E-3</v>
      </c>
      <c r="P16" s="8">
        <f>AVERAGE(P13:P15)</f>
        <v>0.29063407800344193</v>
      </c>
      <c r="Q16" s="8">
        <f t="shared" ref="Q16:S16" si="8">AVERAGE(Q13:Q15)</f>
        <v>0.54254237874505129</v>
      </c>
      <c r="R16" s="8">
        <f t="shared" si="8"/>
        <v>1.5542264970382877E-2</v>
      </c>
      <c r="S16" s="8">
        <f t="shared" si="8"/>
        <v>0.76875713475180907</v>
      </c>
    </row>
    <row r="17" spans="2:19" x14ac:dyDescent="0.3">
      <c r="B17" s="6" t="s">
        <v>2</v>
      </c>
      <c r="C17" s="9">
        <f>_xlfn.STDEV.P(C13:C15)</f>
        <v>0</v>
      </c>
      <c r="D17" s="10">
        <f>_xlfn.STDEV.P(D13:D15)</f>
        <v>0.18380968468977907</v>
      </c>
      <c r="E17" s="8">
        <f>_xlfn.STDEV.P(E13:E15)</f>
        <v>0.11680043335367113</v>
      </c>
      <c r="F17" s="8">
        <f>_xlfn.STDEV.P(F13:F15)</f>
        <v>0.36571414355506127</v>
      </c>
      <c r="G17" s="8">
        <f t="shared" ref="G17:H17" si="9">_xlfn.STDEV.P(G13:G15)</f>
        <v>0.56071467991439683</v>
      </c>
      <c r="H17" s="8">
        <f t="shared" si="9"/>
        <v>0.38750978308860395</v>
      </c>
      <c r="I17" s="8">
        <f t="shared" ref="I17" si="10">_xlfn.STDEV.P(I13:I15)</f>
        <v>0.48530069450354685</v>
      </c>
      <c r="L17" s="6" t="s">
        <v>2</v>
      </c>
      <c r="M17" s="9">
        <f>_xlfn.STDEV.P(M13:M15)</f>
        <v>0</v>
      </c>
      <c r="N17" s="10">
        <f>_xlfn.STDEV.P(N13:N15)</f>
        <v>0.2441215427381864</v>
      </c>
      <c r="O17" s="8">
        <f>_xlfn.STDEV.P(O13:O15)</f>
        <v>0.16308986811504594</v>
      </c>
      <c r="P17" s="8">
        <f>_xlfn.STDEV.P(P13:P15)</f>
        <v>0.38776124923940963</v>
      </c>
      <c r="Q17" s="8">
        <f t="shared" ref="Q17:S17" si="11">_xlfn.STDEV.P(Q13:Q15)</f>
        <v>0.61054668678136104</v>
      </c>
      <c r="R17" s="8">
        <f t="shared" si="11"/>
        <v>0.62034180198475775</v>
      </c>
      <c r="S17" s="8">
        <f t="shared" si="11"/>
        <v>0.39357926996829051</v>
      </c>
    </row>
    <row r="22" spans="2:19" x14ac:dyDescent="0.3">
      <c r="E22" s="5"/>
      <c r="F22" s="15"/>
      <c r="G22" s="16"/>
      <c r="H22" s="17"/>
      <c r="I22" s="16"/>
      <c r="J22" s="17"/>
    </row>
    <row r="23" spans="2:19" ht="14.4" customHeight="1" x14ac:dyDescent="0.3">
      <c r="E23" s="18"/>
      <c r="F23" s="2"/>
      <c r="G23" s="24"/>
      <c r="H23" s="26"/>
      <c r="I23" s="24"/>
      <c r="J23" s="26"/>
      <c r="K23" s="16"/>
      <c r="L23" s="17"/>
    </row>
    <row r="24" spans="2:19" x14ac:dyDescent="0.3">
      <c r="E24" s="1"/>
      <c r="F24" s="2"/>
      <c r="G24" s="24"/>
      <c r="H24" s="26"/>
      <c r="I24" s="24"/>
      <c r="J24" s="26"/>
      <c r="K24" s="19"/>
      <c r="L24" s="20"/>
    </row>
    <row r="25" spans="2:19" x14ac:dyDescent="0.3">
      <c r="E25" s="1"/>
      <c r="F25" s="2"/>
      <c r="G25" s="24"/>
      <c r="H25" s="26"/>
      <c r="I25" s="24"/>
      <c r="J25" s="26"/>
      <c r="K25" s="19"/>
      <c r="L25" s="20"/>
    </row>
    <row r="26" spans="2:19" x14ac:dyDescent="0.3">
      <c r="E26" s="1"/>
      <c r="F26" s="2"/>
      <c r="G26" s="19"/>
      <c r="H26" s="21"/>
      <c r="I26" s="19"/>
      <c r="J26" s="21"/>
      <c r="K26" s="19"/>
      <c r="L26" s="20"/>
    </row>
    <row r="27" spans="2:19" x14ac:dyDescent="0.3">
      <c r="E27" s="1"/>
      <c r="F27" s="2"/>
      <c r="G27" s="22"/>
      <c r="H27" s="21"/>
      <c r="I27" s="22"/>
      <c r="J27" s="21"/>
      <c r="K27" s="19"/>
      <c r="L27" s="21"/>
    </row>
    <row r="28" spans="2:19" x14ac:dyDescent="0.3">
      <c r="E28" s="2"/>
      <c r="F28" s="23"/>
      <c r="G28" s="4"/>
      <c r="H28" s="4"/>
      <c r="I28" s="4"/>
      <c r="K28" s="22"/>
      <c r="L28" s="21"/>
    </row>
    <row r="29" spans="2:19" x14ac:dyDescent="0.3">
      <c r="E29" s="2"/>
      <c r="F29" s="3"/>
      <c r="G29" s="4"/>
      <c r="H29" s="4"/>
      <c r="I29" s="4"/>
      <c r="K29" s="4"/>
    </row>
    <row r="30" spans="2:19" ht="14.4" customHeight="1" x14ac:dyDescent="0.3">
      <c r="E30" s="18"/>
      <c r="F30" s="2"/>
      <c r="G30" s="24"/>
      <c r="H30" s="26"/>
      <c r="I30" s="26"/>
      <c r="J30" s="26"/>
      <c r="K30" s="4"/>
    </row>
    <row r="31" spans="2:19" x14ac:dyDescent="0.3">
      <c r="E31" s="1"/>
      <c r="F31" s="2"/>
      <c r="G31" s="24"/>
      <c r="H31" s="26"/>
      <c r="I31" s="26"/>
      <c r="J31" s="26"/>
    </row>
    <row r="32" spans="2:19" x14ac:dyDescent="0.3">
      <c r="E32" s="1"/>
      <c r="F32" s="2"/>
      <c r="G32" s="24"/>
      <c r="H32" s="26"/>
      <c r="I32" s="26"/>
      <c r="J32" s="26"/>
    </row>
    <row r="33" spans="5:10" x14ac:dyDescent="0.3">
      <c r="E33" s="1"/>
      <c r="F33" s="2"/>
      <c r="G33" s="19"/>
      <c r="H33" s="21"/>
      <c r="I33" s="19"/>
      <c r="J33" s="21"/>
    </row>
    <row r="34" spans="5:10" x14ac:dyDescent="0.3">
      <c r="E34" s="1"/>
      <c r="F34" s="2"/>
      <c r="G34" s="22"/>
      <c r="H34" s="21"/>
    </row>
    <row r="35" spans="5:10" x14ac:dyDescent="0.3">
      <c r="E35" s="2"/>
      <c r="F35" s="3"/>
      <c r="G35" s="25"/>
      <c r="H35" s="25"/>
      <c r="I35" s="4"/>
    </row>
    <row r="36" spans="5:10" x14ac:dyDescent="0.3">
      <c r="E36" s="2"/>
      <c r="F36" s="3"/>
      <c r="G36" s="25"/>
      <c r="H36" s="25"/>
      <c r="I36" s="4"/>
    </row>
  </sheetData>
  <mergeCells count="4">
    <mergeCell ref="C2:G2"/>
    <mergeCell ref="C11:I11"/>
    <mergeCell ref="M2:Q2"/>
    <mergeCell ref="M11:S11"/>
  </mergeCells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FBC3-1296-4720-ADD7-B03D36C622AB}">
  <dimension ref="B2:S38"/>
  <sheetViews>
    <sheetView workbookViewId="0">
      <selection activeCell="C4" sqref="C4"/>
    </sheetView>
  </sheetViews>
  <sheetFormatPr defaultRowHeight="14.4" x14ac:dyDescent="0.3"/>
  <cols>
    <col min="7" max="7" width="11.88671875" bestFit="1" customWidth="1"/>
    <col min="8" max="8" width="12.88671875" bestFit="1" customWidth="1"/>
    <col min="17" max="17" width="11.88671875" bestFit="1" customWidth="1"/>
    <col min="18" max="18" width="12.88671875" bestFit="1" customWidth="1"/>
  </cols>
  <sheetData>
    <row r="2" spans="2:19" x14ac:dyDescent="0.3">
      <c r="C2" s="28" t="s">
        <v>14</v>
      </c>
      <c r="D2" s="28"/>
      <c r="E2" s="28"/>
      <c r="F2" s="28"/>
      <c r="G2" s="28"/>
      <c r="M2" s="28" t="s">
        <v>16</v>
      </c>
      <c r="N2" s="28"/>
      <c r="O2" s="28"/>
      <c r="P2" s="28"/>
      <c r="Q2" s="28"/>
    </row>
    <row r="3" spans="2:19" x14ac:dyDescent="0.3">
      <c r="B3" s="5"/>
      <c r="C3" s="13" t="s">
        <v>0</v>
      </c>
      <c r="D3" s="13" t="s">
        <v>3</v>
      </c>
      <c r="E3" s="13" t="s">
        <v>7</v>
      </c>
      <c r="F3" s="13" t="s">
        <v>4</v>
      </c>
      <c r="G3" s="13" t="s">
        <v>11</v>
      </c>
      <c r="H3" s="15"/>
      <c r="L3" s="5"/>
      <c r="M3" s="13" t="s">
        <v>0</v>
      </c>
      <c r="N3" s="13" t="s">
        <v>3</v>
      </c>
      <c r="O3" s="13" t="s">
        <v>7</v>
      </c>
      <c r="P3" s="13" t="s">
        <v>4</v>
      </c>
      <c r="Q3" s="13" t="s">
        <v>11</v>
      </c>
    </row>
    <row r="4" spans="2:19" x14ac:dyDescent="0.3">
      <c r="B4" s="14" t="s">
        <v>5</v>
      </c>
      <c r="C4" s="2">
        <v>1</v>
      </c>
      <c r="D4" s="11">
        <v>1.22520900088421</v>
      </c>
      <c r="E4" s="11">
        <v>0.89193726489832703</v>
      </c>
      <c r="F4" s="11">
        <v>2.6700262628303602</v>
      </c>
      <c r="G4" s="11">
        <v>0.63218099999999999</v>
      </c>
      <c r="L4" s="14" t="s">
        <v>5</v>
      </c>
      <c r="M4" s="2">
        <f>LOG(C4,2)</f>
        <v>0</v>
      </c>
      <c r="N4" s="27">
        <f t="shared" ref="N4:Q7" si="0">LOG(D4,2)</f>
        <v>0.29302787071365682</v>
      </c>
      <c r="O4" s="27">
        <f t="shared" si="0"/>
        <v>-0.1649858542518278</v>
      </c>
      <c r="P4" s="27">
        <f t="shared" si="0"/>
        <v>1.4168539325752927</v>
      </c>
      <c r="Q4" s="27">
        <f t="shared" si="0"/>
        <v>-0.66159041873652058</v>
      </c>
    </row>
    <row r="5" spans="2:19" x14ac:dyDescent="0.3">
      <c r="B5" s="1"/>
      <c r="C5" s="2">
        <v>1</v>
      </c>
      <c r="D5" s="11">
        <v>1.10395007293092</v>
      </c>
      <c r="E5" s="11">
        <v>1.35357658274346</v>
      </c>
      <c r="F5" s="11">
        <v>2.39053501042401</v>
      </c>
      <c r="G5" s="11">
        <v>1.0377772484166401</v>
      </c>
      <c r="L5" s="1"/>
      <c r="M5" s="2">
        <f t="shared" ref="M5:M7" si="1">LOG(C5,2)</f>
        <v>0</v>
      </c>
      <c r="N5" s="27">
        <f t="shared" si="0"/>
        <v>0.14267492649675101</v>
      </c>
      <c r="O5" s="27">
        <f t="shared" si="0"/>
        <v>0.43677651475540302</v>
      </c>
      <c r="P5" s="27">
        <f t="shared" si="0"/>
        <v>1.2573335347361121</v>
      </c>
      <c r="Q5" s="27">
        <f t="shared" si="0"/>
        <v>5.3496812586634857E-2</v>
      </c>
    </row>
    <row r="6" spans="2:19" x14ac:dyDescent="0.3">
      <c r="B6" s="1"/>
      <c r="C6" s="2">
        <v>1</v>
      </c>
      <c r="D6" s="11">
        <v>2.311612520113</v>
      </c>
      <c r="E6" s="11">
        <v>0.66086743710253304</v>
      </c>
      <c r="F6" s="11">
        <v>2.8005420613248702</v>
      </c>
      <c r="G6" s="11">
        <v>0.95650974901388497</v>
      </c>
      <c r="L6" s="1"/>
      <c r="M6" s="2">
        <f t="shared" si="1"/>
        <v>0</v>
      </c>
      <c r="N6" s="27">
        <f t="shared" si="0"/>
        <v>1.2088995889455256</v>
      </c>
      <c r="O6" s="27">
        <f t="shared" si="0"/>
        <v>-0.59756718323703994</v>
      </c>
      <c r="P6" s="27">
        <f t="shared" si="0"/>
        <v>1.4857060962763842</v>
      </c>
      <c r="Q6" s="27">
        <f t="shared" si="0"/>
        <v>-6.4148421891187746E-2</v>
      </c>
    </row>
    <row r="7" spans="2:19" x14ac:dyDescent="0.3">
      <c r="B7" s="1"/>
      <c r="C7" s="2">
        <v>1</v>
      </c>
      <c r="D7" s="11">
        <v>2.2844116133974302</v>
      </c>
      <c r="E7" s="11">
        <v>2.0660985031829702</v>
      </c>
      <c r="F7" s="11">
        <v>2.6936123475297298</v>
      </c>
      <c r="G7" s="11"/>
      <c r="L7" s="1"/>
      <c r="M7" s="2">
        <f t="shared" si="1"/>
        <v>0</v>
      </c>
      <c r="N7" s="27">
        <f t="shared" si="0"/>
        <v>1.1918226240390168</v>
      </c>
      <c r="O7" s="27">
        <f t="shared" si="0"/>
        <v>1.0469090376811496</v>
      </c>
      <c r="P7" s="27">
        <f t="shared" si="0"/>
        <v>1.4295422396131681</v>
      </c>
      <c r="Q7" s="27"/>
    </row>
    <row r="8" spans="2:19" x14ac:dyDescent="0.3">
      <c r="B8" s="6" t="s">
        <v>1</v>
      </c>
      <c r="C8" s="7">
        <f>AVERAGE(C4:C7)</f>
        <v>1</v>
      </c>
      <c r="D8" s="8">
        <f>AVERAGE(D4:D7)</f>
        <v>1.73129580183139</v>
      </c>
      <c r="E8" s="8">
        <f t="shared" ref="E8:G8" si="2">AVERAGE(E4:E7)</f>
        <v>1.2431199469818224</v>
      </c>
      <c r="F8" s="8">
        <f t="shared" si="2"/>
        <v>2.6386789205272425</v>
      </c>
      <c r="G8" s="8">
        <f t="shared" si="2"/>
        <v>0.87548933247684158</v>
      </c>
      <c r="L8" s="6" t="s">
        <v>1</v>
      </c>
      <c r="M8" s="7">
        <f>AVERAGE(M4:M7)</f>
        <v>0</v>
      </c>
      <c r="N8" s="8">
        <f>AVERAGE(N4:N7)</f>
        <v>0.70910625254873749</v>
      </c>
      <c r="O8" s="8">
        <f t="shared" ref="O8:Q8" si="3">AVERAGE(O4:O7)</f>
        <v>0.18028312873692123</v>
      </c>
      <c r="P8" s="8">
        <f t="shared" si="3"/>
        <v>1.3973589508002391</v>
      </c>
      <c r="Q8" s="8">
        <f t="shared" si="3"/>
        <v>-0.22408067601369117</v>
      </c>
    </row>
    <row r="9" spans="2:19" x14ac:dyDescent="0.3">
      <c r="B9" s="6" t="s">
        <v>2</v>
      </c>
      <c r="C9" s="9">
        <f>_xlfn.STDEV.P(C4:C7)</f>
        <v>0</v>
      </c>
      <c r="D9" s="8">
        <f>_xlfn.STDEV.P(D4:D7)</f>
        <v>0.56841690425780556</v>
      </c>
      <c r="E9" s="8">
        <f>_xlfn.STDEV.P(E4:E7)</f>
        <v>0.53661942608491064</v>
      </c>
      <c r="F9" s="8">
        <f>_xlfn.STDEV.P(F4:F7)</f>
        <v>0.15147228603105933</v>
      </c>
      <c r="G9" s="8">
        <f>_xlfn.STDEV.P(G4:G7)</f>
        <v>0.1752147446312487</v>
      </c>
      <c r="L9" s="6" t="s">
        <v>2</v>
      </c>
      <c r="M9" s="9">
        <f>_xlfn.STDEV.P(M4:M7)</f>
        <v>0</v>
      </c>
      <c r="N9" s="8">
        <f>_xlfn.STDEV.P(N4:N7)</f>
        <v>0.494159423004076</v>
      </c>
      <c r="O9" s="8">
        <f>_xlfn.STDEV.P(O4:O7)</f>
        <v>0.62070345205595356</v>
      </c>
      <c r="P9" s="8">
        <f>_xlfn.STDEV.P(P4:P7)</f>
        <v>8.4894277856256431E-2</v>
      </c>
      <c r="Q9" s="8">
        <f>_xlfn.STDEV.P(Q4:Q7)</f>
        <v>0.31307207001145149</v>
      </c>
    </row>
    <row r="10" spans="2:19" x14ac:dyDescent="0.3">
      <c r="B10" s="2"/>
      <c r="C10" s="3"/>
      <c r="D10" s="4"/>
      <c r="E10" s="4"/>
      <c r="F10" s="4"/>
    </row>
    <row r="11" spans="2:19" x14ac:dyDescent="0.3">
      <c r="B11" s="2"/>
      <c r="C11" s="3"/>
      <c r="D11" s="4"/>
      <c r="E11" s="4"/>
      <c r="F11" s="4"/>
    </row>
    <row r="12" spans="2:19" x14ac:dyDescent="0.3">
      <c r="B12" s="2"/>
      <c r="C12" s="28" t="s">
        <v>14</v>
      </c>
      <c r="D12" s="28"/>
      <c r="E12" s="28"/>
      <c r="F12" s="28"/>
      <c r="G12" s="28"/>
      <c r="H12" s="28"/>
      <c r="I12" s="28"/>
      <c r="L12" s="2"/>
      <c r="M12" s="28" t="s">
        <v>16</v>
      </c>
      <c r="N12" s="28"/>
      <c r="O12" s="28"/>
      <c r="P12" s="28"/>
      <c r="Q12" s="28"/>
      <c r="R12" s="28"/>
      <c r="S12" s="28"/>
    </row>
    <row r="13" spans="2:19" x14ac:dyDescent="0.3">
      <c r="B13" s="2"/>
      <c r="C13" s="13" t="s">
        <v>0</v>
      </c>
      <c r="D13" s="13" t="s">
        <v>3</v>
      </c>
      <c r="E13" s="13" t="s">
        <v>7</v>
      </c>
      <c r="F13" s="13" t="s">
        <v>4</v>
      </c>
      <c r="G13" s="13" t="s">
        <v>8</v>
      </c>
      <c r="H13" s="13" t="s">
        <v>9</v>
      </c>
      <c r="I13" s="13" t="s">
        <v>10</v>
      </c>
      <c r="L13" s="2"/>
      <c r="M13" s="13" t="s">
        <v>0</v>
      </c>
      <c r="N13" s="13" t="s">
        <v>3</v>
      </c>
      <c r="O13" s="13" t="s">
        <v>7</v>
      </c>
      <c r="P13" s="13" t="s">
        <v>4</v>
      </c>
      <c r="Q13" s="13" t="s">
        <v>8</v>
      </c>
      <c r="R13" s="13" t="s">
        <v>9</v>
      </c>
      <c r="S13" s="13" t="s">
        <v>10</v>
      </c>
    </row>
    <row r="14" spans="2:19" x14ac:dyDescent="0.3">
      <c r="B14" s="14" t="s">
        <v>6</v>
      </c>
      <c r="C14" s="2">
        <v>1</v>
      </c>
      <c r="D14" s="11">
        <v>1.0984318894610401</v>
      </c>
      <c r="E14" s="11">
        <v>1.7017597401547899</v>
      </c>
      <c r="F14" s="12">
        <v>2.6210429188850499</v>
      </c>
      <c r="G14" s="12">
        <v>1.13986456526881</v>
      </c>
      <c r="H14" s="12">
        <v>2.5227499999999998</v>
      </c>
      <c r="I14" s="12">
        <v>0.76800000000000002</v>
      </c>
      <c r="L14" s="14" t="s">
        <v>6</v>
      </c>
      <c r="M14" s="2">
        <f>LOG(C14,2)</f>
        <v>0</v>
      </c>
      <c r="N14" s="27">
        <f t="shared" ref="N14:S17" si="4">LOG(D14,2)</f>
        <v>0.13544541524756287</v>
      </c>
      <c r="O14" s="27">
        <f t="shared" si="4"/>
        <v>0.76702736713278674</v>
      </c>
      <c r="P14" s="27">
        <f t="shared" si="4"/>
        <v>1.3901409776097362</v>
      </c>
      <c r="Q14" s="27">
        <f t="shared" si="4"/>
        <v>0.18886241858086641</v>
      </c>
      <c r="R14" s="27">
        <f t="shared" si="4"/>
        <v>1.3349972449068834</v>
      </c>
      <c r="S14" s="27">
        <f t="shared" si="4"/>
        <v>-0.3808217839409308</v>
      </c>
    </row>
    <row r="15" spans="2:19" x14ac:dyDescent="0.3">
      <c r="B15" s="1"/>
      <c r="C15" s="2">
        <v>1</v>
      </c>
      <c r="D15" s="11">
        <v>1.67029770991893</v>
      </c>
      <c r="E15" s="11">
        <v>1.35057058462337</v>
      </c>
      <c r="F15" s="11">
        <v>2.0521335332116601</v>
      </c>
      <c r="G15" s="12">
        <v>0.74711797928816504</v>
      </c>
      <c r="H15" s="12">
        <v>0.64338510924674097</v>
      </c>
      <c r="I15" s="12">
        <v>0.54341059455082796</v>
      </c>
      <c r="L15" s="1"/>
      <c r="M15" s="2">
        <f t="shared" ref="M15:M17" si="5">LOG(C15,2)</f>
        <v>0</v>
      </c>
      <c r="N15" s="27">
        <f t="shared" si="4"/>
        <v>0.74010526817504296</v>
      </c>
      <c r="O15" s="27">
        <f t="shared" si="4"/>
        <v>0.4335690411242118</v>
      </c>
      <c r="P15" s="27">
        <f t="shared" si="4"/>
        <v>1.0371246107862369</v>
      </c>
      <c r="Q15" s="27">
        <f t="shared" si="4"/>
        <v>-0.42059201426340209</v>
      </c>
      <c r="R15" s="27">
        <f t="shared" si="4"/>
        <v>-0.63624554880109896</v>
      </c>
      <c r="S15" s="27">
        <f t="shared" si="4"/>
        <v>-0.87988540169232443</v>
      </c>
    </row>
    <row r="16" spans="2:19" x14ac:dyDescent="0.3">
      <c r="B16" s="1"/>
      <c r="C16" s="2">
        <v>1</v>
      </c>
      <c r="D16" s="11">
        <v>2.0389518948374201</v>
      </c>
      <c r="E16" s="11">
        <v>1.1844733829951399</v>
      </c>
      <c r="F16" s="11">
        <v>2.5099720645989301</v>
      </c>
      <c r="G16" s="12">
        <v>0.209386618717263</v>
      </c>
      <c r="H16" s="12">
        <v>0.69222785706132794</v>
      </c>
      <c r="I16" s="12">
        <v>0.63370821525303</v>
      </c>
      <c r="L16" s="1"/>
      <c r="M16" s="2">
        <f t="shared" si="5"/>
        <v>0</v>
      </c>
      <c r="N16" s="27">
        <f t="shared" si="4"/>
        <v>1.0278277381312719</v>
      </c>
      <c r="O16" s="27">
        <f t="shared" si="4"/>
        <v>0.24424577928530436</v>
      </c>
      <c r="P16" s="27">
        <f t="shared" si="4"/>
        <v>1.3276713074075752</v>
      </c>
      <c r="Q16" s="27">
        <f t="shared" si="4"/>
        <v>-2.2557588480680142</v>
      </c>
      <c r="R16" s="27">
        <f t="shared" si="4"/>
        <v>-0.53068109439012645</v>
      </c>
      <c r="S16" s="27">
        <f t="shared" si="4"/>
        <v>-0.6581093764552024</v>
      </c>
    </row>
    <row r="17" spans="2:19" x14ac:dyDescent="0.3">
      <c r="B17" s="1"/>
      <c r="C17" s="2">
        <v>1</v>
      </c>
      <c r="D17" s="11">
        <v>1.5675649799274001</v>
      </c>
      <c r="E17" s="11">
        <v>1.44322516892578</v>
      </c>
      <c r="F17" s="11">
        <v>1.86467267330672</v>
      </c>
      <c r="G17" s="12"/>
      <c r="H17" s="12"/>
      <c r="I17" s="12"/>
      <c r="L17" s="1"/>
      <c r="M17" s="2">
        <f t="shared" si="5"/>
        <v>0</v>
      </c>
      <c r="N17" s="27">
        <f t="shared" si="4"/>
        <v>0.64852524798806055</v>
      </c>
      <c r="O17" s="27">
        <f t="shared" si="4"/>
        <v>0.52929640360600394</v>
      </c>
      <c r="P17" s="27">
        <f t="shared" si="4"/>
        <v>0.89892240043073546</v>
      </c>
      <c r="Q17" s="27"/>
      <c r="R17" s="27"/>
      <c r="S17" s="27"/>
    </row>
    <row r="18" spans="2:19" x14ac:dyDescent="0.3">
      <c r="B18" s="6" t="s">
        <v>1</v>
      </c>
      <c r="C18" s="9">
        <f>AVERAGE(C14:C17)</f>
        <v>1</v>
      </c>
      <c r="D18" s="10">
        <f>AVERAGE(D14:D17)</f>
        <v>1.5938116185361975</v>
      </c>
      <c r="E18" s="8">
        <f>AVERAGE(E14:E17)</f>
        <v>1.4200072191747699</v>
      </c>
      <c r="F18" s="8">
        <f>AVERAGE(F14:F17)</f>
        <v>2.2619552975005899</v>
      </c>
      <c r="G18" s="8">
        <f t="shared" ref="G18:I18" si="6">AVERAGE(G14:G17)</f>
        <v>0.69878972109141257</v>
      </c>
      <c r="H18" s="8">
        <f t="shared" si="6"/>
        <v>1.2861209887693563</v>
      </c>
      <c r="I18" s="8">
        <f t="shared" si="6"/>
        <v>0.64837293660128603</v>
      </c>
      <c r="L18" s="6" t="s">
        <v>1</v>
      </c>
      <c r="M18" s="9">
        <f>AVERAGE(M14:M17)</f>
        <v>0</v>
      </c>
      <c r="N18" s="10">
        <f>AVERAGE(N14:N17)</f>
        <v>0.63797591738548465</v>
      </c>
      <c r="O18" s="8">
        <f>AVERAGE(O14:O17)</f>
        <v>0.49353464778707667</v>
      </c>
      <c r="P18" s="8">
        <f>AVERAGE(P14:P17)</f>
        <v>1.163464824058571</v>
      </c>
      <c r="Q18" s="8">
        <f t="shared" ref="Q18:S18" si="7">AVERAGE(Q14:Q17)</f>
        <v>-0.82916281458351671</v>
      </c>
      <c r="R18" s="8">
        <f t="shared" si="7"/>
        <v>5.6023533905219337E-2</v>
      </c>
      <c r="S18" s="8">
        <f t="shared" si="7"/>
        <v>-0.63960552069615251</v>
      </c>
    </row>
    <row r="19" spans="2:19" x14ac:dyDescent="0.3">
      <c r="B19" s="6" t="s">
        <v>2</v>
      </c>
      <c r="C19" s="9">
        <f>_xlfn.STDEV.P(C14:C17)</f>
        <v>0</v>
      </c>
      <c r="D19" s="10">
        <f>_xlfn.STDEV.P(D14:D17)</f>
        <v>0.33544371725275135</v>
      </c>
      <c r="E19" s="8">
        <f>_xlfn.STDEV.P(E14:E17)</f>
        <v>0.18723060011157178</v>
      </c>
      <c r="F19" s="8">
        <f>_xlfn.STDEV.P(F14:F17)</f>
        <v>0.31317522764785771</v>
      </c>
      <c r="G19" s="8">
        <f t="shared" ref="G19:I19" si="8">_xlfn.STDEV.P(G14:G17)</f>
        <v>0.38140006787269531</v>
      </c>
      <c r="H19" s="8">
        <f t="shared" si="8"/>
        <v>0.87465607986471972</v>
      </c>
      <c r="I19" s="8">
        <f t="shared" si="8"/>
        <v>9.2272750759797476E-2</v>
      </c>
      <c r="L19" s="6" t="s">
        <v>2</v>
      </c>
      <c r="M19" s="9">
        <f>_xlfn.STDEV.P(M14:M17)</f>
        <v>0</v>
      </c>
      <c r="N19" s="10">
        <f>_xlfn.STDEV.P(N14:N17)</f>
        <v>0.32212693165375661</v>
      </c>
      <c r="O19" s="8">
        <f>_xlfn.STDEV.P(O14:O17)</f>
        <v>0.1882936434506641</v>
      </c>
      <c r="P19" s="8">
        <f>_xlfn.STDEV.P(P14:P17)</f>
        <v>0.20266375548626442</v>
      </c>
      <c r="Q19" s="8">
        <f t="shared" ref="Q19:S19" si="9">_xlfn.STDEV.P(Q14:Q17)</f>
        <v>1.0389869612571849</v>
      </c>
      <c r="R19" s="8">
        <f t="shared" si="9"/>
        <v>0.90539725299038309</v>
      </c>
      <c r="S19" s="8">
        <f t="shared" si="9"/>
        <v>0.20416156698268975</v>
      </c>
    </row>
    <row r="23" spans="2:19" x14ac:dyDescent="0.3">
      <c r="I23" s="5"/>
      <c r="J23" s="5"/>
      <c r="K23" s="5"/>
      <c r="L23" s="5"/>
      <c r="M23" s="5"/>
      <c r="N23" s="5"/>
    </row>
    <row r="24" spans="2:19" x14ac:dyDescent="0.3"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2:19" x14ac:dyDescent="0.3"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9" x14ac:dyDescent="0.3"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9" x14ac:dyDescent="0.3"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2:19" x14ac:dyDescent="0.3"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2:19" x14ac:dyDescent="0.3"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2:19" x14ac:dyDescent="0.3"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2:19" x14ac:dyDescent="0.3">
      <c r="E31" s="5"/>
      <c r="F31" s="5"/>
      <c r="G31" s="5"/>
      <c r="H31" s="5"/>
      <c r="I31" s="5"/>
      <c r="J31" s="5"/>
      <c r="K31" s="5"/>
      <c r="L31" s="5"/>
      <c r="M31" s="5"/>
    </row>
    <row r="32" spans="2:19" x14ac:dyDescent="0.3">
      <c r="E32" s="5"/>
      <c r="F32" s="5"/>
      <c r="G32" s="5"/>
      <c r="H32" s="5"/>
      <c r="I32" s="5"/>
      <c r="J32" s="5"/>
      <c r="K32" s="5"/>
      <c r="L32" s="5"/>
      <c r="M32" s="5"/>
    </row>
    <row r="33" spans="5:13" x14ac:dyDescent="0.3">
      <c r="E33" s="5"/>
      <c r="F33" s="5"/>
      <c r="G33" s="5"/>
      <c r="H33" s="5"/>
      <c r="I33" s="5"/>
      <c r="J33" s="5"/>
      <c r="K33" s="5"/>
      <c r="L33" s="5"/>
      <c r="M33" s="5"/>
    </row>
    <row r="34" spans="5:13" x14ac:dyDescent="0.3">
      <c r="E34" s="5"/>
      <c r="F34" s="5"/>
      <c r="G34" s="5"/>
      <c r="H34" s="5"/>
      <c r="I34" s="5"/>
      <c r="J34" s="5"/>
      <c r="K34" s="5"/>
      <c r="L34" s="5"/>
      <c r="M34" s="5"/>
    </row>
    <row r="35" spans="5:13" x14ac:dyDescent="0.3">
      <c r="E35" s="5"/>
      <c r="F35" s="5"/>
      <c r="G35" s="5"/>
      <c r="H35" s="5"/>
      <c r="I35" s="5"/>
      <c r="J35" s="5"/>
      <c r="K35" s="5"/>
      <c r="L35" s="5"/>
      <c r="M35" s="5"/>
    </row>
    <row r="36" spans="5:13" x14ac:dyDescent="0.3">
      <c r="E36" s="5"/>
      <c r="F36" s="5"/>
      <c r="G36" s="5"/>
      <c r="H36" s="5"/>
      <c r="I36" s="5"/>
      <c r="J36" s="5"/>
      <c r="K36" s="5"/>
      <c r="L36" s="5"/>
      <c r="M36" s="5"/>
    </row>
    <row r="37" spans="5:13" x14ac:dyDescent="0.3">
      <c r="E37" s="5"/>
      <c r="F37" s="5"/>
      <c r="G37" s="5"/>
      <c r="H37" s="5"/>
      <c r="I37" s="5"/>
      <c r="J37" s="5"/>
      <c r="K37" s="5"/>
      <c r="L37" s="5"/>
      <c r="M37" s="5"/>
    </row>
    <row r="38" spans="5:13" x14ac:dyDescent="0.3">
      <c r="E38" s="5"/>
      <c r="F38" s="5"/>
      <c r="G38" s="5"/>
      <c r="H38" s="5"/>
      <c r="I38" s="5"/>
      <c r="J38" s="5"/>
      <c r="K38" s="5"/>
      <c r="L38" s="5"/>
      <c r="M38" s="5"/>
    </row>
  </sheetData>
  <mergeCells count="4">
    <mergeCell ref="C2:G2"/>
    <mergeCell ref="C12:I12"/>
    <mergeCell ref="M2:Q2"/>
    <mergeCell ref="M12:S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E03F-0242-4271-AF42-6AF68C9D4665}">
  <dimension ref="B2:S39"/>
  <sheetViews>
    <sheetView workbookViewId="0">
      <selection activeCell="C4" sqref="C4"/>
    </sheetView>
  </sheetViews>
  <sheetFormatPr defaultRowHeight="14.4" x14ac:dyDescent="0.3"/>
  <cols>
    <col min="7" max="7" width="11.88671875" bestFit="1" customWidth="1"/>
    <col min="8" max="8" width="12.88671875" bestFit="1" customWidth="1"/>
    <col min="17" max="17" width="11.88671875" bestFit="1" customWidth="1"/>
    <col min="18" max="18" width="12.88671875" bestFit="1" customWidth="1"/>
  </cols>
  <sheetData>
    <row r="2" spans="2:19" x14ac:dyDescent="0.3">
      <c r="C2" s="28" t="s">
        <v>15</v>
      </c>
      <c r="D2" s="28"/>
      <c r="E2" s="28"/>
      <c r="F2" s="28"/>
      <c r="G2" s="28"/>
      <c r="M2" s="28" t="s">
        <v>17</v>
      </c>
      <c r="N2" s="28"/>
      <c r="O2" s="28"/>
      <c r="P2" s="28"/>
      <c r="Q2" s="28"/>
    </row>
    <row r="3" spans="2:19" x14ac:dyDescent="0.3">
      <c r="B3" s="5"/>
      <c r="C3" s="13" t="s">
        <v>0</v>
      </c>
      <c r="D3" s="13" t="s">
        <v>3</v>
      </c>
      <c r="E3" s="13" t="s">
        <v>7</v>
      </c>
      <c r="F3" s="13" t="s">
        <v>4</v>
      </c>
      <c r="G3" s="13" t="s">
        <v>11</v>
      </c>
      <c r="H3" s="15"/>
      <c r="L3" s="5"/>
      <c r="M3" s="13" t="s">
        <v>0</v>
      </c>
      <c r="N3" s="13" t="s">
        <v>3</v>
      </c>
      <c r="O3" s="13" t="s">
        <v>7</v>
      </c>
      <c r="P3" s="13" t="s">
        <v>4</v>
      </c>
      <c r="Q3" s="13" t="s">
        <v>11</v>
      </c>
    </row>
    <row r="4" spans="2:19" x14ac:dyDescent="0.3">
      <c r="B4" s="14" t="s">
        <v>5</v>
      </c>
      <c r="C4" s="2">
        <v>1</v>
      </c>
      <c r="D4" s="11">
        <v>1.4703311615894601</v>
      </c>
      <c r="E4" s="11">
        <v>0.90446602822407796</v>
      </c>
      <c r="F4" s="11">
        <v>0.93155812134971405</v>
      </c>
      <c r="G4" s="11">
        <v>0.63009917304688001</v>
      </c>
      <c r="L4" s="14" t="s">
        <v>5</v>
      </c>
      <c r="M4" s="2">
        <f>LOG(C4,2)</f>
        <v>0</v>
      </c>
      <c r="N4" s="27">
        <f t="shared" ref="N4:Q7" si="0">LOG(D4,2)</f>
        <v>0.55614112878644217</v>
      </c>
      <c r="O4" s="27">
        <f t="shared" si="0"/>
        <v>-0.14486177869984795</v>
      </c>
      <c r="P4" s="27">
        <f t="shared" si="0"/>
        <v>-0.10228231094091193</v>
      </c>
      <c r="Q4" s="27">
        <f t="shared" si="0"/>
        <v>-0.66634917865142207</v>
      </c>
    </row>
    <row r="5" spans="2:19" x14ac:dyDescent="0.3">
      <c r="B5" s="1"/>
      <c r="C5" s="2">
        <v>1</v>
      </c>
      <c r="D5" s="11">
        <v>1.1709815015813201</v>
      </c>
      <c r="E5" s="11">
        <v>0.82252035934487899</v>
      </c>
      <c r="F5" s="11">
        <v>1.0243448466629399</v>
      </c>
      <c r="G5" s="11">
        <v>0.81027113342621104</v>
      </c>
      <c r="L5" s="1"/>
      <c r="M5" s="2">
        <f t="shared" ref="M5:M7" si="1">LOG(C5,2)</f>
        <v>0</v>
      </c>
      <c r="N5" s="27">
        <f t="shared" si="0"/>
        <v>0.22771828524332161</v>
      </c>
      <c r="O5" s="27">
        <f t="shared" si="0"/>
        <v>-0.28187670544693366</v>
      </c>
      <c r="P5" s="27">
        <f t="shared" si="0"/>
        <v>3.4701481761473245E-2</v>
      </c>
      <c r="Q5" s="27">
        <f t="shared" si="0"/>
        <v>-0.30352335059808028</v>
      </c>
    </row>
    <row r="6" spans="2:19" x14ac:dyDescent="0.3">
      <c r="B6" s="1"/>
      <c r="C6" s="2">
        <v>1</v>
      </c>
      <c r="D6" s="11">
        <v>1.1014634755281401</v>
      </c>
      <c r="E6" s="11">
        <v>1.0504873426508099</v>
      </c>
      <c r="F6" s="11">
        <v>1.11436914438737</v>
      </c>
      <c r="G6" s="11">
        <v>0.70624433874567805</v>
      </c>
      <c r="L6" s="1"/>
      <c r="M6" s="2">
        <f t="shared" si="1"/>
        <v>0</v>
      </c>
      <c r="N6" s="27">
        <f t="shared" si="0"/>
        <v>0.13942165613904703</v>
      </c>
      <c r="O6" s="27">
        <f t="shared" si="0"/>
        <v>7.1058779045781645E-2</v>
      </c>
      <c r="P6" s="27">
        <f t="shared" si="0"/>
        <v>0.15622721702200515</v>
      </c>
      <c r="Q6" s="27">
        <f t="shared" si="0"/>
        <v>-0.501760697068664</v>
      </c>
    </row>
    <row r="7" spans="2:19" x14ac:dyDescent="0.3">
      <c r="B7" s="1"/>
      <c r="C7" s="2">
        <v>1</v>
      </c>
      <c r="D7" s="11">
        <v>1.08118341087201</v>
      </c>
      <c r="E7" s="11">
        <v>0.89991545053291799</v>
      </c>
      <c r="F7" s="11">
        <v>1.1524288917204499</v>
      </c>
      <c r="G7" s="11"/>
      <c r="L7" s="1"/>
      <c r="M7" s="2">
        <f t="shared" si="1"/>
        <v>0</v>
      </c>
      <c r="N7" s="27">
        <f t="shared" si="0"/>
        <v>0.11261128117661494</v>
      </c>
      <c r="O7" s="27">
        <f t="shared" si="0"/>
        <v>-0.15213863214151777</v>
      </c>
      <c r="P7" s="27">
        <f t="shared" si="0"/>
        <v>0.20467773483926724</v>
      </c>
      <c r="Q7" s="27"/>
    </row>
    <row r="8" spans="2:19" x14ac:dyDescent="0.3">
      <c r="B8" s="6" t="s">
        <v>1</v>
      </c>
      <c r="C8" s="7">
        <f>AVERAGE(C4:C7)</f>
        <v>1</v>
      </c>
      <c r="D8" s="8">
        <f>AVERAGE(D4:D7)</f>
        <v>1.2059898873927324</v>
      </c>
      <c r="E8" s="8">
        <f t="shared" ref="E8:G8" si="2">AVERAGE(E4:E7)</f>
        <v>0.91934729518817127</v>
      </c>
      <c r="F8" s="8">
        <f t="shared" si="2"/>
        <v>1.0556752510301184</v>
      </c>
      <c r="G8" s="8">
        <f t="shared" si="2"/>
        <v>0.71553821507292303</v>
      </c>
      <c r="L8" s="6" t="s">
        <v>1</v>
      </c>
      <c r="M8" s="7">
        <f>AVERAGE(M4:M7)</f>
        <v>0</v>
      </c>
      <c r="N8" s="8">
        <f>AVERAGE(N4:N7)</f>
        <v>0.25897308783635642</v>
      </c>
      <c r="O8" s="8">
        <f t="shared" ref="O8:Q8" si="3">AVERAGE(O4:O7)</f>
        <v>-0.12695458431062945</v>
      </c>
      <c r="P8" s="8">
        <f t="shared" si="3"/>
        <v>7.333103067045843E-2</v>
      </c>
      <c r="Q8" s="8">
        <f t="shared" si="3"/>
        <v>-0.49054440877272204</v>
      </c>
    </row>
    <row r="9" spans="2:19" x14ac:dyDescent="0.3">
      <c r="B9" s="6" t="s">
        <v>2</v>
      </c>
      <c r="C9" s="9">
        <f>_xlfn.STDEV.P(C4:C7)</f>
        <v>0</v>
      </c>
      <c r="D9" s="8">
        <f>_xlfn.STDEV.P(D4:D7)</f>
        <v>0.15620845342032322</v>
      </c>
      <c r="E9" s="8">
        <f>_xlfn.STDEV.P(E4:E7)</f>
        <v>8.2419985814222663E-2</v>
      </c>
      <c r="F9" s="8">
        <f>_xlfn.STDEV.P(F4:F7)</f>
        <v>8.5429643892180995E-2</v>
      </c>
      <c r="G9" s="8">
        <f>_xlfn.STDEV.P(G4:G7)</f>
        <v>7.384788839058444E-2</v>
      </c>
      <c r="L9" s="6" t="s">
        <v>2</v>
      </c>
      <c r="M9" s="9">
        <f>_xlfn.STDEV.P(M4:M7)</f>
        <v>0</v>
      </c>
      <c r="N9" s="8">
        <f>_xlfn.STDEV.P(N4:N7)</f>
        <v>0.17677671687528693</v>
      </c>
      <c r="O9" s="8">
        <f>_xlfn.STDEV.P(O4:O7)</f>
        <v>0.12665411517310787</v>
      </c>
      <c r="P9" s="8">
        <f>_xlfn.STDEV.P(P4:P7)</f>
        <v>0.11880238024600188</v>
      </c>
      <c r="Q9" s="8">
        <f>_xlfn.STDEV.P(Q4:Q7)</f>
        <v>0.14833520422341112</v>
      </c>
    </row>
    <row r="10" spans="2:19" x14ac:dyDescent="0.3">
      <c r="B10" s="2"/>
      <c r="C10" s="3"/>
      <c r="D10" s="4"/>
      <c r="E10" s="4"/>
      <c r="F10" s="4"/>
    </row>
    <row r="11" spans="2:19" x14ac:dyDescent="0.3">
      <c r="B11" s="2"/>
      <c r="C11" s="3"/>
      <c r="D11" s="4"/>
      <c r="E11" s="4"/>
      <c r="F11" s="4"/>
    </row>
    <row r="12" spans="2:19" x14ac:dyDescent="0.3">
      <c r="B12" s="2"/>
      <c r="C12" s="28" t="s">
        <v>15</v>
      </c>
      <c r="D12" s="28"/>
      <c r="E12" s="28"/>
      <c r="F12" s="28"/>
      <c r="G12" s="28"/>
      <c r="H12" s="28"/>
      <c r="I12" s="28"/>
      <c r="L12" s="2"/>
      <c r="M12" s="28" t="s">
        <v>17</v>
      </c>
      <c r="N12" s="28"/>
      <c r="O12" s="28"/>
      <c r="P12" s="28"/>
      <c r="Q12" s="28"/>
      <c r="R12" s="28"/>
      <c r="S12" s="28"/>
    </row>
    <row r="13" spans="2:19" x14ac:dyDescent="0.3">
      <c r="B13" s="2"/>
      <c r="C13" s="13" t="s">
        <v>0</v>
      </c>
      <c r="D13" s="13" t="s">
        <v>3</v>
      </c>
      <c r="E13" s="13" t="s">
        <v>7</v>
      </c>
      <c r="F13" s="13" t="s">
        <v>4</v>
      </c>
      <c r="G13" s="13" t="s">
        <v>8</v>
      </c>
      <c r="H13" s="13" t="s">
        <v>9</v>
      </c>
      <c r="I13" s="13" t="s">
        <v>10</v>
      </c>
      <c r="L13" s="2"/>
      <c r="M13" s="13" t="s">
        <v>0</v>
      </c>
      <c r="N13" s="13" t="s">
        <v>3</v>
      </c>
      <c r="O13" s="13" t="s">
        <v>7</v>
      </c>
      <c r="P13" s="13" t="s">
        <v>4</v>
      </c>
      <c r="Q13" s="13" t="s">
        <v>8</v>
      </c>
      <c r="R13" s="13" t="s">
        <v>9</v>
      </c>
      <c r="S13" s="13" t="s">
        <v>10</v>
      </c>
    </row>
    <row r="14" spans="2:19" x14ac:dyDescent="0.3">
      <c r="B14" s="14" t="s">
        <v>6</v>
      </c>
      <c r="C14" s="2">
        <v>1</v>
      </c>
      <c r="D14" s="11">
        <v>2.1862149828283601</v>
      </c>
      <c r="E14" s="11">
        <v>1.0372115626970499</v>
      </c>
      <c r="F14" s="12">
        <v>1.1120616536208101</v>
      </c>
      <c r="G14" s="12">
        <v>1.4658445372432301</v>
      </c>
      <c r="H14" s="12">
        <v>0.37425059262478799</v>
      </c>
      <c r="I14" s="12">
        <v>0.78949546595105602</v>
      </c>
      <c r="L14" s="14" t="s">
        <v>6</v>
      </c>
      <c r="M14" s="2">
        <f>LOG(C14,2)</f>
        <v>0</v>
      </c>
      <c r="N14" s="27">
        <f t="shared" ref="N14:S17" si="4">LOG(D14,2)</f>
        <v>1.1284352763118417</v>
      </c>
      <c r="O14" s="27">
        <f t="shared" si="4"/>
        <v>5.2710194366621596E-2</v>
      </c>
      <c r="P14" s="27">
        <f t="shared" si="4"/>
        <v>0.15323677448884121</v>
      </c>
      <c r="Q14" s="27">
        <f t="shared" si="4"/>
        <v>0.55173210398925154</v>
      </c>
      <c r="R14" s="27">
        <f t="shared" si="4"/>
        <v>-1.4179234940982173</v>
      </c>
      <c r="S14" s="27">
        <f t="shared" si="4"/>
        <v>-0.34099711413270473</v>
      </c>
    </row>
    <row r="15" spans="2:19" x14ac:dyDescent="0.3">
      <c r="B15" s="1"/>
      <c r="C15" s="2">
        <v>1</v>
      </c>
      <c r="D15" s="11">
        <v>1.06623936951597</v>
      </c>
      <c r="E15" s="11">
        <v>0.99357458206710203</v>
      </c>
      <c r="F15" s="11">
        <v>0.70586868231299005</v>
      </c>
      <c r="G15" s="12">
        <v>1.3452093584698199</v>
      </c>
      <c r="H15" s="12">
        <v>1.30566627005629</v>
      </c>
      <c r="I15" s="12">
        <v>1.40038637866214</v>
      </c>
      <c r="L15" s="1"/>
      <c r="M15" s="2">
        <f t="shared" ref="M15:M17" si="5">LOG(C15,2)</f>
        <v>0</v>
      </c>
      <c r="N15" s="27">
        <f t="shared" si="4"/>
        <v>9.2531357840826611E-2</v>
      </c>
      <c r="O15" s="27">
        <f t="shared" si="4"/>
        <v>-9.2998283285587249E-3</v>
      </c>
      <c r="P15" s="27">
        <f t="shared" si="4"/>
        <v>-0.50252828107535386</v>
      </c>
      <c r="Q15" s="27">
        <f t="shared" si="4"/>
        <v>0.4278307206787656</v>
      </c>
      <c r="R15" s="27">
        <f t="shared" si="4"/>
        <v>0.38478618933320874</v>
      </c>
      <c r="S15" s="27">
        <f t="shared" si="4"/>
        <v>0.48582493407974486</v>
      </c>
    </row>
    <row r="16" spans="2:19" x14ac:dyDescent="0.3">
      <c r="B16" s="1"/>
      <c r="C16" s="2">
        <v>1</v>
      </c>
      <c r="D16" s="11">
        <v>1.2338232901545501</v>
      </c>
      <c r="E16" s="11">
        <v>1.0769048074766601</v>
      </c>
      <c r="F16" s="11">
        <v>1.1992085773219401</v>
      </c>
      <c r="G16" s="12">
        <v>1.1550223609580701</v>
      </c>
      <c r="H16" s="12">
        <v>1.1830119671389201</v>
      </c>
      <c r="I16" s="12">
        <v>2.5842672796176802</v>
      </c>
      <c r="L16" s="1"/>
      <c r="M16" s="2">
        <f t="shared" si="5"/>
        <v>0</v>
      </c>
      <c r="N16" s="27">
        <f t="shared" si="4"/>
        <v>0.30313578454150558</v>
      </c>
      <c r="O16" s="27">
        <f t="shared" si="4"/>
        <v>0.10689072912914668</v>
      </c>
      <c r="P16" s="27">
        <f t="shared" si="4"/>
        <v>0.26208260729064908</v>
      </c>
      <c r="Q16" s="27">
        <f t="shared" si="4"/>
        <v>0.20792078214439938</v>
      </c>
      <c r="R16" s="27">
        <f t="shared" si="4"/>
        <v>0.24246466779828368</v>
      </c>
      <c r="S16" s="27">
        <f t="shared" si="4"/>
        <v>1.3697552894736507</v>
      </c>
    </row>
    <row r="17" spans="2:19" x14ac:dyDescent="0.3">
      <c r="B17" s="1"/>
      <c r="C17" s="2">
        <v>1</v>
      </c>
      <c r="D17" s="11">
        <v>1.11198317520833</v>
      </c>
      <c r="E17" s="11">
        <v>1.0908044567497699</v>
      </c>
      <c r="F17" s="11">
        <v>0.90647686001512195</v>
      </c>
      <c r="G17" s="12"/>
      <c r="H17" s="12"/>
      <c r="I17" s="12"/>
      <c r="L17" s="1"/>
      <c r="M17" s="2">
        <f t="shared" si="5"/>
        <v>0</v>
      </c>
      <c r="N17" s="27">
        <f t="shared" si="4"/>
        <v>0.1531349596197511</v>
      </c>
      <c r="O17" s="27">
        <f t="shared" si="4"/>
        <v>0.12539249986311529</v>
      </c>
      <c r="P17" s="27">
        <f t="shared" si="4"/>
        <v>-0.14165790268133618</v>
      </c>
      <c r="Q17" s="27"/>
      <c r="R17" s="27"/>
      <c r="S17" s="27"/>
    </row>
    <row r="18" spans="2:19" x14ac:dyDescent="0.3">
      <c r="B18" s="6" t="s">
        <v>1</v>
      </c>
      <c r="C18" s="9">
        <f>AVERAGE(C14:C17)</f>
        <v>1</v>
      </c>
      <c r="D18" s="10">
        <f>AVERAGE(D14:D17)</f>
        <v>1.3995652044268025</v>
      </c>
      <c r="E18" s="8">
        <f>AVERAGE(E14:E17)</f>
        <v>1.0496238522476453</v>
      </c>
      <c r="F18" s="8">
        <f>AVERAGE(F14:F17)</f>
        <v>0.98090394331771558</v>
      </c>
      <c r="G18" s="8">
        <f t="shared" ref="G18:I18" si="6">AVERAGE(G14:G17)</f>
        <v>1.3220254188903733</v>
      </c>
      <c r="H18" s="8">
        <f t="shared" si="6"/>
        <v>0.95430960993999936</v>
      </c>
      <c r="I18" s="8">
        <f t="shared" si="6"/>
        <v>1.5913830414102919</v>
      </c>
      <c r="L18" s="6" t="s">
        <v>1</v>
      </c>
      <c r="M18" s="9">
        <f>AVERAGE(M14:M17)</f>
        <v>0</v>
      </c>
      <c r="N18" s="10">
        <f>AVERAGE(N14:N17)</f>
        <v>0.41930934457848129</v>
      </c>
      <c r="O18" s="8">
        <f>AVERAGE(O14:O17)</f>
        <v>6.8923398757581217E-2</v>
      </c>
      <c r="P18" s="8">
        <f>AVERAGE(P14:P17)</f>
        <v>-5.7216700494299937E-2</v>
      </c>
      <c r="Q18" s="8">
        <f t="shared" ref="Q18:S18" si="7">AVERAGE(Q14:Q17)</f>
        <v>0.39582786893747218</v>
      </c>
      <c r="R18" s="8">
        <f t="shared" si="7"/>
        <v>-0.26355754565557493</v>
      </c>
      <c r="S18" s="8">
        <f t="shared" si="7"/>
        <v>0.50486103647356362</v>
      </c>
    </row>
    <row r="19" spans="2:19" x14ac:dyDescent="0.3">
      <c r="B19" s="6" t="s">
        <v>2</v>
      </c>
      <c r="C19" s="9">
        <f>_xlfn.STDEV.P(C14:C17)</f>
        <v>0</v>
      </c>
      <c r="D19" s="10">
        <f>_xlfn.STDEV.P(D14:D17)</f>
        <v>0.45828424360713832</v>
      </c>
      <c r="E19" s="8">
        <f>_xlfn.STDEV.P(E14:E17)</f>
        <v>3.7867130618213167E-2</v>
      </c>
      <c r="F19" s="8">
        <f>_xlfn.STDEV.P(F14:F17)</f>
        <v>0.19107789231393141</v>
      </c>
      <c r="G19" s="8">
        <f t="shared" ref="G19:I19" si="8">_xlfn.STDEV.P(G14:G17)</f>
        <v>0.12794719642226982</v>
      </c>
      <c r="H19" s="8">
        <f t="shared" si="8"/>
        <v>0.41320887952910912</v>
      </c>
      <c r="I19" s="8">
        <f t="shared" si="8"/>
        <v>0.74505537139586453</v>
      </c>
      <c r="L19" s="6" t="s">
        <v>2</v>
      </c>
      <c r="M19" s="9">
        <f>_xlfn.STDEV.P(M14:M17)</f>
        <v>0</v>
      </c>
      <c r="N19" s="10">
        <f>_xlfn.STDEV.P(N14:N17)</f>
        <v>0.41652987255803287</v>
      </c>
      <c r="O19" s="8">
        <f>_xlfn.STDEV.P(O14:O17)</f>
        <v>5.2469083295793036E-2</v>
      </c>
      <c r="P19" s="8">
        <f>_xlfn.STDEV.P(P14:P17)</f>
        <v>0.29651114376647619</v>
      </c>
      <c r="Q19" s="8">
        <f t="shared" ref="Q19:S19" si="9">_xlfn.STDEV.P(Q14:Q17)</f>
        <v>0.14217288336589254</v>
      </c>
      <c r="R19" s="8">
        <f t="shared" si="9"/>
        <v>0.81832528620588485</v>
      </c>
      <c r="S19" s="8">
        <f t="shared" si="9"/>
        <v>0.69854144544519414</v>
      </c>
    </row>
    <row r="22" spans="2:19" x14ac:dyDescent="0.3">
      <c r="J22" s="5"/>
      <c r="K22" s="5"/>
      <c r="L22" s="5"/>
      <c r="M22" s="5"/>
      <c r="N22" s="5"/>
      <c r="O22" s="5"/>
      <c r="P22" s="5"/>
      <c r="Q22" s="5"/>
    </row>
    <row r="23" spans="2:19" x14ac:dyDescent="0.3"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2:19" ht="14.4" customHeight="1" x14ac:dyDescent="0.3"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2:19" x14ac:dyDescent="0.3">
      <c r="H25" s="5"/>
      <c r="I25" s="15"/>
      <c r="J25" s="16"/>
      <c r="K25" s="17"/>
      <c r="L25" s="16"/>
      <c r="M25" s="17"/>
      <c r="N25" s="5"/>
      <c r="O25" s="5"/>
      <c r="P25" s="5"/>
      <c r="Q25" s="5"/>
    </row>
    <row r="26" spans="2:19" ht="14.4" customHeight="1" x14ac:dyDescent="0.3">
      <c r="H26" s="18"/>
      <c r="I26" s="2"/>
      <c r="J26" s="24"/>
      <c r="K26" s="20"/>
      <c r="L26" s="24"/>
      <c r="M26" s="20"/>
      <c r="N26" s="5"/>
      <c r="O26" s="5"/>
      <c r="P26" s="5"/>
      <c r="Q26" s="5"/>
    </row>
    <row r="27" spans="2:19" x14ac:dyDescent="0.3">
      <c r="H27" s="1"/>
      <c r="I27" s="2"/>
      <c r="J27" s="24"/>
      <c r="K27" s="20"/>
      <c r="L27" s="24"/>
      <c r="M27" s="20"/>
      <c r="N27" s="5"/>
      <c r="O27" s="5"/>
      <c r="P27" s="5"/>
      <c r="Q27" s="5"/>
    </row>
    <row r="28" spans="2:19" x14ac:dyDescent="0.3">
      <c r="H28" s="1"/>
      <c r="I28" s="2"/>
      <c r="J28" s="24"/>
      <c r="K28" s="20"/>
      <c r="L28" s="24"/>
      <c r="M28" s="20"/>
      <c r="N28" s="5"/>
      <c r="O28" s="5"/>
      <c r="P28" s="5"/>
      <c r="Q28" s="5"/>
    </row>
    <row r="29" spans="2:19" x14ac:dyDescent="0.3">
      <c r="H29" s="1"/>
      <c r="I29" s="2"/>
      <c r="J29" s="19"/>
      <c r="K29" s="21"/>
      <c r="L29" s="19"/>
      <c r="M29" s="21"/>
      <c r="N29" s="5"/>
      <c r="O29" s="5"/>
      <c r="P29" s="5"/>
      <c r="Q29" s="5"/>
    </row>
    <row r="30" spans="2:19" x14ac:dyDescent="0.3">
      <c r="H30" s="1"/>
      <c r="I30" s="2"/>
      <c r="J30" s="22"/>
      <c r="K30" s="21"/>
      <c r="L30" s="22"/>
      <c r="M30" s="20"/>
      <c r="N30" s="5"/>
      <c r="O30" s="5"/>
      <c r="P30" s="5"/>
      <c r="Q30" s="5"/>
    </row>
    <row r="31" spans="2:19" x14ac:dyDescent="0.3">
      <c r="H31" s="2"/>
      <c r="I31" s="23"/>
      <c r="J31" s="4"/>
      <c r="K31" s="4"/>
      <c r="L31" s="4"/>
      <c r="N31" s="5"/>
      <c r="O31" s="5"/>
      <c r="P31" s="5"/>
      <c r="Q31" s="5"/>
    </row>
    <row r="32" spans="2:19" x14ac:dyDescent="0.3">
      <c r="H32" s="2"/>
      <c r="I32" s="3"/>
      <c r="J32" s="4"/>
      <c r="K32" s="4"/>
      <c r="L32" s="4"/>
      <c r="N32" s="5"/>
      <c r="O32" s="5"/>
      <c r="P32" s="5"/>
      <c r="Q32" s="5"/>
    </row>
    <row r="33" spans="8:17" ht="14.4" customHeight="1" x14ac:dyDescent="0.3">
      <c r="H33" s="18"/>
      <c r="I33" s="2"/>
      <c r="J33" s="24"/>
      <c r="K33" s="20"/>
      <c r="L33" s="24"/>
      <c r="M33" s="20"/>
      <c r="N33" s="5"/>
      <c r="O33" s="5"/>
      <c r="P33" s="5"/>
      <c r="Q33" s="5"/>
    </row>
    <row r="34" spans="8:17" x14ac:dyDescent="0.3">
      <c r="H34" s="1"/>
      <c r="I34" s="2"/>
      <c r="J34" s="24"/>
      <c r="K34" s="20"/>
      <c r="L34" s="24"/>
      <c r="M34" s="20"/>
      <c r="N34" s="5"/>
      <c r="O34" s="5"/>
      <c r="P34" s="5"/>
      <c r="Q34" s="5"/>
    </row>
    <row r="35" spans="8:17" x14ac:dyDescent="0.3">
      <c r="H35" s="1"/>
      <c r="I35" s="2"/>
      <c r="J35" s="24"/>
      <c r="K35" s="20"/>
      <c r="L35" s="24"/>
      <c r="M35" s="20"/>
      <c r="N35" s="5"/>
      <c r="O35" s="5"/>
      <c r="P35" s="5"/>
      <c r="Q35" s="5"/>
    </row>
    <row r="36" spans="8:17" x14ac:dyDescent="0.3">
      <c r="H36" s="1"/>
      <c r="I36" s="2"/>
      <c r="J36" s="19"/>
      <c r="K36" s="21"/>
      <c r="L36" s="19"/>
      <c r="M36" s="21"/>
      <c r="N36" s="5"/>
      <c r="O36" s="5"/>
      <c r="P36" s="5"/>
      <c r="Q36" s="5"/>
    </row>
    <row r="37" spans="8:17" x14ac:dyDescent="0.3">
      <c r="H37" s="1"/>
      <c r="I37" s="2"/>
      <c r="J37" s="22"/>
      <c r="K37" s="21"/>
    </row>
    <row r="38" spans="8:17" x14ac:dyDescent="0.3">
      <c r="H38" s="2"/>
      <c r="I38" s="3"/>
      <c r="J38" s="25"/>
      <c r="K38" s="25"/>
      <c r="L38" s="4"/>
    </row>
    <row r="39" spans="8:17" x14ac:dyDescent="0.3">
      <c r="H39" s="2"/>
      <c r="I39" s="3"/>
      <c r="J39" s="25"/>
      <c r="K39" s="25"/>
      <c r="L39" s="4"/>
    </row>
  </sheetData>
  <mergeCells count="4">
    <mergeCell ref="C2:G2"/>
    <mergeCell ref="C12:I12"/>
    <mergeCell ref="M2:Q2"/>
    <mergeCell ref="M12:S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7BA1-CEF2-4102-BF0E-F8457B5FD19C}">
  <dimension ref="A1:E125"/>
  <sheetViews>
    <sheetView workbookViewId="0">
      <selection activeCell="G22" sqref="G22"/>
    </sheetView>
  </sheetViews>
  <sheetFormatPr defaultRowHeight="14.4" x14ac:dyDescent="0.3"/>
  <cols>
    <col min="3" max="3" width="12.6640625" bestFit="1" customWidth="1"/>
    <col min="4" max="4" width="9.6640625" bestFit="1" customWidth="1"/>
  </cols>
  <sheetData>
    <row r="1" spans="1:5" x14ac:dyDescent="0.3">
      <c r="A1" t="s">
        <v>18</v>
      </c>
      <c r="B1" t="s">
        <v>19</v>
      </c>
      <c r="C1" t="s">
        <v>21</v>
      </c>
      <c r="D1" t="s">
        <v>20</v>
      </c>
      <c r="E1" t="s">
        <v>22</v>
      </c>
    </row>
    <row r="2" spans="1:5" x14ac:dyDescent="0.3">
      <c r="A2" t="s">
        <v>23</v>
      </c>
      <c r="B2" t="s">
        <v>5</v>
      </c>
      <c r="C2" t="s">
        <v>0</v>
      </c>
      <c r="D2" s="2">
        <v>1</v>
      </c>
      <c r="E2" t="s">
        <v>24</v>
      </c>
    </row>
    <row r="3" spans="1:5" x14ac:dyDescent="0.3">
      <c r="A3" t="s">
        <v>23</v>
      </c>
      <c r="B3" t="s">
        <v>5</v>
      </c>
      <c r="C3" t="s">
        <v>0</v>
      </c>
      <c r="D3" s="2">
        <v>1</v>
      </c>
      <c r="E3" t="s">
        <v>24</v>
      </c>
    </row>
    <row r="4" spans="1:5" x14ac:dyDescent="0.3">
      <c r="A4" t="s">
        <v>23</v>
      </c>
      <c r="B4" t="s">
        <v>5</v>
      </c>
      <c r="C4" t="s">
        <v>0</v>
      </c>
      <c r="D4" s="2">
        <v>1</v>
      </c>
      <c r="E4" t="s">
        <v>24</v>
      </c>
    </row>
    <row r="5" spans="1:5" x14ac:dyDescent="0.3">
      <c r="A5" t="s">
        <v>23</v>
      </c>
      <c r="B5" t="s">
        <v>5</v>
      </c>
      <c r="C5" t="s">
        <v>3</v>
      </c>
      <c r="D5" s="11">
        <v>1.26465520188765</v>
      </c>
      <c r="E5" t="s">
        <v>25</v>
      </c>
    </row>
    <row r="6" spans="1:5" x14ac:dyDescent="0.3">
      <c r="A6" t="s">
        <v>23</v>
      </c>
      <c r="B6" t="s">
        <v>5</v>
      </c>
      <c r="C6" t="s">
        <v>3</v>
      </c>
      <c r="D6" s="11">
        <v>0.99143275818332199</v>
      </c>
      <c r="E6" t="s">
        <v>25</v>
      </c>
    </row>
    <row r="7" spans="1:5" x14ac:dyDescent="0.3">
      <c r="A7" t="s">
        <v>23</v>
      </c>
      <c r="B7" t="s">
        <v>5</v>
      </c>
      <c r="C7" t="s">
        <v>3</v>
      </c>
      <c r="D7" s="11">
        <v>1.19189274873136</v>
      </c>
      <c r="E7" t="s">
        <v>25</v>
      </c>
    </row>
    <row r="8" spans="1:5" x14ac:dyDescent="0.3">
      <c r="A8" t="s">
        <v>23</v>
      </c>
      <c r="B8" t="s">
        <v>5</v>
      </c>
      <c r="C8" t="s">
        <v>7</v>
      </c>
      <c r="D8">
        <v>0.77483653168594502</v>
      </c>
      <c r="E8" t="s">
        <v>26</v>
      </c>
    </row>
    <row r="9" spans="1:5" x14ac:dyDescent="0.3">
      <c r="A9" t="s">
        <v>23</v>
      </c>
      <c r="B9" t="s">
        <v>5</v>
      </c>
      <c r="C9" t="s">
        <v>7</v>
      </c>
      <c r="D9">
        <v>0.95503509971810396</v>
      </c>
      <c r="E9" t="s">
        <v>26</v>
      </c>
    </row>
    <row r="10" spans="1:5" x14ac:dyDescent="0.3">
      <c r="A10" t="s">
        <v>23</v>
      </c>
      <c r="B10" t="s">
        <v>5</v>
      </c>
      <c r="C10" t="s">
        <v>7</v>
      </c>
      <c r="D10">
        <v>0.933793256233726</v>
      </c>
      <c r="E10" t="s">
        <v>26</v>
      </c>
    </row>
    <row r="11" spans="1:5" x14ac:dyDescent="0.3">
      <c r="A11" t="s">
        <v>23</v>
      </c>
      <c r="B11" t="s">
        <v>5</v>
      </c>
      <c r="C11" t="s">
        <v>4</v>
      </c>
      <c r="D11" s="11">
        <v>1.1826632202603</v>
      </c>
      <c r="E11" t="s">
        <v>27</v>
      </c>
    </row>
    <row r="12" spans="1:5" x14ac:dyDescent="0.3">
      <c r="A12" t="s">
        <v>23</v>
      </c>
      <c r="B12" t="s">
        <v>5</v>
      </c>
      <c r="C12" t="s">
        <v>4</v>
      </c>
      <c r="D12" s="11">
        <v>1.1446191448369101</v>
      </c>
      <c r="E12" t="s">
        <v>27</v>
      </c>
    </row>
    <row r="13" spans="1:5" x14ac:dyDescent="0.3">
      <c r="A13" t="s">
        <v>23</v>
      </c>
      <c r="B13" t="s">
        <v>5</v>
      </c>
      <c r="C13" t="s">
        <v>4</v>
      </c>
      <c r="D13" s="11">
        <v>1.3961025821219399</v>
      </c>
      <c r="E13" t="s">
        <v>27</v>
      </c>
    </row>
    <row r="14" spans="1:5" x14ac:dyDescent="0.3">
      <c r="A14" t="s">
        <v>23</v>
      </c>
      <c r="B14" t="s">
        <v>5</v>
      </c>
      <c r="C14" t="s">
        <v>11</v>
      </c>
      <c r="D14">
        <v>1.32607763100275</v>
      </c>
      <c r="E14" t="s">
        <v>28</v>
      </c>
    </row>
    <row r="15" spans="1:5" x14ac:dyDescent="0.3">
      <c r="A15" t="s">
        <v>23</v>
      </c>
      <c r="B15" t="s">
        <v>5</v>
      </c>
      <c r="C15" t="s">
        <v>11</v>
      </c>
      <c r="D15">
        <v>1.0961058808727</v>
      </c>
      <c r="E15" t="s">
        <v>28</v>
      </c>
    </row>
    <row r="16" spans="1:5" x14ac:dyDescent="0.3">
      <c r="A16" t="s">
        <v>23</v>
      </c>
      <c r="B16" t="s">
        <v>5</v>
      </c>
      <c r="C16" t="s">
        <v>11</v>
      </c>
      <c r="D16">
        <v>0.90761268259404404</v>
      </c>
      <c r="E16" t="s">
        <v>28</v>
      </c>
    </row>
    <row r="17" spans="1:5" x14ac:dyDescent="0.3">
      <c r="A17" t="s">
        <v>23</v>
      </c>
      <c r="B17" t="s">
        <v>6</v>
      </c>
      <c r="C17" t="s">
        <v>0</v>
      </c>
      <c r="D17" s="2">
        <v>1</v>
      </c>
      <c r="E17" t="s">
        <v>24</v>
      </c>
    </row>
    <row r="18" spans="1:5" x14ac:dyDescent="0.3">
      <c r="A18" t="s">
        <v>23</v>
      </c>
      <c r="B18" t="s">
        <v>6</v>
      </c>
      <c r="C18" t="s">
        <v>0</v>
      </c>
      <c r="D18" s="2">
        <v>1</v>
      </c>
      <c r="E18" t="s">
        <v>24</v>
      </c>
    </row>
    <row r="19" spans="1:5" x14ac:dyDescent="0.3">
      <c r="A19" t="s">
        <v>23</v>
      </c>
      <c r="B19" t="s">
        <v>6</v>
      </c>
      <c r="C19" t="s">
        <v>0</v>
      </c>
      <c r="D19" s="2">
        <v>1</v>
      </c>
      <c r="E19" t="s">
        <v>24</v>
      </c>
    </row>
    <row r="20" spans="1:5" x14ac:dyDescent="0.3">
      <c r="A20" t="s">
        <v>23</v>
      </c>
      <c r="B20" t="s">
        <v>6</v>
      </c>
      <c r="C20" t="s">
        <v>3</v>
      </c>
      <c r="D20" s="11">
        <v>1.2370584384405401</v>
      </c>
      <c r="E20" t="s">
        <v>25</v>
      </c>
    </row>
    <row r="21" spans="1:5" x14ac:dyDescent="0.3">
      <c r="A21" t="s">
        <v>23</v>
      </c>
      <c r="B21" t="s">
        <v>6</v>
      </c>
      <c r="C21" t="s">
        <v>3</v>
      </c>
      <c r="D21" s="11">
        <v>0.898562524123938</v>
      </c>
      <c r="E21" t="s">
        <v>25</v>
      </c>
    </row>
    <row r="22" spans="1:5" x14ac:dyDescent="0.3">
      <c r="A22" t="s">
        <v>23</v>
      </c>
      <c r="B22" t="s">
        <v>6</v>
      </c>
      <c r="C22" t="s">
        <v>3</v>
      </c>
      <c r="D22" s="11">
        <v>1.3249143276733999</v>
      </c>
      <c r="E22" t="s">
        <v>25</v>
      </c>
    </row>
    <row r="23" spans="1:5" x14ac:dyDescent="0.3">
      <c r="A23" t="s">
        <v>23</v>
      </c>
      <c r="B23" t="s">
        <v>6</v>
      </c>
      <c r="C23" t="s">
        <v>7</v>
      </c>
      <c r="D23" s="11">
        <v>1.16915692376576</v>
      </c>
      <c r="E23" t="s">
        <v>26</v>
      </c>
    </row>
    <row r="24" spans="1:5" x14ac:dyDescent="0.3">
      <c r="A24" t="s">
        <v>23</v>
      </c>
      <c r="B24" t="s">
        <v>6</v>
      </c>
      <c r="C24" t="s">
        <v>7</v>
      </c>
      <c r="D24" s="11">
        <v>0.96417130027398401</v>
      </c>
      <c r="E24" t="s">
        <v>26</v>
      </c>
    </row>
    <row r="25" spans="1:5" x14ac:dyDescent="0.3">
      <c r="A25" t="s">
        <v>23</v>
      </c>
      <c r="B25" t="s">
        <v>6</v>
      </c>
      <c r="C25" t="s">
        <v>7</v>
      </c>
      <c r="D25" s="11">
        <v>0.89381676270988097</v>
      </c>
      <c r="E25" t="s">
        <v>26</v>
      </c>
    </row>
    <row r="26" spans="1:5" x14ac:dyDescent="0.3">
      <c r="A26" t="s">
        <v>23</v>
      </c>
      <c r="B26" t="s">
        <v>6</v>
      </c>
      <c r="C26" t="s">
        <v>4</v>
      </c>
      <c r="D26" s="12">
        <v>1.0373600000000001</v>
      </c>
      <c r="E26" t="s">
        <v>27</v>
      </c>
    </row>
    <row r="27" spans="1:5" x14ac:dyDescent="0.3">
      <c r="A27" t="s">
        <v>23</v>
      </c>
      <c r="B27" t="s">
        <v>6</v>
      </c>
      <c r="C27" t="s">
        <v>4</v>
      </c>
      <c r="D27" s="11">
        <v>0.98727610090181195</v>
      </c>
      <c r="E27" t="s">
        <v>27</v>
      </c>
    </row>
    <row r="28" spans="1:5" x14ac:dyDescent="0.3">
      <c r="A28" t="s">
        <v>23</v>
      </c>
      <c r="B28" t="s">
        <v>6</v>
      </c>
      <c r="C28" t="s">
        <v>4</v>
      </c>
      <c r="D28" s="11">
        <v>1.7869014603373401</v>
      </c>
      <c r="E28" t="s">
        <v>27</v>
      </c>
    </row>
    <row r="29" spans="1:5" x14ac:dyDescent="0.3">
      <c r="A29" t="s">
        <v>23</v>
      </c>
      <c r="B29" t="s">
        <v>6</v>
      </c>
      <c r="C29" t="s">
        <v>8</v>
      </c>
      <c r="D29" s="12">
        <v>0.80644897651577196</v>
      </c>
      <c r="E29" t="s">
        <v>28</v>
      </c>
    </row>
    <row r="30" spans="1:5" x14ac:dyDescent="0.3">
      <c r="A30" t="s">
        <v>23</v>
      </c>
      <c r="B30" t="s">
        <v>6</v>
      </c>
      <c r="C30" t="s">
        <v>8</v>
      </c>
      <c r="D30" s="12">
        <v>2.1221923453443998</v>
      </c>
      <c r="E30" t="s">
        <v>28</v>
      </c>
    </row>
    <row r="31" spans="1:5" x14ac:dyDescent="0.3">
      <c r="A31" t="s">
        <v>23</v>
      </c>
      <c r="B31" t="s">
        <v>6</v>
      </c>
      <c r="C31" t="s">
        <v>8</v>
      </c>
      <c r="D31" s="12">
        <v>1.8055226916382701</v>
      </c>
      <c r="E31" t="s">
        <v>28</v>
      </c>
    </row>
    <row r="32" spans="1:5" x14ac:dyDescent="0.3">
      <c r="A32" t="s">
        <v>23</v>
      </c>
      <c r="B32" t="s">
        <v>6</v>
      </c>
      <c r="C32" t="s">
        <v>9</v>
      </c>
      <c r="D32">
        <v>0.55078748115527598</v>
      </c>
      <c r="E32" t="s">
        <v>29</v>
      </c>
    </row>
    <row r="33" spans="1:5" x14ac:dyDescent="0.3">
      <c r="A33" t="s">
        <v>23</v>
      </c>
      <c r="B33" t="s">
        <v>6</v>
      </c>
      <c r="C33" t="s">
        <v>9</v>
      </c>
      <c r="D33">
        <v>1.40952655451772</v>
      </c>
      <c r="E33" t="s">
        <v>29</v>
      </c>
    </row>
    <row r="34" spans="1:5" x14ac:dyDescent="0.3">
      <c r="A34" t="s">
        <v>23</v>
      </c>
      <c r="B34" t="s">
        <v>6</v>
      </c>
      <c r="C34" t="s">
        <v>9</v>
      </c>
      <c r="D34">
        <v>1.33038929342322</v>
      </c>
      <c r="E34" t="s">
        <v>29</v>
      </c>
    </row>
    <row r="35" spans="1:5" x14ac:dyDescent="0.3">
      <c r="A35" t="s">
        <v>23</v>
      </c>
      <c r="B35" t="s">
        <v>6</v>
      </c>
      <c r="C35" t="s">
        <v>10</v>
      </c>
      <c r="D35" s="12">
        <v>1.2380179202371899</v>
      </c>
      <c r="E35" t="s">
        <v>30</v>
      </c>
    </row>
    <row r="36" spans="1:5" x14ac:dyDescent="0.3">
      <c r="A36" t="s">
        <v>23</v>
      </c>
      <c r="B36" t="s">
        <v>6</v>
      </c>
      <c r="C36" t="s">
        <v>10</v>
      </c>
      <c r="D36" s="12">
        <v>1.65708232194607</v>
      </c>
      <c r="E36" t="s">
        <v>30</v>
      </c>
    </row>
    <row r="37" spans="1:5" x14ac:dyDescent="0.3">
      <c r="A37" t="s">
        <v>23</v>
      </c>
      <c r="B37" t="s">
        <v>6</v>
      </c>
      <c r="C37" t="s">
        <v>10</v>
      </c>
      <c r="D37" s="12">
        <v>2.41093696385034</v>
      </c>
      <c r="E37" t="s">
        <v>30</v>
      </c>
    </row>
    <row r="38" spans="1:5" x14ac:dyDescent="0.3">
      <c r="A38" t="s">
        <v>31</v>
      </c>
      <c r="B38" t="s">
        <v>5</v>
      </c>
      <c r="C38" t="s">
        <v>0</v>
      </c>
      <c r="D38" s="2">
        <v>1</v>
      </c>
      <c r="E38" t="s">
        <v>24</v>
      </c>
    </row>
    <row r="39" spans="1:5" x14ac:dyDescent="0.3">
      <c r="A39" t="s">
        <v>31</v>
      </c>
      <c r="B39" t="s">
        <v>5</v>
      </c>
      <c r="C39" t="s">
        <v>0</v>
      </c>
      <c r="D39" s="2">
        <v>1</v>
      </c>
      <c r="E39" t="s">
        <v>24</v>
      </c>
    </row>
    <row r="40" spans="1:5" x14ac:dyDescent="0.3">
      <c r="A40" t="s">
        <v>31</v>
      </c>
      <c r="B40" t="s">
        <v>5</v>
      </c>
      <c r="C40" t="s">
        <v>0</v>
      </c>
      <c r="D40" s="2">
        <v>1</v>
      </c>
      <c r="E40" t="s">
        <v>24</v>
      </c>
    </row>
    <row r="41" spans="1:5" x14ac:dyDescent="0.3">
      <c r="A41" t="s">
        <v>31</v>
      </c>
      <c r="B41" t="s">
        <v>5</v>
      </c>
      <c r="C41" t="s">
        <v>0</v>
      </c>
      <c r="D41" s="2">
        <v>1</v>
      </c>
      <c r="E41" t="s">
        <v>24</v>
      </c>
    </row>
    <row r="42" spans="1:5" x14ac:dyDescent="0.3">
      <c r="A42" t="s">
        <v>31</v>
      </c>
      <c r="B42" t="s">
        <v>5</v>
      </c>
      <c r="C42" t="s">
        <v>3</v>
      </c>
      <c r="D42" s="11">
        <v>1.22520900088421</v>
      </c>
      <c r="E42" t="s">
        <v>25</v>
      </c>
    </row>
    <row r="43" spans="1:5" x14ac:dyDescent="0.3">
      <c r="A43" t="s">
        <v>31</v>
      </c>
      <c r="B43" t="s">
        <v>5</v>
      </c>
      <c r="C43" t="s">
        <v>3</v>
      </c>
      <c r="D43" s="11">
        <v>1.10395007293092</v>
      </c>
      <c r="E43" t="s">
        <v>25</v>
      </c>
    </row>
    <row r="44" spans="1:5" x14ac:dyDescent="0.3">
      <c r="A44" t="s">
        <v>31</v>
      </c>
      <c r="B44" t="s">
        <v>5</v>
      </c>
      <c r="C44" t="s">
        <v>3</v>
      </c>
      <c r="D44">
        <v>2.311612520113</v>
      </c>
      <c r="E44" t="s">
        <v>25</v>
      </c>
    </row>
    <row r="45" spans="1:5" x14ac:dyDescent="0.3">
      <c r="A45" t="s">
        <v>31</v>
      </c>
      <c r="B45" t="s">
        <v>5</v>
      </c>
      <c r="C45" t="s">
        <v>3</v>
      </c>
      <c r="D45">
        <v>2.2844116133974302</v>
      </c>
      <c r="E45" t="s">
        <v>25</v>
      </c>
    </row>
    <row r="46" spans="1:5" x14ac:dyDescent="0.3">
      <c r="A46" t="s">
        <v>31</v>
      </c>
      <c r="B46" t="s">
        <v>5</v>
      </c>
      <c r="C46" t="s">
        <v>7</v>
      </c>
      <c r="D46">
        <v>0.89193726489832703</v>
      </c>
      <c r="E46" t="s">
        <v>26</v>
      </c>
    </row>
    <row r="47" spans="1:5" x14ac:dyDescent="0.3">
      <c r="A47" t="s">
        <v>31</v>
      </c>
      <c r="B47" t="s">
        <v>5</v>
      </c>
      <c r="C47" t="s">
        <v>7</v>
      </c>
      <c r="D47" s="11">
        <v>1.35357658274346</v>
      </c>
      <c r="E47" t="s">
        <v>26</v>
      </c>
    </row>
    <row r="48" spans="1:5" x14ac:dyDescent="0.3">
      <c r="A48" t="s">
        <v>31</v>
      </c>
      <c r="B48" t="s">
        <v>5</v>
      </c>
      <c r="C48" t="s">
        <v>7</v>
      </c>
      <c r="D48" s="11">
        <v>0.66086743710253304</v>
      </c>
      <c r="E48" t="s">
        <v>26</v>
      </c>
    </row>
    <row r="49" spans="1:5" x14ac:dyDescent="0.3">
      <c r="A49" t="s">
        <v>31</v>
      </c>
      <c r="B49" t="s">
        <v>5</v>
      </c>
      <c r="C49" t="s">
        <v>7</v>
      </c>
      <c r="D49" s="11">
        <v>2.0660985031829702</v>
      </c>
      <c r="E49" t="s">
        <v>26</v>
      </c>
    </row>
    <row r="50" spans="1:5" x14ac:dyDescent="0.3">
      <c r="A50" t="s">
        <v>31</v>
      </c>
      <c r="B50" t="s">
        <v>5</v>
      </c>
      <c r="C50" t="s">
        <v>4</v>
      </c>
      <c r="D50" s="11">
        <v>2.6700262628303602</v>
      </c>
      <c r="E50" t="s">
        <v>27</v>
      </c>
    </row>
    <row r="51" spans="1:5" x14ac:dyDescent="0.3">
      <c r="A51" t="s">
        <v>31</v>
      </c>
      <c r="B51" t="s">
        <v>5</v>
      </c>
      <c r="C51" t="s">
        <v>4</v>
      </c>
      <c r="D51" s="11">
        <v>2.39053501042401</v>
      </c>
      <c r="E51" t="s">
        <v>27</v>
      </c>
    </row>
    <row r="52" spans="1:5" x14ac:dyDescent="0.3">
      <c r="A52" t="s">
        <v>31</v>
      </c>
      <c r="B52" t="s">
        <v>5</v>
      </c>
      <c r="C52" t="s">
        <v>4</v>
      </c>
      <c r="D52" s="11">
        <v>2.8005420613248702</v>
      </c>
      <c r="E52" t="s">
        <v>27</v>
      </c>
    </row>
    <row r="53" spans="1:5" x14ac:dyDescent="0.3">
      <c r="A53" t="s">
        <v>31</v>
      </c>
      <c r="B53" t="s">
        <v>5</v>
      </c>
      <c r="C53" t="s">
        <v>4</v>
      </c>
      <c r="D53" s="11">
        <v>2.6936123475297298</v>
      </c>
      <c r="E53" t="s">
        <v>27</v>
      </c>
    </row>
    <row r="54" spans="1:5" x14ac:dyDescent="0.3">
      <c r="A54" t="s">
        <v>31</v>
      </c>
      <c r="B54" t="s">
        <v>5</v>
      </c>
      <c r="C54" t="s">
        <v>11</v>
      </c>
      <c r="D54">
        <v>0.63218099999999999</v>
      </c>
      <c r="E54" t="s">
        <v>28</v>
      </c>
    </row>
    <row r="55" spans="1:5" x14ac:dyDescent="0.3">
      <c r="A55" t="s">
        <v>31</v>
      </c>
      <c r="B55" t="s">
        <v>5</v>
      </c>
      <c r="C55" t="s">
        <v>11</v>
      </c>
      <c r="D55">
        <v>1.0377772484166401</v>
      </c>
      <c r="E55" t="s">
        <v>28</v>
      </c>
    </row>
    <row r="56" spans="1:5" x14ac:dyDescent="0.3">
      <c r="A56" t="s">
        <v>31</v>
      </c>
      <c r="B56" t="s">
        <v>5</v>
      </c>
      <c r="C56" t="s">
        <v>11</v>
      </c>
      <c r="D56">
        <v>0.95650974901388497</v>
      </c>
      <c r="E56" t="s">
        <v>28</v>
      </c>
    </row>
    <row r="57" spans="1:5" x14ac:dyDescent="0.3">
      <c r="A57" t="s">
        <v>31</v>
      </c>
      <c r="B57" t="s">
        <v>6</v>
      </c>
      <c r="C57" t="s">
        <v>0</v>
      </c>
      <c r="D57" s="2">
        <v>1</v>
      </c>
      <c r="E57" t="s">
        <v>24</v>
      </c>
    </row>
    <row r="58" spans="1:5" x14ac:dyDescent="0.3">
      <c r="A58" t="s">
        <v>31</v>
      </c>
      <c r="B58" t="s">
        <v>6</v>
      </c>
      <c r="C58" t="s">
        <v>0</v>
      </c>
      <c r="D58" s="2">
        <v>1</v>
      </c>
      <c r="E58" t="s">
        <v>24</v>
      </c>
    </row>
    <row r="59" spans="1:5" x14ac:dyDescent="0.3">
      <c r="A59" t="s">
        <v>31</v>
      </c>
      <c r="B59" t="s">
        <v>6</v>
      </c>
      <c r="C59" t="s">
        <v>0</v>
      </c>
      <c r="D59" s="2">
        <v>1</v>
      </c>
      <c r="E59" t="s">
        <v>24</v>
      </c>
    </row>
    <row r="60" spans="1:5" x14ac:dyDescent="0.3">
      <c r="A60" t="s">
        <v>31</v>
      </c>
      <c r="B60" t="s">
        <v>6</v>
      </c>
      <c r="C60" t="s">
        <v>0</v>
      </c>
      <c r="D60" s="2">
        <v>1</v>
      </c>
      <c r="E60" t="s">
        <v>24</v>
      </c>
    </row>
    <row r="61" spans="1:5" x14ac:dyDescent="0.3">
      <c r="A61" t="s">
        <v>31</v>
      </c>
      <c r="B61" t="s">
        <v>6</v>
      </c>
      <c r="C61" t="s">
        <v>3</v>
      </c>
      <c r="D61" s="11">
        <v>1.0984318894610401</v>
      </c>
      <c r="E61" t="s">
        <v>25</v>
      </c>
    </row>
    <row r="62" spans="1:5" x14ac:dyDescent="0.3">
      <c r="A62" t="s">
        <v>31</v>
      </c>
      <c r="B62" t="s">
        <v>6</v>
      </c>
      <c r="C62" t="s">
        <v>3</v>
      </c>
      <c r="D62" s="11">
        <v>1.67029770991893</v>
      </c>
      <c r="E62" t="s">
        <v>25</v>
      </c>
    </row>
    <row r="63" spans="1:5" x14ac:dyDescent="0.3">
      <c r="A63" t="s">
        <v>31</v>
      </c>
      <c r="B63" t="s">
        <v>6</v>
      </c>
      <c r="C63" t="s">
        <v>3</v>
      </c>
      <c r="D63" s="11">
        <v>2.0389518948374201</v>
      </c>
      <c r="E63" t="s">
        <v>25</v>
      </c>
    </row>
    <row r="64" spans="1:5" x14ac:dyDescent="0.3">
      <c r="A64" t="s">
        <v>31</v>
      </c>
      <c r="B64" t="s">
        <v>6</v>
      </c>
      <c r="C64" t="s">
        <v>3</v>
      </c>
      <c r="D64" s="11">
        <v>1.5675649799274001</v>
      </c>
      <c r="E64" t="s">
        <v>25</v>
      </c>
    </row>
    <row r="65" spans="1:5" x14ac:dyDescent="0.3">
      <c r="A65" t="s">
        <v>31</v>
      </c>
      <c r="B65" t="s">
        <v>6</v>
      </c>
      <c r="C65" t="s">
        <v>7</v>
      </c>
      <c r="D65" s="11">
        <v>1.7017597401547899</v>
      </c>
      <c r="E65" t="s">
        <v>26</v>
      </c>
    </row>
    <row r="66" spans="1:5" x14ac:dyDescent="0.3">
      <c r="A66" t="s">
        <v>31</v>
      </c>
      <c r="B66" t="s">
        <v>6</v>
      </c>
      <c r="C66" t="s">
        <v>7</v>
      </c>
      <c r="D66" s="11">
        <v>1.35057058462337</v>
      </c>
      <c r="E66" t="s">
        <v>26</v>
      </c>
    </row>
    <row r="67" spans="1:5" x14ac:dyDescent="0.3">
      <c r="A67" t="s">
        <v>31</v>
      </c>
      <c r="B67" t="s">
        <v>6</v>
      </c>
      <c r="C67" t="s">
        <v>7</v>
      </c>
      <c r="D67" s="11">
        <v>1.1844733829951399</v>
      </c>
      <c r="E67" t="s">
        <v>26</v>
      </c>
    </row>
    <row r="68" spans="1:5" x14ac:dyDescent="0.3">
      <c r="A68" t="s">
        <v>31</v>
      </c>
      <c r="B68" t="s">
        <v>6</v>
      </c>
      <c r="C68" t="s">
        <v>7</v>
      </c>
      <c r="D68" s="11">
        <v>1.44322516892578</v>
      </c>
      <c r="E68" t="s">
        <v>26</v>
      </c>
    </row>
    <row r="69" spans="1:5" x14ac:dyDescent="0.3">
      <c r="A69" t="s">
        <v>31</v>
      </c>
      <c r="B69" t="s">
        <v>6</v>
      </c>
      <c r="C69" t="s">
        <v>4</v>
      </c>
      <c r="D69" s="12">
        <v>2.6210429188850499</v>
      </c>
      <c r="E69" t="s">
        <v>27</v>
      </c>
    </row>
    <row r="70" spans="1:5" x14ac:dyDescent="0.3">
      <c r="A70" t="s">
        <v>31</v>
      </c>
      <c r="B70" t="s">
        <v>6</v>
      </c>
      <c r="C70" t="s">
        <v>4</v>
      </c>
      <c r="D70" s="11">
        <v>2.0521335332116601</v>
      </c>
      <c r="E70" t="s">
        <v>27</v>
      </c>
    </row>
    <row r="71" spans="1:5" x14ac:dyDescent="0.3">
      <c r="A71" t="s">
        <v>31</v>
      </c>
      <c r="B71" t="s">
        <v>6</v>
      </c>
      <c r="C71" t="s">
        <v>4</v>
      </c>
      <c r="D71" s="11">
        <v>2.5099720645989301</v>
      </c>
      <c r="E71" t="s">
        <v>27</v>
      </c>
    </row>
    <row r="72" spans="1:5" x14ac:dyDescent="0.3">
      <c r="A72" t="s">
        <v>31</v>
      </c>
      <c r="B72" t="s">
        <v>6</v>
      </c>
      <c r="C72" t="s">
        <v>4</v>
      </c>
      <c r="D72" s="11">
        <v>1.86467267330672</v>
      </c>
      <c r="E72" t="s">
        <v>27</v>
      </c>
    </row>
    <row r="73" spans="1:5" x14ac:dyDescent="0.3">
      <c r="A73" t="s">
        <v>31</v>
      </c>
      <c r="B73" t="s">
        <v>6</v>
      </c>
      <c r="C73" t="s">
        <v>8</v>
      </c>
      <c r="D73" s="12">
        <v>1.13986456526881</v>
      </c>
      <c r="E73" t="s">
        <v>28</v>
      </c>
    </row>
    <row r="74" spans="1:5" x14ac:dyDescent="0.3">
      <c r="A74" t="s">
        <v>31</v>
      </c>
      <c r="B74" t="s">
        <v>6</v>
      </c>
      <c r="C74" t="s">
        <v>8</v>
      </c>
      <c r="D74" s="12">
        <v>0.74711797928816504</v>
      </c>
      <c r="E74" t="s">
        <v>28</v>
      </c>
    </row>
    <row r="75" spans="1:5" x14ac:dyDescent="0.3">
      <c r="A75" t="s">
        <v>31</v>
      </c>
      <c r="B75" t="s">
        <v>6</v>
      </c>
      <c r="C75" t="s">
        <v>8</v>
      </c>
      <c r="D75" s="12">
        <v>0.209386618717263</v>
      </c>
      <c r="E75" t="s">
        <v>28</v>
      </c>
    </row>
    <row r="76" spans="1:5" x14ac:dyDescent="0.3">
      <c r="A76" t="s">
        <v>31</v>
      </c>
      <c r="B76" t="s">
        <v>6</v>
      </c>
      <c r="C76" t="s">
        <v>9</v>
      </c>
      <c r="D76" s="12">
        <v>2.5227499999999998</v>
      </c>
      <c r="E76" t="s">
        <v>29</v>
      </c>
    </row>
    <row r="77" spans="1:5" x14ac:dyDescent="0.3">
      <c r="A77" t="s">
        <v>31</v>
      </c>
      <c r="B77" t="s">
        <v>6</v>
      </c>
      <c r="C77" t="s">
        <v>9</v>
      </c>
      <c r="D77" s="12">
        <v>0.64338510924674097</v>
      </c>
      <c r="E77" t="s">
        <v>29</v>
      </c>
    </row>
    <row r="78" spans="1:5" x14ac:dyDescent="0.3">
      <c r="A78" t="s">
        <v>31</v>
      </c>
      <c r="B78" t="s">
        <v>6</v>
      </c>
      <c r="C78" t="s">
        <v>9</v>
      </c>
      <c r="D78" s="12">
        <v>0.69222785706132794</v>
      </c>
      <c r="E78" t="s">
        <v>29</v>
      </c>
    </row>
    <row r="79" spans="1:5" x14ac:dyDescent="0.3">
      <c r="A79" t="s">
        <v>31</v>
      </c>
      <c r="B79" t="s">
        <v>6</v>
      </c>
      <c r="C79" t="s">
        <v>10</v>
      </c>
      <c r="D79" s="12">
        <v>0.76800000000000002</v>
      </c>
      <c r="E79" t="s">
        <v>30</v>
      </c>
    </row>
    <row r="80" spans="1:5" x14ac:dyDescent="0.3">
      <c r="A80" t="s">
        <v>31</v>
      </c>
      <c r="B80" t="s">
        <v>6</v>
      </c>
      <c r="C80" t="s">
        <v>10</v>
      </c>
      <c r="D80" s="12">
        <v>0.54341059455082796</v>
      </c>
      <c r="E80" t="s">
        <v>30</v>
      </c>
    </row>
    <row r="81" spans="1:5" x14ac:dyDescent="0.3">
      <c r="A81" t="s">
        <v>31</v>
      </c>
      <c r="B81" t="s">
        <v>6</v>
      </c>
      <c r="C81" t="s">
        <v>10</v>
      </c>
      <c r="D81" s="12">
        <v>0.63370821525303</v>
      </c>
      <c r="E81" t="s">
        <v>30</v>
      </c>
    </row>
    <row r="82" spans="1:5" x14ac:dyDescent="0.3">
      <c r="A82" t="s">
        <v>32</v>
      </c>
      <c r="B82" t="s">
        <v>5</v>
      </c>
      <c r="C82" t="s">
        <v>0</v>
      </c>
      <c r="D82" s="2">
        <v>1</v>
      </c>
      <c r="E82" t="s">
        <v>24</v>
      </c>
    </row>
    <row r="83" spans="1:5" x14ac:dyDescent="0.3">
      <c r="A83" t="s">
        <v>32</v>
      </c>
      <c r="B83" t="s">
        <v>5</v>
      </c>
      <c r="C83" t="s">
        <v>0</v>
      </c>
      <c r="D83" s="2">
        <v>1</v>
      </c>
      <c r="E83" t="s">
        <v>24</v>
      </c>
    </row>
    <row r="84" spans="1:5" x14ac:dyDescent="0.3">
      <c r="A84" t="s">
        <v>32</v>
      </c>
      <c r="B84" t="s">
        <v>5</v>
      </c>
      <c r="C84" t="s">
        <v>0</v>
      </c>
      <c r="D84" s="2">
        <v>1</v>
      </c>
      <c r="E84" t="s">
        <v>24</v>
      </c>
    </row>
    <row r="85" spans="1:5" x14ac:dyDescent="0.3">
      <c r="A85" t="s">
        <v>32</v>
      </c>
      <c r="B85" t="s">
        <v>5</v>
      </c>
      <c r="C85" t="s">
        <v>0</v>
      </c>
      <c r="D85" s="2">
        <v>1</v>
      </c>
      <c r="E85" t="s">
        <v>24</v>
      </c>
    </row>
    <row r="86" spans="1:5" x14ac:dyDescent="0.3">
      <c r="A86" t="s">
        <v>32</v>
      </c>
      <c r="B86" t="s">
        <v>5</v>
      </c>
      <c r="C86" t="s">
        <v>3</v>
      </c>
      <c r="D86" s="11">
        <v>1.4703311615894601</v>
      </c>
      <c r="E86" t="s">
        <v>25</v>
      </c>
    </row>
    <row r="87" spans="1:5" x14ac:dyDescent="0.3">
      <c r="A87" t="s">
        <v>32</v>
      </c>
      <c r="B87" t="s">
        <v>5</v>
      </c>
      <c r="C87" t="s">
        <v>3</v>
      </c>
      <c r="D87" s="11">
        <v>1.1709815015813201</v>
      </c>
      <c r="E87" t="s">
        <v>25</v>
      </c>
    </row>
    <row r="88" spans="1:5" x14ac:dyDescent="0.3">
      <c r="A88" t="s">
        <v>32</v>
      </c>
      <c r="B88" t="s">
        <v>5</v>
      </c>
      <c r="C88" t="s">
        <v>3</v>
      </c>
      <c r="D88" s="11">
        <v>1.1014634755281401</v>
      </c>
      <c r="E88" t="s">
        <v>25</v>
      </c>
    </row>
    <row r="89" spans="1:5" x14ac:dyDescent="0.3">
      <c r="A89" t="s">
        <v>32</v>
      </c>
      <c r="B89" t="s">
        <v>5</v>
      </c>
      <c r="C89" t="s">
        <v>3</v>
      </c>
      <c r="D89" s="11">
        <v>1.08118341087201</v>
      </c>
      <c r="E89" t="s">
        <v>25</v>
      </c>
    </row>
    <row r="90" spans="1:5" x14ac:dyDescent="0.3">
      <c r="A90" t="s">
        <v>32</v>
      </c>
      <c r="B90" t="s">
        <v>5</v>
      </c>
      <c r="C90" t="s">
        <v>7</v>
      </c>
      <c r="D90" s="11">
        <v>0.90446602822407796</v>
      </c>
      <c r="E90" t="s">
        <v>26</v>
      </c>
    </row>
    <row r="91" spans="1:5" x14ac:dyDescent="0.3">
      <c r="A91" t="s">
        <v>32</v>
      </c>
      <c r="B91" t="s">
        <v>5</v>
      </c>
      <c r="C91" t="s">
        <v>7</v>
      </c>
      <c r="D91" s="11">
        <v>0.82252035934487899</v>
      </c>
      <c r="E91" t="s">
        <v>26</v>
      </c>
    </row>
    <row r="92" spans="1:5" x14ac:dyDescent="0.3">
      <c r="A92" t="s">
        <v>32</v>
      </c>
      <c r="B92" t="s">
        <v>5</v>
      </c>
      <c r="C92" t="s">
        <v>7</v>
      </c>
      <c r="D92" s="11">
        <v>1.0504873426508099</v>
      </c>
      <c r="E92" t="s">
        <v>26</v>
      </c>
    </row>
    <row r="93" spans="1:5" x14ac:dyDescent="0.3">
      <c r="A93" t="s">
        <v>32</v>
      </c>
      <c r="B93" t="s">
        <v>5</v>
      </c>
      <c r="C93" t="s">
        <v>7</v>
      </c>
      <c r="D93" s="11">
        <v>0.89991545053291799</v>
      </c>
      <c r="E93" t="s">
        <v>26</v>
      </c>
    </row>
    <row r="94" spans="1:5" x14ac:dyDescent="0.3">
      <c r="A94" t="s">
        <v>32</v>
      </c>
      <c r="B94" t="s">
        <v>5</v>
      </c>
      <c r="C94" t="s">
        <v>4</v>
      </c>
      <c r="D94" s="11">
        <v>0.93155812134971405</v>
      </c>
      <c r="E94" t="s">
        <v>27</v>
      </c>
    </row>
    <row r="95" spans="1:5" x14ac:dyDescent="0.3">
      <c r="A95" t="s">
        <v>32</v>
      </c>
      <c r="B95" t="s">
        <v>5</v>
      </c>
      <c r="C95" t="s">
        <v>4</v>
      </c>
      <c r="D95" s="11">
        <v>1.0243448466629399</v>
      </c>
      <c r="E95" t="s">
        <v>27</v>
      </c>
    </row>
    <row r="96" spans="1:5" x14ac:dyDescent="0.3">
      <c r="A96" t="s">
        <v>32</v>
      </c>
      <c r="B96" t="s">
        <v>5</v>
      </c>
      <c r="C96" t="s">
        <v>4</v>
      </c>
      <c r="D96" s="11">
        <v>1.11436914438737</v>
      </c>
      <c r="E96" t="s">
        <v>27</v>
      </c>
    </row>
    <row r="97" spans="1:5" x14ac:dyDescent="0.3">
      <c r="A97" t="s">
        <v>32</v>
      </c>
      <c r="B97" t="s">
        <v>5</v>
      </c>
      <c r="C97" t="s">
        <v>4</v>
      </c>
      <c r="D97" s="11">
        <v>1.1524288917204499</v>
      </c>
      <c r="E97" t="s">
        <v>27</v>
      </c>
    </row>
    <row r="98" spans="1:5" x14ac:dyDescent="0.3">
      <c r="A98" t="s">
        <v>32</v>
      </c>
      <c r="B98" t="s">
        <v>5</v>
      </c>
      <c r="C98" t="s">
        <v>11</v>
      </c>
      <c r="D98" s="11">
        <v>0.63009917304688001</v>
      </c>
      <c r="E98" t="s">
        <v>28</v>
      </c>
    </row>
    <row r="99" spans="1:5" x14ac:dyDescent="0.3">
      <c r="A99" t="s">
        <v>32</v>
      </c>
      <c r="B99" t="s">
        <v>5</v>
      </c>
      <c r="C99" t="s">
        <v>11</v>
      </c>
      <c r="D99" s="11">
        <v>0.81027113342621104</v>
      </c>
      <c r="E99" t="s">
        <v>28</v>
      </c>
    </row>
    <row r="100" spans="1:5" x14ac:dyDescent="0.3">
      <c r="A100" t="s">
        <v>32</v>
      </c>
      <c r="B100" t="s">
        <v>5</v>
      </c>
      <c r="C100" t="s">
        <v>11</v>
      </c>
      <c r="D100" s="11">
        <v>0.70624433874567805</v>
      </c>
      <c r="E100" t="s">
        <v>28</v>
      </c>
    </row>
    <row r="101" spans="1:5" x14ac:dyDescent="0.3">
      <c r="A101" t="s">
        <v>32</v>
      </c>
      <c r="B101" t="s">
        <v>6</v>
      </c>
      <c r="C101" t="s">
        <v>0</v>
      </c>
      <c r="D101" s="2">
        <v>1</v>
      </c>
      <c r="E101" t="s">
        <v>24</v>
      </c>
    </row>
    <row r="102" spans="1:5" x14ac:dyDescent="0.3">
      <c r="A102" t="s">
        <v>32</v>
      </c>
      <c r="B102" t="s">
        <v>6</v>
      </c>
      <c r="C102" t="s">
        <v>0</v>
      </c>
      <c r="D102" s="2">
        <v>1</v>
      </c>
      <c r="E102" t="s">
        <v>24</v>
      </c>
    </row>
    <row r="103" spans="1:5" x14ac:dyDescent="0.3">
      <c r="A103" t="s">
        <v>32</v>
      </c>
      <c r="B103" t="s">
        <v>6</v>
      </c>
      <c r="C103" t="s">
        <v>0</v>
      </c>
      <c r="D103" s="2">
        <v>1</v>
      </c>
      <c r="E103" t="s">
        <v>24</v>
      </c>
    </row>
    <row r="104" spans="1:5" x14ac:dyDescent="0.3">
      <c r="A104" t="s">
        <v>32</v>
      </c>
      <c r="B104" t="s">
        <v>6</v>
      </c>
      <c r="C104" t="s">
        <v>0</v>
      </c>
      <c r="D104" s="2">
        <v>1</v>
      </c>
      <c r="E104" t="s">
        <v>24</v>
      </c>
    </row>
    <row r="105" spans="1:5" x14ac:dyDescent="0.3">
      <c r="A105" t="s">
        <v>32</v>
      </c>
      <c r="B105" t="s">
        <v>6</v>
      </c>
      <c r="C105" t="s">
        <v>3</v>
      </c>
      <c r="D105" s="11">
        <v>2.1862149828283601</v>
      </c>
      <c r="E105" t="s">
        <v>25</v>
      </c>
    </row>
    <row r="106" spans="1:5" x14ac:dyDescent="0.3">
      <c r="A106" t="s">
        <v>32</v>
      </c>
      <c r="B106" t="s">
        <v>6</v>
      </c>
      <c r="C106" t="s">
        <v>3</v>
      </c>
      <c r="D106" s="11">
        <v>1.06623936951597</v>
      </c>
      <c r="E106" t="s">
        <v>25</v>
      </c>
    </row>
    <row r="107" spans="1:5" x14ac:dyDescent="0.3">
      <c r="A107" t="s">
        <v>32</v>
      </c>
      <c r="B107" t="s">
        <v>6</v>
      </c>
      <c r="C107" t="s">
        <v>3</v>
      </c>
      <c r="D107" s="11">
        <v>1.2338232901545501</v>
      </c>
      <c r="E107" t="s">
        <v>25</v>
      </c>
    </row>
    <row r="108" spans="1:5" x14ac:dyDescent="0.3">
      <c r="A108" t="s">
        <v>32</v>
      </c>
      <c r="B108" t="s">
        <v>6</v>
      </c>
      <c r="C108" t="s">
        <v>3</v>
      </c>
      <c r="D108" s="11">
        <v>1.11198317520833</v>
      </c>
      <c r="E108" t="s">
        <v>25</v>
      </c>
    </row>
    <row r="109" spans="1:5" x14ac:dyDescent="0.3">
      <c r="A109" t="s">
        <v>32</v>
      </c>
      <c r="B109" t="s">
        <v>6</v>
      </c>
      <c r="C109" t="s">
        <v>7</v>
      </c>
      <c r="D109" s="11">
        <v>1.0372115626970499</v>
      </c>
      <c r="E109" t="s">
        <v>26</v>
      </c>
    </row>
    <row r="110" spans="1:5" x14ac:dyDescent="0.3">
      <c r="A110" t="s">
        <v>32</v>
      </c>
      <c r="B110" t="s">
        <v>6</v>
      </c>
      <c r="C110" t="s">
        <v>7</v>
      </c>
      <c r="D110" s="11">
        <v>0.99357458206710203</v>
      </c>
      <c r="E110" t="s">
        <v>26</v>
      </c>
    </row>
    <row r="111" spans="1:5" x14ac:dyDescent="0.3">
      <c r="A111" t="s">
        <v>32</v>
      </c>
      <c r="B111" t="s">
        <v>6</v>
      </c>
      <c r="C111" t="s">
        <v>7</v>
      </c>
      <c r="D111" s="11">
        <v>1.0769048074766601</v>
      </c>
      <c r="E111" t="s">
        <v>26</v>
      </c>
    </row>
    <row r="112" spans="1:5" x14ac:dyDescent="0.3">
      <c r="A112" t="s">
        <v>32</v>
      </c>
      <c r="B112" t="s">
        <v>6</v>
      </c>
      <c r="C112" t="s">
        <v>7</v>
      </c>
      <c r="D112" s="11">
        <v>1.0908044567497699</v>
      </c>
      <c r="E112" t="s">
        <v>26</v>
      </c>
    </row>
    <row r="113" spans="1:5" x14ac:dyDescent="0.3">
      <c r="A113" t="s">
        <v>32</v>
      </c>
      <c r="B113" t="s">
        <v>6</v>
      </c>
      <c r="C113" t="s">
        <v>4</v>
      </c>
      <c r="D113" s="12">
        <v>1.1120616536208101</v>
      </c>
      <c r="E113" t="s">
        <v>27</v>
      </c>
    </row>
    <row r="114" spans="1:5" x14ac:dyDescent="0.3">
      <c r="A114" t="s">
        <v>32</v>
      </c>
      <c r="B114" t="s">
        <v>6</v>
      </c>
      <c r="C114" t="s">
        <v>4</v>
      </c>
      <c r="D114" s="11">
        <v>0.70586868231299005</v>
      </c>
      <c r="E114" t="s">
        <v>27</v>
      </c>
    </row>
    <row r="115" spans="1:5" x14ac:dyDescent="0.3">
      <c r="A115" t="s">
        <v>32</v>
      </c>
      <c r="B115" t="s">
        <v>6</v>
      </c>
      <c r="C115" t="s">
        <v>4</v>
      </c>
      <c r="D115" s="11">
        <v>1.1992085773219401</v>
      </c>
      <c r="E115" t="s">
        <v>27</v>
      </c>
    </row>
    <row r="116" spans="1:5" x14ac:dyDescent="0.3">
      <c r="A116" t="s">
        <v>32</v>
      </c>
      <c r="B116" t="s">
        <v>6</v>
      </c>
      <c r="C116" t="s">
        <v>4</v>
      </c>
      <c r="D116" s="11">
        <v>0.90647686001512195</v>
      </c>
      <c r="E116" t="s">
        <v>27</v>
      </c>
    </row>
    <row r="117" spans="1:5" x14ac:dyDescent="0.3">
      <c r="A117" t="s">
        <v>32</v>
      </c>
      <c r="B117" t="s">
        <v>6</v>
      </c>
      <c r="C117" t="s">
        <v>8</v>
      </c>
      <c r="D117" s="12">
        <v>1.4658445372432301</v>
      </c>
      <c r="E117" t="s">
        <v>28</v>
      </c>
    </row>
    <row r="118" spans="1:5" x14ac:dyDescent="0.3">
      <c r="A118" t="s">
        <v>32</v>
      </c>
      <c r="B118" t="s">
        <v>6</v>
      </c>
      <c r="C118" t="s">
        <v>8</v>
      </c>
      <c r="D118" s="12">
        <v>1.3452093584698199</v>
      </c>
      <c r="E118" t="s">
        <v>28</v>
      </c>
    </row>
    <row r="119" spans="1:5" x14ac:dyDescent="0.3">
      <c r="A119" t="s">
        <v>32</v>
      </c>
      <c r="B119" t="s">
        <v>6</v>
      </c>
      <c r="C119" t="s">
        <v>8</v>
      </c>
      <c r="D119" s="12">
        <v>1.1550223609580701</v>
      </c>
      <c r="E119" t="s">
        <v>28</v>
      </c>
    </row>
    <row r="120" spans="1:5" x14ac:dyDescent="0.3">
      <c r="A120" t="s">
        <v>32</v>
      </c>
      <c r="B120" t="s">
        <v>6</v>
      </c>
      <c r="C120" t="s">
        <v>9</v>
      </c>
      <c r="D120" s="12">
        <v>0.37425059262478799</v>
      </c>
      <c r="E120" t="s">
        <v>29</v>
      </c>
    </row>
    <row r="121" spans="1:5" x14ac:dyDescent="0.3">
      <c r="A121" t="s">
        <v>32</v>
      </c>
      <c r="B121" t="s">
        <v>6</v>
      </c>
      <c r="C121" t="s">
        <v>9</v>
      </c>
      <c r="D121" s="12">
        <v>1.30566627005629</v>
      </c>
      <c r="E121" t="s">
        <v>29</v>
      </c>
    </row>
    <row r="122" spans="1:5" x14ac:dyDescent="0.3">
      <c r="A122" t="s">
        <v>32</v>
      </c>
      <c r="B122" t="s">
        <v>6</v>
      </c>
      <c r="C122" t="s">
        <v>9</v>
      </c>
      <c r="D122" s="12">
        <v>1.1830119671389201</v>
      </c>
      <c r="E122" t="s">
        <v>29</v>
      </c>
    </row>
    <row r="123" spans="1:5" x14ac:dyDescent="0.3">
      <c r="A123" t="s">
        <v>32</v>
      </c>
      <c r="B123" t="s">
        <v>6</v>
      </c>
      <c r="C123" t="s">
        <v>10</v>
      </c>
      <c r="D123" s="12">
        <v>0.78949546595105602</v>
      </c>
      <c r="E123" t="s">
        <v>30</v>
      </c>
    </row>
    <row r="124" spans="1:5" x14ac:dyDescent="0.3">
      <c r="A124" t="s">
        <v>32</v>
      </c>
      <c r="B124" t="s">
        <v>6</v>
      </c>
      <c r="C124" t="s">
        <v>10</v>
      </c>
      <c r="D124" s="12">
        <v>1.40038637866214</v>
      </c>
      <c r="E124" t="s">
        <v>30</v>
      </c>
    </row>
    <row r="125" spans="1:5" x14ac:dyDescent="0.3">
      <c r="A125" t="s">
        <v>32</v>
      </c>
      <c r="B125" t="s">
        <v>6</v>
      </c>
      <c r="C125" t="s">
        <v>10</v>
      </c>
      <c r="D125" s="12">
        <v>2.5842672796176802</v>
      </c>
      <c r="E12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SXM-L</vt:lpstr>
      <vt:lpstr>PDM-L</vt:lpstr>
      <vt:lpstr>PLATE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2025-04-02T11:23:03Z</dcterms:created>
  <dcterms:modified xsi:type="dcterms:W3CDTF">2025-08-23T22:23:43Z</dcterms:modified>
</cp:coreProperties>
</file>