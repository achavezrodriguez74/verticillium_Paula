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datasets\"/>
    </mc:Choice>
  </mc:AlternateContent>
  <xr:revisionPtr revIDLastSave="0" documentId="13_ncr:1_{31FABD8B-C408-4D38-A934-F1096222480E}" xr6:coauthVersionLast="47" xr6:coauthVersionMax="47" xr10:uidLastSave="{00000000-0000-0000-0000-000000000000}"/>
  <bookViews>
    <workbookView xWindow="-108" yWindow="-108" windowWidth="23256" windowHeight="12456" activeTab="1" xr2:uid="{1E2F038B-3370-456A-AA0F-2AE8535770C7}"/>
  </bookViews>
  <sheets>
    <sheet name="Sheet1" sheetId="1" r:id="rId1"/>
    <sheet name="statist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5" i="1"/>
  <c r="O4" i="1"/>
  <c r="O3" i="1"/>
  <c r="N6" i="1"/>
  <c r="N5" i="1"/>
  <c r="N4" i="1"/>
  <c r="N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3" i="1"/>
  <c r="H16" i="1"/>
  <c r="I6" i="1"/>
  <c r="H6" i="1"/>
  <c r="D18" i="1"/>
  <c r="E18" i="1"/>
  <c r="C18" i="1"/>
  <c r="D17" i="1"/>
  <c r="E17" i="1"/>
  <c r="C17" i="1"/>
  <c r="C15" i="1"/>
  <c r="E11" i="1"/>
  <c r="C11" i="1"/>
  <c r="D7" i="1"/>
  <c r="C7" i="1"/>
</calcChain>
</file>

<file path=xl/sharedStrings.xml><?xml version="1.0" encoding="utf-8"?>
<sst xmlns="http://schemas.openxmlformats.org/spreadsheetml/2006/main" count="175" uniqueCount="41">
  <si>
    <t>WT-1</t>
  </si>
  <si>
    <t>WT-2</t>
  </si>
  <si>
    <t>WT-3</t>
  </si>
  <si>
    <t>WT-4</t>
  </si>
  <si>
    <t>ΔAML1 c2-1</t>
  </si>
  <si>
    <t>ΔAML1 c2-2</t>
  </si>
  <si>
    <t>ΔAML1 c3-1</t>
  </si>
  <si>
    <t>ΔAML1 c3-2</t>
  </si>
  <si>
    <t xml:space="preserve">AML1-C </t>
  </si>
  <si>
    <t>AML1-C c2-1</t>
  </si>
  <si>
    <t>AML1-C c2-2</t>
  </si>
  <si>
    <t>AML1-C c10-1</t>
  </si>
  <si>
    <t>AML1-C c10-2</t>
  </si>
  <si>
    <t>AML1-GFP c12-1</t>
  </si>
  <si>
    <t>AML1-GFP c12-2</t>
  </si>
  <si>
    <t>AML1-GFP c14-1</t>
  </si>
  <si>
    <t>AML1-GFP c14-2</t>
  </si>
  <si>
    <t>DARK</t>
  </si>
  <si>
    <t>LIGHT</t>
  </si>
  <si>
    <t>ΔAML1</t>
  </si>
  <si>
    <t>WT</t>
  </si>
  <si>
    <t>AML1-C</t>
  </si>
  <si>
    <t>AML1-GFP</t>
  </si>
  <si>
    <t xml:space="preserve">ΔAML1 </t>
  </si>
  <si>
    <t>ΔAML2</t>
  </si>
  <si>
    <t>ΔAML3</t>
  </si>
  <si>
    <t>ΔAML4</t>
  </si>
  <si>
    <t>Treatment</t>
  </si>
  <si>
    <t>Radius</t>
  </si>
  <si>
    <t>Plot</t>
  </si>
  <si>
    <t>Condition</t>
  </si>
  <si>
    <t>Dark</t>
  </si>
  <si>
    <t>a</t>
  </si>
  <si>
    <t>b</t>
  </si>
  <si>
    <t>c</t>
  </si>
  <si>
    <t>d</t>
  </si>
  <si>
    <t>Light</t>
  </si>
  <si>
    <t>Bio.Rep</t>
  </si>
  <si>
    <t>delAML1</t>
  </si>
  <si>
    <t>AML1_C</t>
  </si>
  <si>
    <t>AML1_GFP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</si>
</sst>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2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DARK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Sheet1!$M$3:$M$6</c:f>
              <c:strCache>
                <c:ptCount val="4"/>
                <c:pt idx="0">
                  <c:v>WT</c:v>
                </c:pt>
                <c:pt idx="1">
                  <c:v>ΔAML1</c:v>
                </c:pt>
                <c:pt idx="2">
                  <c:v>AML1-C</c:v>
                </c:pt>
                <c:pt idx="3">
                  <c:v>AML1-GFP</c:v>
                </c:pt>
              </c:strCache>
            </c:strRef>
          </c:cat>
          <c:val>
            <c:numRef>
              <c:f>Sheet1!$N$3:$N$6</c:f>
              <c:numCache>
                <c:formatCode>0.00</c:formatCode>
                <c:ptCount val="4"/>
                <c:pt idx="0">
                  <c:v>2.2999999999999998</c:v>
                </c:pt>
                <c:pt idx="1">
                  <c:v>2.1624999999999996</c:v>
                </c:pt>
                <c:pt idx="2">
                  <c:v>2.2874999999999996</c:v>
                </c:pt>
                <c:pt idx="3">
                  <c:v>2.1875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F-4933-9A08-FE7333FC516F}"/>
            </c:ext>
          </c:extLst>
        </c:ser>
        <c:ser>
          <c:idx val="1"/>
          <c:order val="1"/>
          <c:tx>
            <c:strRef>
              <c:f>Sheet1!$O$2</c:f>
              <c:strCache>
                <c:ptCount val="1"/>
                <c:pt idx="0">
                  <c:v>LIGHT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Sheet1!$M$3:$M$6</c:f>
              <c:strCache>
                <c:ptCount val="4"/>
                <c:pt idx="0">
                  <c:v>WT</c:v>
                </c:pt>
                <c:pt idx="1">
                  <c:v>ΔAML1</c:v>
                </c:pt>
                <c:pt idx="2">
                  <c:v>AML1-C</c:v>
                </c:pt>
                <c:pt idx="3">
                  <c:v>AML1-GFP</c:v>
                </c:pt>
              </c:strCache>
            </c:strRef>
          </c:cat>
          <c:val>
            <c:numRef>
              <c:f>Sheet1!$O$3:$O$6</c:f>
              <c:numCache>
                <c:formatCode>0.00</c:formatCode>
                <c:ptCount val="4"/>
                <c:pt idx="0">
                  <c:v>2.3916666666666666</c:v>
                </c:pt>
                <c:pt idx="1">
                  <c:v>2.3541666666666665</c:v>
                </c:pt>
                <c:pt idx="2">
                  <c:v>2.375</c:v>
                </c:pt>
                <c:pt idx="3">
                  <c:v>2.3291666666666671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F-4933-9A08-FE7333FC5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295455"/>
        <c:axId val="401002943"/>
      </c:barChart>
      <c:catAx>
        <c:axId val="50529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01002943"/>
        <c:crosses val="autoZero"/>
        <c:auto val="1"/>
        <c:lblAlgn val="ctr"/>
        <c:lblOffset val="100"/>
        <c:noMultiLvlLbl val="0"/>
      </c:catAx>
      <c:valAx>
        <c:axId val="40100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0529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8</xdr:row>
      <xdr:rowOff>7620</xdr:rowOff>
    </xdr:from>
    <xdr:to>
      <xdr:col>20</xdr:col>
      <xdr:colOff>0</xdr:colOff>
      <xdr:row>25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F2C942-62B1-487B-9359-AD6C1D94E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45266-C0FB-4071-91CA-B95BB6E6149D}">
  <dimension ref="B2:O36"/>
  <sheetViews>
    <sheetView topLeftCell="A19" workbookViewId="0">
      <selection activeCell="D21" sqref="D21:D36"/>
    </sheetView>
  </sheetViews>
  <sheetFormatPr defaultRowHeight="14.4" x14ac:dyDescent="0.3"/>
  <cols>
    <col min="2" max="2" width="15.109375" customWidth="1"/>
    <col min="13" max="13" width="10.88671875" customWidth="1"/>
  </cols>
  <sheetData>
    <row r="2" spans="2:15" x14ac:dyDescent="0.3">
      <c r="C2" s="5" t="s">
        <v>17</v>
      </c>
      <c r="D2" s="5"/>
      <c r="E2" s="5"/>
      <c r="F2" s="5"/>
      <c r="G2" s="6" t="s">
        <v>18</v>
      </c>
      <c r="H2" s="6"/>
      <c r="I2" s="6"/>
      <c r="J2" s="6"/>
      <c r="N2" s="2" t="s">
        <v>17</v>
      </c>
      <c r="O2" s="3" t="s">
        <v>18</v>
      </c>
    </row>
    <row r="3" spans="2:15" x14ac:dyDescent="0.3">
      <c r="B3" t="s">
        <v>0</v>
      </c>
      <c r="C3">
        <v>2.2999999999999998</v>
      </c>
      <c r="D3">
        <v>2.2999999999999998</v>
      </c>
      <c r="E3">
        <v>2.2999999999999998</v>
      </c>
      <c r="F3" s="4">
        <f>AVERAGE(C3:E3)</f>
        <v>2.2999999999999998</v>
      </c>
      <c r="G3">
        <v>2.4</v>
      </c>
      <c r="H3">
        <v>2.4</v>
      </c>
      <c r="I3">
        <v>2.4</v>
      </c>
      <c r="J3" s="4">
        <f>AVERAGE(G3:I3)</f>
        <v>2.4</v>
      </c>
      <c r="M3" t="s">
        <v>20</v>
      </c>
      <c r="N3" s="4">
        <f>AVERAGE(F3:F6)</f>
        <v>2.2999999999999998</v>
      </c>
      <c r="O3" s="4">
        <f>AVERAGE(J3:J6)</f>
        <v>2.3916666666666666</v>
      </c>
    </row>
    <row r="4" spans="2:15" x14ac:dyDescent="0.3">
      <c r="B4" t="s">
        <v>1</v>
      </c>
      <c r="C4">
        <v>2.2999999999999998</v>
      </c>
      <c r="D4">
        <v>2.2999999999999998</v>
      </c>
      <c r="E4">
        <v>2.2999999999999998</v>
      </c>
      <c r="F4" s="4">
        <f t="shared" ref="F4:F18" si="0">AVERAGE(C4:E4)</f>
        <v>2.2999999999999998</v>
      </c>
      <c r="G4">
        <v>2.4</v>
      </c>
      <c r="H4">
        <v>2.4</v>
      </c>
      <c r="I4">
        <v>2.4</v>
      </c>
      <c r="J4" s="4">
        <f t="shared" ref="J4:J18" si="1">AVERAGE(G4:I4)</f>
        <v>2.4</v>
      </c>
      <c r="M4" s="1" t="s">
        <v>19</v>
      </c>
      <c r="N4" s="4">
        <f>AVERAGE(F7:F10)</f>
        <v>2.1624999999999996</v>
      </c>
      <c r="O4" s="4">
        <f>AVERAGE(J7:J10)</f>
        <v>2.3541666666666665</v>
      </c>
    </row>
    <row r="5" spans="2:15" x14ac:dyDescent="0.3">
      <c r="B5" t="s">
        <v>2</v>
      </c>
      <c r="C5">
        <v>2.2999999999999998</v>
      </c>
      <c r="D5">
        <v>2.2999999999999998</v>
      </c>
      <c r="E5">
        <v>2.2999999999999998</v>
      </c>
      <c r="F5" s="4">
        <f t="shared" si="0"/>
        <v>2.2999999999999998</v>
      </c>
      <c r="G5">
        <v>2.4</v>
      </c>
      <c r="H5">
        <v>2.4</v>
      </c>
      <c r="I5">
        <v>2.4</v>
      </c>
      <c r="J5" s="4">
        <f t="shared" si="1"/>
        <v>2.4</v>
      </c>
      <c r="M5" t="s">
        <v>21</v>
      </c>
      <c r="N5" s="4">
        <f>AVERAGE(F11:F14)</f>
        <v>2.2874999999999996</v>
      </c>
      <c r="O5" s="4">
        <f>AVERAGE(J11:J14)</f>
        <v>2.375</v>
      </c>
    </row>
    <row r="6" spans="2:15" x14ac:dyDescent="0.3">
      <c r="B6" t="s">
        <v>3</v>
      </c>
      <c r="C6">
        <v>2.2999999999999998</v>
      </c>
      <c r="D6">
        <v>2.2999999999999998</v>
      </c>
      <c r="E6">
        <v>2.2999999999999998</v>
      </c>
      <c r="F6" s="4">
        <f t="shared" si="0"/>
        <v>2.2999999999999998</v>
      </c>
      <c r="G6">
        <v>2.4</v>
      </c>
      <c r="H6">
        <f>4.7/2</f>
        <v>2.35</v>
      </c>
      <c r="I6">
        <f>4.7/2</f>
        <v>2.35</v>
      </c>
      <c r="J6" s="4">
        <f t="shared" si="1"/>
        <v>2.3666666666666667</v>
      </c>
      <c r="M6" t="s">
        <v>22</v>
      </c>
      <c r="N6" s="4">
        <f>AVERAGE(F15:F18)</f>
        <v>2.1875</v>
      </c>
      <c r="O6" s="4">
        <f>AVERAGE(J15:J18)</f>
        <v>2.3291666666666671</v>
      </c>
    </row>
    <row r="7" spans="2:15" x14ac:dyDescent="0.3">
      <c r="B7" s="1" t="s">
        <v>4</v>
      </c>
      <c r="C7">
        <f>4.3/2</f>
        <v>2.15</v>
      </c>
      <c r="D7">
        <f>4.4/2</f>
        <v>2.2000000000000002</v>
      </c>
      <c r="E7">
        <v>2.15</v>
      </c>
      <c r="F7" s="4">
        <f t="shared" si="0"/>
        <v>2.1666666666666665</v>
      </c>
      <c r="G7">
        <v>2.35</v>
      </c>
      <c r="H7">
        <v>2.35</v>
      </c>
      <c r="I7">
        <v>2.35</v>
      </c>
      <c r="J7" s="4">
        <f t="shared" si="1"/>
        <v>2.35</v>
      </c>
    </row>
    <row r="8" spans="2:15" x14ac:dyDescent="0.3">
      <c r="B8" s="1" t="s">
        <v>5</v>
      </c>
      <c r="C8">
        <v>2.15</v>
      </c>
      <c r="D8">
        <v>2.15</v>
      </c>
      <c r="E8">
        <v>2.15</v>
      </c>
      <c r="F8" s="4">
        <f t="shared" si="0"/>
        <v>2.15</v>
      </c>
      <c r="G8">
        <v>2.35</v>
      </c>
      <c r="H8">
        <v>2.35</v>
      </c>
      <c r="I8">
        <v>2.4</v>
      </c>
      <c r="J8" s="4">
        <f t="shared" si="1"/>
        <v>2.3666666666666667</v>
      </c>
    </row>
    <row r="9" spans="2:15" x14ac:dyDescent="0.3">
      <c r="B9" s="1" t="s">
        <v>6</v>
      </c>
      <c r="C9">
        <v>2.15</v>
      </c>
      <c r="D9">
        <v>2.2000000000000002</v>
      </c>
      <c r="E9">
        <v>2.15</v>
      </c>
      <c r="F9" s="4">
        <f t="shared" si="0"/>
        <v>2.1666666666666665</v>
      </c>
      <c r="G9">
        <v>2.35</v>
      </c>
      <c r="H9">
        <v>2.35</v>
      </c>
      <c r="I9">
        <v>2.35</v>
      </c>
      <c r="J9" s="4">
        <f t="shared" si="1"/>
        <v>2.35</v>
      </c>
    </row>
    <row r="10" spans="2:15" x14ac:dyDescent="0.3">
      <c r="B10" s="1" t="s">
        <v>7</v>
      </c>
      <c r="C10">
        <v>2.15</v>
      </c>
      <c r="D10">
        <v>2.2000000000000002</v>
      </c>
      <c r="E10">
        <v>2.15</v>
      </c>
      <c r="F10" s="4">
        <f t="shared" si="0"/>
        <v>2.1666666666666665</v>
      </c>
      <c r="G10">
        <v>2.4</v>
      </c>
      <c r="H10">
        <v>2.2999999999999998</v>
      </c>
      <c r="I10">
        <v>2.35</v>
      </c>
      <c r="J10" s="4">
        <f t="shared" si="1"/>
        <v>2.3499999999999996</v>
      </c>
    </row>
    <row r="11" spans="2:15" x14ac:dyDescent="0.3">
      <c r="B11" s="1" t="s">
        <v>9</v>
      </c>
      <c r="C11">
        <f>4.5/2</f>
        <v>2.25</v>
      </c>
      <c r="D11">
        <v>2.25</v>
      </c>
      <c r="E11">
        <f>4.6/2</f>
        <v>2.2999999999999998</v>
      </c>
      <c r="F11" s="4">
        <f t="shared" si="0"/>
        <v>2.2666666666666666</v>
      </c>
      <c r="G11">
        <v>2.35</v>
      </c>
      <c r="H11">
        <v>2.35</v>
      </c>
      <c r="I11">
        <v>2.35</v>
      </c>
      <c r="J11" s="4">
        <f t="shared" si="1"/>
        <v>2.35</v>
      </c>
    </row>
    <row r="12" spans="2:15" x14ac:dyDescent="0.3">
      <c r="B12" s="1" t="s">
        <v>10</v>
      </c>
      <c r="C12">
        <v>2.2999999999999998</v>
      </c>
      <c r="D12">
        <v>2.2999999999999998</v>
      </c>
      <c r="E12">
        <v>2.25</v>
      </c>
      <c r="F12" s="4">
        <f t="shared" si="0"/>
        <v>2.2833333333333332</v>
      </c>
      <c r="G12">
        <v>2.4</v>
      </c>
      <c r="H12">
        <v>2.4</v>
      </c>
      <c r="I12">
        <v>2.35</v>
      </c>
      <c r="J12" s="4">
        <f t="shared" si="1"/>
        <v>2.3833333333333333</v>
      </c>
    </row>
    <row r="13" spans="2:15" x14ac:dyDescent="0.3">
      <c r="B13" s="1" t="s">
        <v>11</v>
      </c>
      <c r="C13">
        <v>2.2999999999999998</v>
      </c>
      <c r="D13">
        <v>2.2999999999999998</v>
      </c>
      <c r="E13">
        <v>2.2999999999999998</v>
      </c>
      <c r="F13" s="4">
        <f t="shared" si="0"/>
        <v>2.2999999999999998</v>
      </c>
      <c r="G13">
        <v>2.35</v>
      </c>
      <c r="H13">
        <v>2.4</v>
      </c>
      <c r="I13">
        <v>2.4</v>
      </c>
      <c r="J13" s="4">
        <f t="shared" si="1"/>
        <v>2.3833333333333333</v>
      </c>
    </row>
    <row r="14" spans="2:15" x14ac:dyDescent="0.3">
      <c r="B14" s="1" t="s">
        <v>12</v>
      </c>
      <c r="C14">
        <v>2.2999999999999998</v>
      </c>
      <c r="D14">
        <v>2.2999999999999998</v>
      </c>
      <c r="E14">
        <v>2.2999999999999998</v>
      </c>
      <c r="F14" s="4">
        <f t="shared" si="0"/>
        <v>2.2999999999999998</v>
      </c>
      <c r="G14">
        <v>2.35</v>
      </c>
      <c r="H14">
        <v>2.4</v>
      </c>
      <c r="I14">
        <v>2.4</v>
      </c>
      <c r="J14" s="4">
        <f t="shared" si="1"/>
        <v>2.3833333333333333</v>
      </c>
    </row>
    <row r="15" spans="2:15" x14ac:dyDescent="0.3">
      <c r="B15" s="1" t="s">
        <v>13</v>
      </c>
      <c r="C15">
        <f>4.3/2</f>
        <v>2.15</v>
      </c>
      <c r="D15">
        <v>2.2000000000000002</v>
      </c>
      <c r="E15">
        <v>2.2000000000000002</v>
      </c>
      <c r="F15" s="4">
        <f t="shared" si="0"/>
        <v>2.1833333333333331</v>
      </c>
      <c r="G15">
        <v>2.35</v>
      </c>
      <c r="H15">
        <v>2.35</v>
      </c>
      <c r="I15">
        <v>2.35</v>
      </c>
      <c r="J15" s="4">
        <f t="shared" si="1"/>
        <v>2.35</v>
      </c>
    </row>
    <row r="16" spans="2:15" x14ac:dyDescent="0.3">
      <c r="B16" s="1" t="s">
        <v>14</v>
      </c>
      <c r="C16">
        <v>2.15</v>
      </c>
      <c r="D16">
        <v>2.2000000000000002</v>
      </c>
      <c r="E16">
        <v>2.15</v>
      </c>
      <c r="F16" s="4">
        <f t="shared" si="0"/>
        <v>2.1666666666666665</v>
      </c>
      <c r="G16">
        <v>2.35</v>
      </c>
      <c r="H16">
        <f>4.5/2</f>
        <v>2.25</v>
      </c>
      <c r="I16">
        <v>2.2000000000000002</v>
      </c>
      <c r="J16" s="4">
        <f t="shared" si="1"/>
        <v>2.2666666666666666</v>
      </c>
    </row>
    <row r="17" spans="2:10" x14ac:dyDescent="0.3">
      <c r="B17" s="1" t="s">
        <v>15</v>
      </c>
      <c r="C17">
        <f>4.5/2</f>
        <v>2.25</v>
      </c>
      <c r="D17">
        <f t="shared" ref="D17:E17" si="2">4.5/2</f>
        <v>2.25</v>
      </c>
      <c r="E17">
        <f t="shared" si="2"/>
        <v>2.25</v>
      </c>
      <c r="F17" s="4">
        <f t="shared" si="0"/>
        <v>2.25</v>
      </c>
      <c r="G17">
        <v>2.35</v>
      </c>
      <c r="H17">
        <v>2.2999999999999998</v>
      </c>
      <c r="I17">
        <v>2.35</v>
      </c>
      <c r="J17" s="4">
        <f t="shared" si="1"/>
        <v>2.3333333333333335</v>
      </c>
    </row>
    <row r="18" spans="2:10" x14ac:dyDescent="0.3">
      <c r="B18" s="1" t="s">
        <v>16</v>
      </c>
      <c r="C18">
        <f>4.3/2</f>
        <v>2.15</v>
      </c>
      <c r="D18">
        <f t="shared" ref="D18:E18" si="3">4.3/2</f>
        <v>2.15</v>
      </c>
      <c r="E18">
        <f t="shared" si="3"/>
        <v>2.15</v>
      </c>
      <c r="F18" s="4">
        <f t="shared" si="0"/>
        <v>2.15</v>
      </c>
      <c r="G18">
        <v>2.4</v>
      </c>
      <c r="H18">
        <v>2.4</v>
      </c>
      <c r="I18">
        <v>2.2999999999999998</v>
      </c>
      <c r="J18" s="4">
        <f t="shared" si="1"/>
        <v>2.3666666666666667</v>
      </c>
    </row>
    <row r="20" spans="2:10" x14ac:dyDescent="0.3">
      <c r="C20" s="2" t="s">
        <v>17</v>
      </c>
      <c r="D20" s="3" t="s">
        <v>18</v>
      </c>
    </row>
    <row r="21" spans="2:10" x14ac:dyDescent="0.3">
      <c r="B21" t="s">
        <v>20</v>
      </c>
      <c r="C21" s="4">
        <v>2.2999999999999998</v>
      </c>
      <c r="D21" s="4">
        <v>2.4</v>
      </c>
    </row>
    <row r="22" spans="2:10" x14ac:dyDescent="0.3">
      <c r="B22" t="s">
        <v>20</v>
      </c>
      <c r="C22" s="4">
        <v>2.2999999999999998</v>
      </c>
      <c r="D22" s="4">
        <v>2.4</v>
      </c>
    </row>
    <row r="23" spans="2:10" x14ac:dyDescent="0.3">
      <c r="B23" t="s">
        <v>20</v>
      </c>
      <c r="C23" s="4">
        <v>2.2999999999999998</v>
      </c>
      <c r="D23" s="4">
        <v>2.4</v>
      </c>
    </row>
    <row r="24" spans="2:10" x14ac:dyDescent="0.3">
      <c r="B24" t="s">
        <v>20</v>
      </c>
      <c r="C24" s="4">
        <v>2.2999999999999998</v>
      </c>
      <c r="D24" s="4">
        <v>2.3666666666666667</v>
      </c>
    </row>
    <row r="25" spans="2:10" x14ac:dyDescent="0.3">
      <c r="B25" s="1" t="s">
        <v>23</v>
      </c>
      <c r="C25" s="4">
        <v>2.1666666666666665</v>
      </c>
      <c r="D25" s="4">
        <v>2.35</v>
      </c>
    </row>
    <row r="26" spans="2:10" x14ac:dyDescent="0.3">
      <c r="B26" s="1" t="s">
        <v>24</v>
      </c>
      <c r="C26" s="4">
        <v>2.15</v>
      </c>
      <c r="D26" s="4">
        <v>2.3666666666666667</v>
      </c>
    </row>
    <row r="27" spans="2:10" x14ac:dyDescent="0.3">
      <c r="B27" s="1" t="s">
        <v>25</v>
      </c>
      <c r="C27" s="4">
        <v>2.1666666666666665</v>
      </c>
      <c r="D27" s="4">
        <v>2.35</v>
      </c>
    </row>
    <row r="28" spans="2:10" x14ac:dyDescent="0.3">
      <c r="B28" s="1" t="s">
        <v>26</v>
      </c>
      <c r="C28" s="4">
        <v>2.1666666666666665</v>
      </c>
      <c r="D28" s="4">
        <v>2.3499999999999996</v>
      </c>
    </row>
    <row r="29" spans="2:10" x14ac:dyDescent="0.3">
      <c r="B29" s="1" t="s">
        <v>8</v>
      </c>
      <c r="C29" s="4">
        <v>2.2666666666666666</v>
      </c>
      <c r="D29" s="4">
        <v>2.35</v>
      </c>
    </row>
    <row r="30" spans="2:10" x14ac:dyDescent="0.3">
      <c r="B30" s="1" t="s">
        <v>8</v>
      </c>
      <c r="C30" s="4">
        <v>2.2833333333333332</v>
      </c>
      <c r="D30" s="4">
        <v>2.3833333333333333</v>
      </c>
    </row>
    <row r="31" spans="2:10" x14ac:dyDescent="0.3">
      <c r="B31" s="1" t="s">
        <v>8</v>
      </c>
      <c r="C31" s="4">
        <v>2.2999999999999998</v>
      </c>
      <c r="D31" s="4">
        <v>2.3833333333333333</v>
      </c>
    </row>
    <row r="32" spans="2:10" x14ac:dyDescent="0.3">
      <c r="B32" s="1" t="s">
        <v>8</v>
      </c>
      <c r="C32" s="4">
        <v>2.2999999999999998</v>
      </c>
      <c r="D32" s="4">
        <v>2.3833333333333333</v>
      </c>
    </row>
    <row r="33" spans="2:4" x14ac:dyDescent="0.3">
      <c r="B33" s="1" t="s">
        <v>22</v>
      </c>
      <c r="C33" s="4">
        <v>2.1833333333333331</v>
      </c>
      <c r="D33" s="4">
        <v>2.35</v>
      </c>
    </row>
    <row r="34" spans="2:4" x14ac:dyDescent="0.3">
      <c r="B34" s="1" t="s">
        <v>22</v>
      </c>
      <c r="C34" s="4">
        <v>2.1666666666666665</v>
      </c>
      <c r="D34" s="4">
        <v>2.2666666666666666</v>
      </c>
    </row>
    <row r="35" spans="2:4" x14ac:dyDescent="0.3">
      <c r="B35" s="1" t="s">
        <v>22</v>
      </c>
      <c r="C35" s="4">
        <v>2.25</v>
      </c>
      <c r="D35" s="4">
        <v>2.3333333333333335</v>
      </c>
    </row>
    <row r="36" spans="2:4" x14ac:dyDescent="0.3">
      <c r="B36" s="1" t="s">
        <v>22</v>
      </c>
      <c r="C36" s="4">
        <v>2.15</v>
      </c>
      <c r="D36" s="4">
        <v>2.3666666666666667</v>
      </c>
    </row>
  </sheetData>
  <mergeCells count="2">
    <mergeCell ref="C2:F2"/>
    <mergeCell ref="G2:J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9A2F-9221-467A-8066-C3FA9D4A1857}">
  <dimension ref="A1:E33"/>
  <sheetViews>
    <sheetView tabSelected="1" workbookViewId="0">
      <selection activeCell="B18" sqref="B18:B33"/>
    </sheetView>
  </sheetViews>
  <sheetFormatPr defaultRowHeight="14.4" x14ac:dyDescent="0.3"/>
  <cols>
    <col min="1" max="1" width="9.21875" bestFit="1" customWidth="1"/>
    <col min="2" max="2" width="9.21875" customWidth="1"/>
  </cols>
  <sheetData>
    <row r="1" spans="1:5" x14ac:dyDescent="0.3">
      <c r="A1" t="s">
        <v>37</v>
      </c>
      <c r="B1" t="s">
        <v>27</v>
      </c>
      <c r="C1" t="s">
        <v>28</v>
      </c>
      <c r="D1" t="s">
        <v>30</v>
      </c>
      <c r="E1" t="s">
        <v>29</v>
      </c>
    </row>
    <row r="2" spans="1:5" x14ac:dyDescent="0.3">
      <c r="A2" t="s">
        <v>20</v>
      </c>
      <c r="B2" t="s">
        <v>20</v>
      </c>
      <c r="C2" s="4">
        <v>2.2999999999999998</v>
      </c>
      <c r="D2" t="s">
        <v>31</v>
      </c>
      <c r="E2" t="s">
        <v>32</v>
      </c>
    </row>
    <row r="3" spans="1:5" x14ac:dyDescent="0.3">
      <c r="A3" t="s">
        <v>20</v>
      </c>
      <c r="B3" t="s">
        <v>20</v>
      </c>
      <c r="C3" s="4">
        <v>2.2999999999999998</v>
      </c>
      <c r="D3" t="s">
        <v>31</v>
      </c>
      <c r="E3" t="s">
        <v>32</v>
      </c>
    </row>
    <row r="4" spans="1:5" x14ac:dyDescent="0.3">
      <c r="A4" t="s">
        <v>20</v>
      </c>
      <c r="B4" t="s">
        <v>20</v>
      </c>
      <c r="C4" s="4">
        <v>2.2999999999999998</v>
      </c>
      <c r="D4" t="s">
        <v>31</v>
      </c>
      <c r="E4" t="s">
        <v>32</v>
      </c>
    </row>
    <row r="5" spans="1:5" x14ac:dyDescent="0.3">
      <c r="A5" t="s">
        <v>20</v>
      </c>
      <c r="B5" t="s">
        <v>20</v>
      </c>
      <c r="C5" s="4">
        <v>2.2999999999999998</v>
      </c>
      <c r="D5" t="s">
        <v>31</v>
      </c>
      <c r="E5" t="s">
        <v>32</v>
      </c>
    </row>
    <row r="6" spans="1:5" x14ac:dyDescent="0.3">
      <c r="A6" s="1" t="s">
        <v>23</v>
      </c>
      <c r="B6" s="1" t="s">
        <v>38</v>
      </c>
      <c r="C6" s="4">
        <v>2.1666666666666665</v>
      </c>
      <c r="D6" t="s">
        <v>31</v>
      </c>
      <c r="E6" t="s">
        <v>33</v>
      </c>
    </row>
    <row r="7" spans="1:5" x14ac:dyDescent="0.3">
      <c r="A7" s="1" t="s">
        <v>24</v>
      </c>
      <c r="B7" s="1" t="s">
        <v>38</v>
      </c>
      <c r="C7" s="4">
        <v>2.15</v>
      </c>
      <c r="D7" t="s">
        <v>31</v>
      </c>
      <c r="E7" t="s">
        <v>33</v>
      </c>
    </row>
    <row r="8" spans="1:5" x14ac:dyDescent="0.3">
      <c r="A8" s="1" t="s">
        <v>25</v>
      </c>
      <c r="B8" s="1" t="s">
        <v>38</v>
      </c>
      <c r="C8" s="4">
        <v>2.1666666666666665</v>
      </c>
      <c r="D8" t="s">
        <v>31</v>
      </c>
      <c r="E8" t="s">
        <v>33</v>
      </c>
    </row>
    <row r="9" spans="1:5" x14ac:dyDescent="0.3">
      <c r="A9" s="1" t="s">
        <v>26</v>
      </c>
      <c r="B9" s="1" t="s">
        <v>38</v>
      </c>
      <c r="C9" s="4">
        <v>2.1666666666666665</v>
      </c>
      <c r="D9" t="s">
        <v>31</v>
      </c>
      <c r="E9" t="s">
        <v>33</v>
      </c>
    </row>
    <row r="10" spans="1:5" x14ac:dyDescent="0.3">
      <c r="A10" s="1" t="s">
        <v>8</v>
      </c>
      <c r="B10" s="1" t="s">
        <v>39</v>
      </c>
      <c r="C10" s="4">
        <v>2.2666666666666666</v>
      </c>
      <c r="D10" t="s">
        <v>31</v>
      </c>
      <c r="E10" t="s">
        <v>34</v>
      </c>
    </row>
    <row r="11" spans="1:5" x14ac:dyDescent="0.3">
      <c r="A11" s="1" t="s">
        <v>8</v>
      </c>
      <c r="B11" s="1" t="s">
        <v>39</v>
      </c>
      <c r="C11" s="4">
        <v>2.2833333333333332</v>
      </c>
      <c r="D11" t="s">
        <v>31</v>
      </c>
      <c r="E11" t="s">
        <v>34</v>
      </c>
    </row>
    <row r="12" spans="1:5" x14ac:dyDescent="0.3">
      <c r="A12" s="1" t="s">
        <v>8</v>
      </c>
      <c r="B12" s="1" t="s">
        <v>39</v>
      </c>
      <c r="C12" s="4">
        <v>2.2999999999999998</v>
      </c>
      <c r="D12" t="s">
        <v>31</v>
      </c>
      <c r="E12" t="s">
        <v>34</v>
      </c>
    </row>
    <row r="13" spans="1:5" x14ac:dyDescent="0.3">
      <c r="A13" s="1" t="s">
        <v>8</v>
      </c>
      <c r="B13" s="1" t="s">
        <v>39</v>
      </c>
      <c r="C13" s="4">
        <v>2.2999999999999998</v>
      </c>
      <c r="D13" t="s">
        <v>31</v>
      </c>
      <c r="E13" t="s">
        <v>34</v>
      </c>
    </row>
    <row r="14" spans="1:5" x14ac:dyDescent="0.3">
      <c r="A14" s="1" t="s">
        <v>22</v>
      </c>
      <c r="B14" s="1" t="s">
        <v>40</v>
      </c>
      <c r="C14" s="4">
        <v>2.1833333333333331</v>
      </c>
      <c r="D14" t="s">
        <v>31</v>
      </c>
      <c r="E14" t="s">
        <v>35</v>
      </c>
    </row>
    <row r="15" spans="1:5" x14ac:dyDescent="0.3">
      <c r="A15" s="1" t="s">
        <v>22</v>
      </c>
      <c r="B15" s="1" t="s">
        <v>40</v>
      </c>
      <c r="C15" s="4">
        <v>2.1666666666666665</v>
      </c>
      <c r="D15" t="s">
        <v>31</v>
      </c>
      <c r="E15" t="s">
        <v>35</v>
      </c>
    </row>
    <row r="16" spans="1:5" x14ac:dyDescent="0.3">
      <c r="A16" s="1" t="s">
        <v>22</v>
      </c>
      <c r="B16" s="1" t="s">
        <v>40</v>
      </c>
      <c r="C16" s="4">
        <v>2.25</v>
      </c>
      <c r="D16" t="s">
        <v>31</v>
      </c>
      <c r="E16" t="s">
        <v>35</v>
      </c>
    </row>
    <row r="17" spans="1:5" x14ac:dyDescent="0.3">
      <c r="A17" s="1" t="s">
        <v>22</v>
      </c>
      <c r="B17" s="1" t="s">
        <v>40</v>
      </c>
      <c r="C17" s="4">
        <v>2.15</v>
      </c>
      <c r="D17" t="s">
        <v>31</v>
      </c>
      <c r="E17" t="s">
        <v>35</v>
      </c>
    </row>
    <row r="18" spans="1:5" x14ac:dyDescent="0.3">
      <c r="A18" t="s">
        <v>20</v>
      </c>
      <c r="B18" t="s">
        <v>20</v>
      </c>
      <c r="C18" s="4">
        <v>2.4</v>
      </c>
      <c r="D18" t="s">
        <v>36</v>
      </c>
      <c r="E18" t="s">
        <v>32</v>
      </c>
    </row>
    <row r="19" spans="1:5" x14ac:dyDescent="0.3">
      <c r="A19" t="s">
        <v>20</v>
      </c>
      <c r="B19" t="s">
        <v>20</v>
      </c>
      <c r="C19" s="4">
        <v>2.4</v>
      </c>
      <c r="D19" t="s">
        <v>36</v>
      </c>
      <c r="E19" t="s">
        <v>32</v>
      </c>
    </row>
    <row r="20" spans="1:5" x14ac:dyDescent="0.3">
      <c r="A20" t="s">
        <v>20</v>
      </c>
      <c r="B20" t="s">
        <v>20</v>
      </c>
      <c r="C20" s="4">
        <v>2.4</v>
      </c>
      <c r="D20" t="s">
        <v>36</v>
      </c>
      <c r="E20" t="s">
        <v>32</v>
      </c>
    </row>
    <row r="21" spans="1:5" x14ac:dyDescent="0.3">
      <c r="A21" t="s">
        <v>20</v>
      </c>
      <c r="B21" t="s">
        <v>20</v>
      </c>
      <c r="C21" s="4">
        <v>2.3666666666666667</v>
      </c>
      <c r="D21" t="s">
        <v>36</v>
      </c>
      <c r="E21" t="s">
        <v>32</v>
      </c>
    </row>
    <row r="22" spans="1:5" x14ac:dyDescent="0.3">
      <c r="A22" s="1" t="s">
        <v>23</v>
      </c>
      <c r="B22" s="1" t="s">
        <v>38</v>
      </c>
      <c r="C22" s="4">
        <v>2.35</v>
      </c>
      <c r="D22" t="s">
        <v>36</v>
      </c>
      <c r="E22" t="s">
        <v>33</v>
      </c>
    </row>
    <row r="23" spans="1:5" x14ac:dyDescent="0.3">
      <c r="A23" s="1" t="s">
        <v>24</v>
      </c>
      <c r="B23" s="1" t="s">
        <v>38</v>
      </c>
      <c r="C23" s="4">
        <v>2.3666666666666667</v>
      </c>
      <c r="D23" t="s">
        <v>36</v>
      </c>
      <c r="E23" t="s">
        <v>33</v>
      </c>
    </row>
    <row r="24" spans="1:5" x14ac:dyDescent="0.3">
      <c r="A24" s="1" t="s">
        <v>25</v>
      </c>
      <c r="B24" s="1" t="s">
        <v>38</v>
      </c>
      <c r="C24" s="4">
        <v>2.35</v>
      </c>
      <c r="D24" t="s">
        <v>36</v>
      </c>
      <c r="E24" t="s">
        <v>33</v>
      </c>
    </row>
    <row r="25" spans="1:5" x14ac:dyDescent="0.3">
      <c r="A25" s="1" t="s">
        <v>26</v>
      </c>
      <c r="B25" s="1" t="s">
        <v>38</v>
      </c>
      <c r="C25" s="4">
        <v>2.3499999999999996</v>
      </c>
      <c r="D25" t="s">
        <v>36</v>
      </c>
      <c r="E25" t="s">
        <v>33</v>
      </c>
    </row>
    <row r="26" spans="1:5" x14ac:dyDescent="0.3">
      <c r="A26" s="1" t="s">
        <v>8</v>
      </c>
      <c r="B26" s="1" t="s">
        <v>39</v>
      </c>
      <c r="C26" s="4">
        <v>2.35</v>
      </c>
      <c r="D26" t="s">
        <v>36</v>
      </c>
      <c r="E26" t="s">
        <v>34</v>
      </c>
    </row>
    <row r="27" spans="1:5" x14ac:dyDescent="0.3">
      <c r="A27" s="1" t="s">
        <v>8</v>
      </c>
      <c r="B27" s="1" t="s">
        <v>39</v>
      </c>
      <c r="C27" s="4">
        <v>2.3833333333333333</v>
      </c>
      <c r="D27" t="s">
        <v>36</v>
      </c>
      <c r="E27" t="s">
        <v>34</v>
      </c>
    </row>
    <row r="28" spans="1:5" x14ac:dyDescent="0.3">
      <c r="A28" s="1" t="s">
        <v>8</v>
      </c>
      <c r="B28" s="1" t="s">
        <v>39</v>
      </c>
      <c r="C28" s="4">
        <v>2.3833333333333333</v>
      </c>
      <c r="D28" t="s">
        <v>36</v>
      </c>
      <c r="E28" t="s">
        <v>34</v>
      </c>
    </row>
    <row r="29" spans="1:5" x14ac:dyDescent="0.3">
      <c r="A29" s="1" t="s">
        <v>8</v>
      </c>
      <c r="B29" s="1" t="s">
        <v>39</v>
      </c>
      <c r="C29" s="4">
        <v>2.3833333333333333</v>
      </c>
      <c r="D29" t="s">
        <v>36</v>
      </c>
      <c r="E29" t="s">
        <v>34</v>
      </c>
    </row>
    <row r="30" spans="1:5" x14ac:dyDescent="0.3">
      <c r="A30" s="1" t="s">
        <v>22</v>
      </c>
      <c r="B30" s="1" t="s">
        <v>40</v>
      </c>
      <c r="C30" s="4">
        <v>2.35</v>
      </c>
      <c r="D30" t="s">
        <v>36</v>
      </c>
      <c r="E30" t="s">
        <v>35</v>
      </c>
    </row>
    <row r="31" spans="1:5" x14ac:dyDescent="0.3">
      <c r="A31" s="1" t="s">
        <v>22</v>
      </c>
      <c r="B31" s="1" t="s">
        <v>40</v>
      </c>
      <c r="C31" s="4">
        <v>2.2666666666666666</v>
      </c>
      <c r="D31" t="s">
        <v>36</v>
      </c>
      <c r="E31" t="s">
        <v>35</v>
      </c>
    </row>
    <row r="32" spans="1:5" x14ac:dyDescent="0.3">
      <c r="A32" s="1" t="s">
        <v>22</v>
      </c>
      <c r="B32" s="1" t="s">
        <v>40</v>
      </c>
      <c r="C32" s="4">
        <v>2.3333333333333335</v>
      </c>
      <c r="D32" t="s">
        <v>36</v>
      </c>
      <c r="E32" t="s">
        <v>35</v>
      </c>
    </row>
    <row r="33" spans="1:5" x14ac:dyDescent="0.3">
      <c r="A33" s="1" t="s">
        <v>22</v>
      </c>
      <c r="B33" s="1" t="s">
        <v>40</v>
      </c>
      <c r="C33" s="4">
        <v>2.3666666666666667</v>
      </c>
      <c r="D33" t="s">
        <v>36</v>
      </c>
      <c r="E3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Ana Paula</dc:creator>
  <cp:lastModifiedBy>Chavez Rodriguez, Luciana</cp:lastModifiedBy>
  <dcterms:created xsi:type="dcterms:W3CDTF">2025-08-22T11:40:05Z</dcterms:created>
  <dcterms:modified xsi:type="dcterms:W3CDTF">2025-08-22T13:33:41Z</dcterms:modified>
</cp:coreProperties>
</file>