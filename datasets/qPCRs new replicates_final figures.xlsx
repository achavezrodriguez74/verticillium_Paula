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datasets\"/>
    </mc:Choice>
  </mc:AlternateContent>
  <xr:revisionPtr revIDLastSave="0" documentId="13_ncr:1_{4B03005D-9B3F-415D-8BF8-B50D00A83AA8}" xr6:coauthVersionLast="47" xr6:coauthVersionMax="47" xr10:uidLastSave="{00000000-0000-0000-0000-000000000000}"/>
  <bookViews>
    <workbookView xWindow="-108" yWindow="-108" windowWidth="23256" windowHeight="12456" tabRatio="772" activeTab="1" xr2:uid="{00000000-000D-0000-FFFF-FFFF00000000}"/>
  </bookViews>
  <sheets>
    <sheet name="PDM new new new_combined" sheetId="14" r:id="rId1"/>
    <sheet name="ESTADÍSTICA" sheetId="22" r:id="rId2"/>
    <sheet name="S-PL WT normalized" sheetId="5" r:id="rId3"/>
    <sheet name="All 3 replicates_DVEL2" sheetId="4" r:id="rId4"/>
    <sheet name="All 3 replicates_DVOS1_DIDD" sheetId="19" r:id="rId5"/>
    <sheet name="05600" sheetId="21" r:id="rId6"/>
    <sheet name="Pearson correlation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0" i="19" l="1"/>
  <c r="G79" i="19"/>
  <c r="G73" i="19"/>
  <c r="G72" i="19"/>
  <c r="G66" i="19"/>
  <c r="G65" i="19"/>
  <c r="G59" i="19"/>
  <c r="G58" i="19"/>
  <c r="G52" i="19"/>
  <c r="G51" i="19"/>
  <c r="E80" i="19"/>
  <c r="E79" i="19"/>
  <c r="E73" i="19"/>
  <c r="E72" i="19"/>
  <c r="E66" i="19"/>
  <c r="E65" i="19"/>
  <c r="E59" i="19"/>
  <c r="E58" i="19"/>
  <c r="E52" i="19"/>
  <c r="E51" i="19"/>
  <c r="C80" i="19"/>
  <c r="C79" i="19"/>
  <c r="C73" i="19"/>
  <c r="C72" i="19"/>
  <c r="C66" i="19"/>
  <c r="C65" i="19"/>
  <c r="C59" i="19"/>
  <c r="C58" i="19"/>
  <c r="C52" i="19"/>
  <c r="C51" i="19"/>
  <c r="G37" i="19"/>
  <c r="G36" i="19"/>
  <c r="G30" i="19"/>
  <c r="G29" i="19"/>
  <c r="G23" i="19"/>
  <c r="G22" i="19"/>
  <c r="G16" i="19"/>
  <c r="G15" i="19"/>
  <c r="G9" i="19"/>
  <c r="G8" i="19"/>
  <c r="E37" i="19"/>
  <c r="E36" i="19"/>
  <c r="P7" i="19" s="1"/>
  <c r="E30" i="19"/>
  <c r="E29" i="19"/>
  <c r="P6" i="19" s="1"/>
  <c r="E23" i="19"/>
  <c r="E22" i="19"/>
  <c r="P5" i="19" s="1"/>
  <c r="E16" i="19"/>
  <c r="E15" i="19"/>
  <c r="P4" i="19" s="1"/>
  <c r="E9" i="19"/>
  <c r="E8" i="19"/>
  <c r="P3" i="19" s="1"/>
  <c r="C37" i="19"/>
  <c r="C36" i="19"/>
  <c r="C30" i="19"/>
  <c r="C29" i="19"/>
  <c r="C23" i="19"/>
  <c r="C22" i="19"/>
  <c r="C16" i="19"/>
  <c r="C15" i="19"/>
  <c r="C9" i="19"/>
  <c r="C8" i="19"/>
  <c r="B80" i="19"/>
  <c r="B79" i="19"/>
  <c r="B73" i="19"/>
  <c r="B72" i="19"/>
  <c r="B66" i="19"/>
  <c r="B65" i="19"/>
  <c r="B59" i="19"/>
  <c r="B58" i="19"/>
  <c r="B52" i="19"/>
  <c r="B51" i="19"/>
  <c r="B37" i="19"/>
  <c r="B36" i="19"/>
  <c r="B30" i="19"/>
  <c r="B29" i="19"/>
  <c r="B23" i="19"/>
  <c r="B22" i="19"/>
  <c r="B16" i="19"/>
  <c r="B15" i="19"/>
  <c r="B9" i="19"/>
  <c r="B8" i="19"/>
  <c r="C23" i="4"/>
  <c r="C37" i="4"/>
  <c r="C36" i="4"/>
  <c r="C30" i="4"/>
  <c r="C29" i="4"/>
  <c r="C22" i="4"/>
  <c r="C16" i="4"/>
  <c r="C15" i="4"/>
  <c r="C9" i="4"/>
  <c r="C8" i="4"/>
  <c r="E30" i="4"/>
  <c r="E29" i="4"/>
  <c r="N6" i="4" s="1"/>
  <c r="E23" i="4"/>
  <c r="E22" i="4"/>
  <c r="N5" i="4" s="1"/>
  <c r="E16" i="4"/>
  <c r="E15" i="4"/>
  <c r="N4" i="4" s="1"/>
  <c r="E9" i="4"/>
  <c r="E8" i="4"/>
  <c r="N3" i="4"/>
  <c r="E37" i="4"/>
  <c r="E36" i="4"/>
  <c r="N7" i="4" s="1"/>
  <c r="E5" i="15"/>
  <c r="E3" i="15"/>
  <c r="E2" i="15"/>
  <c r="E4" i="15" s="1"/>
  <c r="E6" i="15" s="1"/>
  <c r="I36" i="14"/>
  <c r="G36" i="14"/>
  <c r="E36" i="14"/>
  <c r="C36" i="14"/>
  <c r="B36" i="14"/>
  <c r="I35" i="14"/>
  <c r="Q7" i="14" s="1"/>
  <c r="G35" i="14"/>
  <c r="P7" i="14" s="1"/>
  <c r="E35" i="14"/>
  <c r="O7" i="14" s="1"/>
  <c r="C35" i="14"/>
  <c r="N7" i="14" s="1"/>
  <c r="B35" i="14"/>
  <c r="I29" i="14"/>
  <c r="G29" i="14"/>
  <c r="E29" i="14"/>
  <c r="C29" i="14"/>
  <c r="B29" i="14"/>
  <c r="I28" i="14"/>
  <c r="Q6" i="14" s="1"/>
  <c r="G28" i="14"/>
  <c r="P6" i="14" s="1"/>
  <c r="E28" i="14"/>
  <c r="O6" i="14" s="1"/>
  <c r="C28" i="14"/>
  <c r="N6" i="14" s="1"/>
  <c r="B28" i="14"/>
  <c r="I22" i="14"/>
  <c r="G22" i="14"/>
  <c r="E22" i="14"/>
  <c r="C22" i="14"/>
  <c r="B22" i="14"/>
  <c r="I21" i="14"/>
  <c r="Q5" i="14" s="1"/>
  <c r="G21" i="14"/>
  <c r="P5" i="14" s="1"/>
  <c r="E21" i="14"/>
  <c r="O5" i="14" s="1"/>
  <c r="C21" i="14"/>
  <c r="N5" i="14" s="1"/>
  <c r="B21" i="14"/>
  <c r="I15" i="14"/>
  <c r="G15" i="14"/>
  <c r="E15" i="14"/>
  <c r="C15" i="14"/>
  <c r="B15" i="14"/>
  <c r="I14" i="14"/>
  <c r="Q4" i="14" s="1"/>
  <c r="G14" i="14"/>
  <c r="P4" i="14" s="1"/>
  <c r="E14" i="14"/>
  <c r="O4" i="14" s="1"/>
  <c r="C14" i="14"/>
  <c r="N4" i="14" s="1"/>
  <c r="B14" i="14"/>
  <c r="I8" i="14"/>
  <c r="G8" i="14"/>
  <c r="E8" i="14"/>
  <c r="C8" i="14"/>
  <c r="B8" i="14"/>
  <c r="I7" i="14"/>
  <c r="Q3" i="14" s="1"/>
  <c r="G7" i="14"/>
  <c r="P3" i="14" s="1"/>
  <c r="E7" i="14"/>
  <c r="O3" i="14" s="1"/>
  <c r="C7" i="14"/>
  <c r="N3" i="14" s="1"/>
  <c r="B7" i="14"/>
  <c r="B37" i="4" l="1"/>
  <c r="B36" i="4"/>
  <c r="B30" i="4"/>
  <c r="B29" i="4"/>
  <c r="B23" i="4"/>
  <c r="B22" i="4"/>
  <c r="B16" i="4"/>
  <c r="B15" i="4"/>
  <c r="B9" i="4"/>
  <c r="B8" i="4"/>
  <c r="K27" i="5"/>
  <c r="I27" i="5"/>
  <c r="G27" i="5"/>
  <c r="E27" i="5"/>
  <c r="C27" i="5"/>
  <c r="B27" i="5"/>
  <c r="K26" i="5"/>
  <c r="W7" i="5" s="1"/>
  <c r="I26" i="5"/>
  <c r="V7" i="5" s="1"/>
  <c r="G26" i="5"/>
  <c r="U7" i="5" s="1"/>
  <c r="E26" i="5"/>
  <c r="T7" i="5" s="1"/>
  <c r="C26" i="5"/>
  <c r="S7" i="5" s="1"/>
  <c r="B26" i="5"/>
  <c r="K22" i="5"/>
  <c r="I22" i="5"/>
  <c r="G22" i="5"/>
  <c r="E22" i="5"/>
  <c r="C22" i="5"/>
  <c r="B22" i="5"/>
  <c r="K21" i="5"/>
  <c r="W6" i="5" s="1"/>
  <c r="I21" i="5"/>
  <c r="V6" i="5" s="1"/>
  <c r="G21" i="5"/>
  <c r="U6" i="5" s="1"/>
  <c r="E21" i="5"/>
  <c r="T6" i="5" s="1"/>
  <c r="C21" i="5"/>
  <c r="S6" i="5" s="1"/>
  <c r="B21" i="5"/>
  <c r="K17" i="5"/>
  <c r="I17" i="5"/>
  <c r="G17" i="5"/>
  <c r="E17" i="5"/>
  <c r="C17" i="5"/>
  <c r="B17" i="5"/>
  <c r="K16" i="5"/>
  <c r="W5" i="5" s="1"/>
  <c r="I16" i="5"/>
  <c r="V5" i="5" s="1"/>
  <c r="G16" i="5"/>
  <c r="U5" i="5" s="1"/>
  <c r="E16" i="5"/>
  <c r="T5" i="5" s="1"/>
  <c r="C16" i="5"/>
  <c r="S5" i="5" s="1"/>
  <c r="B16" i="5"/>
  <c r="K12" i="5"/>
  <c r="I12" i="5"/>
  <c r="G12" i="5"/>
  <c r="E12" i="5"/>
  <c r="C12" i="5"/>
  <c r="B12" i="5"/>
  <c r="K11" i="5"/>
  <c r="W4" i="5" s="1"/>
  <c r="I11" i="5"/>
  <c r="V4" i="5" s="1"/>
  <c r="G11" i="5"/>
  <c r="U4" i="5" s="1"/>
  <c r="E11" i="5"/>
  <c r="T4" i="5" s="1"/>
  <c r="C11" i="5"/>
  <c r="S4" i="5" s="1"/>
  <c r="B11" i="5"/>
  <c r="K7" i="5"/>
  <c r="I7" i="5"/>
  <c r="G7" i="5"/>
  <c r="E7" i="5"/>
  <c r="C7" i="5"/>
  <c r="B7" i="5"/>
  <c r="K6" i="5"/>
  <c r="W3" i="5" s="1"/>
  <c r="I6" i="5"/>
  <c r="V3" i="5" s="1"/>
  <c r="G6" i="5"/>
  <c r="U3" i="5" s="1"/>
  <c r="E6" i="5"/>
  <c r="T3" i="5" s="1"/>
  <c r="C6" i="5"/>
  <c r="S3" i="5" s="1"/>
  <c r="B6" i="5"/>
</calcChain>
</file>

<file path=xl/sharedStrings.xml><?xml version="1.0" encoding="utf-8"?>
<sst xmlns="http://schemas.openxmlformats.org/spreadsheetml/2006/main" count="726" uniqueCount="164">
  <si>
    <t>PDM-L</t>
  </si>
  <si>
    <t xml:space="preserve"> Welch's t-test ΔIDD and Vel2-GFP</t>
  </si>
  <si>
    <t>WT</t>
  </si>
  <si>
    <t>Vel2-GFP</t>
  </si>
  <si>
    <r>
      <t>Vel2</t>
    </r>
    <r>
      <rPr>
        <b/>
        <vertAlign val="superscript"/>
        <sz val="10"/>
        <color theme="1"/>
        <rFont val="Calibri"/>
        <family val="2"/>
      </rPr>
      <t>IDD</t>
    </r>
  </si>
  <si>
    <t>ΔVel2</t>
  </si>
  <si>
    <t>ΔVel1</t>
  </si>
  <si>
    <t>ΔVos1</t>
  </si>
  <si>
    <t>Chr5g04380a</t>
  </si>
  <si>
    <t>AVERAGE</t>
  </si>
  <si>
    <t>SD</t>
  </si>
  <si>
    <t>Chr2g05600a</t>
  </si>
  <si>
    <t>Chr6g07660a</t>
  </si>
  <si>
    <t>Chr2g11140a</t>
  </si>
  <si>
    <t>Chr1g27910a</t>
  </si>
  <si>
    <t>SXM-PL</t>
  </si>
  <si>
    <t xml:space="preserve">Welch's t-test: p=0.06092 </t>
  </si>
  <si>
    <t>Welch's t-test: p=0.62532</t>
  </si>
  <si>
    <t>Welch's t-test: p=0.04378</t>
  </si>
  <si>
    <t>Welch's t-test: p=0.08388</t>
  </si>
  <si>
    <t>Welch's t-test: p=0.37795</t>
  </si>
  <si>
    <t>p=0.84364</t>
  </si>
  <si>
    <t>Welch's t-test: p=0.83381</t>
  </si>
  <si>
    <t xml:space="preserve">Welch's t-test:  p=0.9214 </t>
  </si>
  <si>
    <t xml:space="preserve">Welch's t-test: p=0.00889 </t>
  </si>
  <si>
    <t xml:space="preserve">Welch's t-test: p=0.01231 </t>
  </si>
  <si>
    <t xml:space="preserve">Welch's t-test: p=0.02174 </t>
  </si>
  <si>
    <t>p=0.96102</t>
  </si>
  <si>
    <t>Welch's t-test: p=0.33645</t>
  </si>
  <si>
    <t>Welch's t-test: p=0.36477</t>
  </si>
  <si>
    <t>Welch's t-test: p=0.45102</t>
  </si>
  <si>
    <t>Welch's t-test: p=0.2234</t>
  </si>
  <si>
    <t>p=0.17655</t>
  </si>
  <si>
    <t>Welch's t-test: p=0.19366</t>
  </si>
  <si>
    <t>Welch's t-test: p=0.37424</t>
  </si>
  <si>
    <t>Welch's t-test: p=0.01237</t>
  </si>
  <si>
    <t>Welch's t-test: p=0.00027</t>
  </si>
  <si>
    <t>Welch's t-test: p=0.99386</t>
  </si>
  <si>
    <t>p=0.83195</t>
  </si>
  <si>
    <t>**</t>
  </si>
  <si>
    <t>ns</t>
  </si>
  <si>
    <t>*</t>
  </si>
  <si>
    <t>***</t>
  </si>
  <si>
    <t>Welch's t-test: p=0.12415</t>
  </si>
  <si>
    <t>Welch's t-test: p=0.58534</t>
  </si>
  <si>
    <t xml:space="preserve">Welch's t-test: p=0.02704 </t>
  </si>
  <si>
    <t>Welch's t-test: p=0.12176</t>
  </si>
  <si>
    <t>Welch's t-test: p=0.16578</t>
  </si>
  <si>
    <t>p=0.07678</t>
  </si>
  <si>
    <t>Outlier</t>
  </si>
  <si>
    <t>Against trend</t>
  </si>
  <si>
    <t>Both</t>
  </si>
  <si>
    <t>Vel2-comp</t>
  </si>
  <si>
    <t>Vel1-comp</t>
  </si>
  <si>
    <t>Welch's t-test:  p=0.37194</t>
  </si>
  <si>
    <t>Welch's t-test:  p=0.03176</t>
  </si>
  <si>
    <t xml:space="preserve">Welch's t-test: p=0.17422  </t>
  </si>
  <si>
    <t>Welch's t-test:  p=0.48783</t>
  </si>
  <si>
    <t xml:space="preserve">Welch's t-test:  p=0.10835 </t>
  </si>
  <si>
    <t>Welch's t-test:  p=0.34562</t>
  </si>
  <si>
    <t>Welch's t-test:  p=0.12515</t>
  </si>
  <si>
    <t xml:space="preserve">Welch's t-test: p=0.33052 </t>
  </si>
  <si>
    <t>Welch's t-test:   p=0.08815</t>
  </si>
  <si>
    <t>Welch's t-test:  p=0.28538</t>
  </si>
  <si>
    <t>Welch's t-test:  p=0.00526</t>
  </si>
  <si>
    <t>Welch's t-test:  p=0.1333</t>
  </si>
  <si>
    <t>Welch's t-test:  p=0.0004</t>
  </si>
  <si>
    <t>Welch's t-test:  p=0.31363</t>
  </si>
  <si>
    <r>
      <t>qRT-PCR log</t>
    </r>
    <r>
      <rPr>
        <vertAlign val="sub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(fc)</t>
    </r>
  </si>
  <si>
    <r>
      <t>RNA-Seq log</t>
    </r>
    <r>
      <rPr>
        <vertAlign val="sub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(fc)</t>
    </r>
  </si>
  <si>
    <t>Coefficient (r):</t>
  </si>
  <si>
    <t>N:</t>
  </si>
  <si>
    <t>T statistic:</t>
  </si>
  <si>
    <t>DF:</t>
  </si>
  <si>
    <t>p value:</t>
  </si>
  <si>
    <t>degrees freedom</t>
  </si>
  <si>
    <t>Welch's t-test: p=0.04469</t>
  </si>
  <si>
    <t xml:space="preserve">Welch's t-test:   p=0.17945 </t>
  </si>
  <si>
    <t>Welch's t-test:  p=0.5261</t>
  </si>
  <si>
    <t>Welch's t-test:  p=0.15748</t>
  </si>
  <si>
    <t>Welch's t-test:  p=0.00043</t>
  </si>
  <si>
    <t xml:space="preserve">Welch's t-test:   p=0.52961 </t>
  </si>
  <si>
    <t>5x</t>
  </si>
  <si>
    <t>BR1</t>
  </si>
  <si>
    <t>BR2</t>
  </si>
  <si>
    <t>BR3</t>
  </si>
  <si>
    <t>BR4</t>
  </si>
  <si>
    <t>BR5</t>
  </si>
  <si>
    <t>2x</t>
  </si>
  <si>
    <t>SXM-L</t>
  </si>
  <si>
    <t>ΔVEL2</t>
  </si>
  <si>
    <t>ΔVEL1</t>
  </si>
  <si>
    <t>4x</t>
  </si>
  <si>
    <t>Std</t>
  </si>
  <si>
    <t xml:space="preserve">Welch's t-test: p=0.09167 </t>
  </si>
  <si>
    <t xml:space="preserve">Welch's t-test: p=0.03519 </t>
  </si>
  <si>
    <t xml:space="preserve">Welch's t-test: p=0.24331  </t>
  </si>
  <si>
    <t xml:space="preserve">Welch's t-test: p=0.04012  </t>
  </si>
  <si>
    <t xml:space="preserve">Welch's t-test: p=0.02817 </t>
  </si>
  <si>
    <t xml:space="preserve">Welch's t-test: p=0.33302  </t>
  </si>
  <si>
    <t xml:space="preserve">Welch's t-test: p=0.00075 </t>
  </si>
  <si>
    <t xml:space="preserve">Welch's t-test: p=0.23319 </t>
  </si>
  <si>
    <t xml:space="preserve">Welch's t-test: p=0.01416 </t>
  </si>
  <si>
    <t xml:space="preserve">Welch's t-test: p=0.70493   </t>
  </si>
  <si>
    <t>Welch's t-test: p=0.0501</t>
  </si>
  <si>
    <t>ΔIDD</t>
  </si>
  <si>
    <r>
      <t>VEL2</t>
    </r>
    <r>
      <rPr>
        <b/>
        <vertAlign val="superscript"/>
        <sz val="11"/>
        <color theme="1"/>
        <rFont val="Calibri"/>
        <family val="2"/>
      </rPr>
      <t>ΔIDD</t>
    </r>
    <r>
      <rPr>
        <b/>
        <sz val="11"/>
        <color theme="1"/>
        <rFont val="Calibri"/>
        <family val="2"/>
      </rPr>
      <t>-GFP</t>
    </r>
  </si>
  <si>
    <r>
      <t>VEL2</t>
    </r>
    <r>
      <rPr>
        <b/>
        <sz val="11"/>
        <color theme="1"/>
        <rFont val="Calibri"/>
        <family val="2"/>
      </rPr>
      <t>-GFP</t>
    </r>
  </si>
  <si>
    <t>ΔVOS1</t>
  </si>
  <si>
    <t xml:space="preserve">Welch's t-test: p=0.01428  </t>
  </si>
  <si>
    <t>Welch's t-test: p=0.18016</t>
  </si>
  <si>
    <t>Welch's t-test: p=0.03605</t>
  </si>
  <si>
    <t>Welch's t-test: p=0.37348</t>
  </si>
  <si>
    <t xml:space="preserve">Welch's t-test: p=0.43321 </t>
  </si>
  <si>
    <t>Welch's t-test: p=0.16465</t>
  </si>
  <si>
    <t>Welch's t-test: p=0.97367</t>
  </si>
  <si>
    <t>Welch's t-test: p=0.13942</t>
  </si>
  <si>
    <t>Welch's t-test: p=0.39057</t>
  </si>
  <si>
    <t xml:space="preserve">Welch's t-test: p=0.1607 </t>
  </si>
  <si>
    <t>Welch's t-test: p=0.018</t>
  </si>
  <si>
    <t>Welch's t-test: p=0.07814</t>
  </si>
  <si>
    <t xml:space="preserve">Welch's t-test: p=0.56255 </t>
  </si>
  <si>
    <t>Welch's t-test:  p=0.39248</t>
  </si>
  <si>
    <t>Welch's t-test: p=0.90678</t>
  </si>
  <si>
    <t>Welch's t-test:  p=0.04599</t>
  </si>
  <si>
    <t>Welch's t-test: p=0.38149</t>
  </si>
  <si>
    <t>Welch's t-test: p=0.03662</t>
  </si>
  <si>
    <t>Welch's t-test: p=0.00185</t>
  </si>
  <si>
    <t>Welch's t-test: p=0.03352</t>
  </si>
  <si>
    <t>Welch's t-test: p=0.11168</t>
  </si>
  <si>
    <t>BR #1</t>
  </si>
  <si>
    <t>BR #2</t>
  </si>
  <si>
    <t>BR #3</t>
  </si>
  <si>
    <t>BR #4</t>
  </si>
  <si>
    <t>BR #5</t>
  </si>
  <si>
    <t>Welch's t-test: p=0.00444</t>
  </si>
  <si>
    <t>Welch's t-test: p=0.00547</t>
  </si>
  <si>
    <t>Welch's t-test: p=0.24935</t>
  </si>
  <si>
    <t>Welch's t-test: p=0.25376</t>
  </si>
  <si>
    <t>Welch's t-test: p=0.09383</t>
  </si>
  <si>
    <t>Welch's t-test: p=0.7638</t>
  </si>
  <si>
    <t>Welch's t-test:  p=0.43804</t>
  </si>
  <si>
    <t xml:space="preserve">Welch's t-test: p=0.24568 </t>
  </si>
  <si>
    <t xml:space="preserve">Welch's t-test:  p=0.07781 </t>
  </si>
  <si>
    <t>Welch's t-test: p=0.23387</t>
  </si>
  <si>
    <t>Welch's t-test: p=0.29687</t>
  </si>
  <si>
    <t>Welch's t-test: p=0.15294</t>
  </si>
  <si>
    <t>Welch's t-test: p=0.22368</t>
  </si>
  <si>
    <t>Welch's t-test: p=0.87293</t>
  </si>
  <si>
    <t>Welch's t-test: p=0.03099</t>
  </si>
  <si>
    <t xml:space="preserve">Welch's t-test: p=0.21232 </t>
  </si>
  <si>
    <t>Welch's t-test: p=0.20348</t>
  </si>
  <si>
    <t>Welch's t-test: p=0.32922</t>
  </si>
  <si>
    <t>Welch's t-test: p=0.45939</t>
  </si>
  <si>
    <r>
      <t>VEL2</t>
    </r>
    <r>
      <rPr>
        <b/>
        <vertAlign val="superscript"/>
        <sz val="11"/>
        <color theme="1"/>
        <rFont val="Calibri"/>
        <family val="2"/>
      </rPr>
      <t>ΔIDD</t>
    </r>
  </si>
  <si>
    <t>PDM</t>
  </si>
  <si>
    <t>SXM</t>
  </si>
  <si>
    <t>PLATE</t>
  </si>
  <si>
    <t>AML1</t>
  </si>
  <si>
    <t>NML1</t>
  </si>
  <si>
    <t>Medium</t>
  </si>
  <si>
    <t>Treatments</t>
  </si>
  <si>
    <t>Values</t>
  </si>
  <si>
    <t>IDD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</si>
</sst>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0;\-###0.000"/>
    <numFmt numFmtId="165" formatCode="0.000"/>
    <numFmt numFmtId="166" formatCode="###0.00000;\-###0.00000"/>
    <numFmt numFmtId="167" formatCode="0.0"/>
    <numFmt numFmtId="168" formatCode="###0.0;\-###0.0"/>
  </numFmts>
  <fonts count="20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perscript"/>
      <sz val="10"/>
      <color theme="1"/>
      <name val="Calibri"/>
      <family val="2"/>
    </font>
    <font>
      <sz val="8.25"/>
      <name val="Microsoft Sans Serif"/>
      <charset val="1"/>
    </font>
    <font>
      <b/>
      <sz val="11"/>
      <color theme="4" tint="-0.499984740745262"/>
      <name val="Calibri"/>
      <family val="2"/>
      <scheme val="minor"/>
    </font>
    <font>
      <sz val="8.25"/>
      <name val="Microsoft Sans Serif"/>
      <family val="2"/>
    </font>
    <font>
      <b/>
      <vertAlign val="super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name val="Microsoft Sans Serif"/>
      <family val="2"/>
    </font>
    <font>
      <sz val="12"/>
      <name val="Microsoft Sans Serif"/>
      <family val="2"/>
    </font>
    <font>
      <sz val="14"/>
      <name val="Microsoft Sans Serif"/>
      <family val="2"/>
    </font>
    <font>
      <sz val="10"/>
      <color rgb="FF0000EE"/>
      <name val="Verdana"/>
      <family val="2"/>
    </font>
    <font>
      <sz val="10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B05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7" fillId="0" borderId="0">
      <alignment vertical="top"/>
      <protection locked="0"/>
    </xf>
  </cellStyleXfs>
  <cellXfs count="99">
    <xf numFmtId="0" fontId="0" fillId="0" borderId="0" xfId="0"/>
    <xf numFmtId="164" fontId="8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164" fontId="7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0" fillId="7" borderId="0" xfId="0" applyFill="1" applyAlignment="1">
      <alignment horizontal="right" vertical="center"/>
    </xf>
    <xf numFmtId="1" fontId="0" fillId="7" borderId="0" xfId="0" applyNumberFormat="1" applyFill="1" applyAlignment="1">
      <alignment horizontal="right"/>
    </xf>
    <xf numFmtId="164" fontId="0" fillId="7" borderId="0" xfId="0" applyNumberFormat="1" applyFill="1"/>
    <xf numFmtId="164" fontId="0" fillId="0" borderId="0" xfId="0" applyNumberFormat="1"/>
    <xf numFmtId="0" fontId="0" fillId="7" borderId="0" xfId="0" applyFill="1" applyAlignment="1">
      <alignment horizontal="right"/>
    </xf>
    <xf numFmtId="164" fontId="0" fillId="7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164" fontId="0" fillId="8" borderId="4" xfId="0" applyNumberFormat="1" applyFill="1" applyBorder="1" applyAlignment="1">
      <alignment horizontal="right"/>
    </xf>
    <xf numFmtId="164" fontId="0" fillId="8" borderId="5" xfId="0" applyNumberFormat="1" applyFill="1" applyBorder="1" applyAlignment="1">
      <alignment horizontal="right"/>
    </xf>
    <xf numFmtId="164" fontId="0" fillId="4" borderId="6" xfId="0" applyNumberFormat="1" applyFill="1" applyBorder="1" applyAlignment="1">
      <alignment horizontal="right"/>
    </xf>
    <xf numFmtId="164" fontId="0" fillId="4" borderId="7" xfId="0" applyNumberFormat="1" applyFill="1" applyBorder="1" applyAlignment="1">
      <alignment horizontal="right"/>
    </xf>
    <xf numFmtId="0" fontId="0" fillId="7" borderId="0" xfId="0" applyFill="1"/>
    <xf numFmtId="165" fontId="0" fillId="7" borderId="0" xfId="0" applyNumberFormat="1" applyFill="1"/>
    <xf numFmtId="165" fontId="0" fillId="0" borderId="0" xfId="0" applyNumberFormat="1"/>
    <xf numFmtId="165" fontId="0" fillId="8" borderId="4" xfId="0" applyNumberFormat="1" applyFill="1" applyBorder="1"/>
    <xf numFmtId="165" fontId="0" fillId="8" borderId="5" xfId="0" applyNumberFormat="1" applyFill="1" applyBorder="1"/>
    <xf numFmtId="164" fontId="0" fillId="4" borderId="6" xfId="0" applyNumberFormat="1" applyFill="1" applyBorder="1"/>
    <xf numFmtId="164" fontId="0" fillId="4" borderId="7" xfId="0" applyNumberFormat="1" applyFill="1" applyBorder="1"/>
    <xf numFmtId="164" fontId="7" fillId="0" borderId="8" xfId="0" applyNumberFormat="1" applyFont="1" applyBorder="1" applyAlignment="1">
      <alignment vertical="center"/>
    </xf>
    <xf numFmtId="164" fontId="7" fillId="0" borderId="9" xfId="0" applyNumberFormat="1" applyFont="1" applyBorder="1" applyAlignment="1">
      <alignment vertical="center"/>
    </xf>
    <xf numFmtId="1" fontId="0" fillId="0" borderId="0" xfId="0" applyNumberFormat="1" applyAlignment="1">
      <alignment horizontal="right"/>
    </xf>
    <xf numFmtId="164" fontId="7" fillId="9" borderId="0" xfId="0" applyNumberFormat="1" applyFont="1" applyFill="1" applyAlignment="1">
      <alignment vertical="center"/>
    </xf>
    <xf numFmtId="165" fontId="0" fillId="0" borderId="0" xfId="0" applyNumberForma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3" fillId="0" borderId="0" xfId="2" applyNumberFormat="1" applyFill="1" applyAlignment="1">
      <alignment horizontal="center" vertical="center"/>
    </xf>
    <xf numFmtId="165" fontId="2" fillId="0" borderId="0" xfId="1" applyNumberFormat="1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165" fontId="0" fillId="8" borderId="4" xfId="0" applyNumberFormat="1" applyFill="1" applyBorder="1" applyAlignment="1">
      <alignment horizontal="center" vertical="center"/>
    </xf>
    <xf numFmtId="165" fontId="0" fillId="8" borderId="5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5" fontId="7" fillId="9" borderId="0" xfId="0" applyNumberFormat="1" applyFont="1" applyFill="1" applyAlignment="1">
      <alignment horizontal="center" vertical="center"/>
    </xf>
    <xf numFmtId="165" fontId="8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4" fontId="9" fillId="0" borderId="0" xfId="0" applyNumberFormat="1" applyFont="1" applyAlignment="1">
      <alignment vertic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4" fillId="4" borderId="0" xfId="0" applyFont="1" applyFill="1" applyAlignment="1">
      <alignment vertical="center"/>
    </xf>
    <xf numFmtId="166" fontId="7" fillId="0" borderId="0" xfId="0" applyNumberFormat="1" applyFont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4" fillId="4" borderId="0" xfId="0" applyFont="1" applyFill="1" applyAlignment="1">
      <alignment horizontal="center" vertical="center"/>
    </xf>
    <xf numFmtId="167" fontId="0" fillId="0" borderId="13" xfId="0" applyNumberFormat="1" applyBorder="1"/>
    <xf numFmtId="167" fontId="0" fillId="0" borderId="11" xfId="0" applyNumberFormat="1" applyBorder="1"/>
    <xf numFmtId="167" fontId="0" fillId="0" borderId="12" xfId="0" applyNumberFormat="1" applyBorder="1"/>
    <xf numFmtId="20" fontId="0" fillId="0" borderId="0" xfId="0" applyNumberFormat="1" applyAlignment="1">
      <alignment horizontal="center"/>
    </xf>
    <xf numFmtId="0" fontId="13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/>
    </xf>
    <xf numFmtId="165" fontId="1" fillId="0" borderId="0" xfId="0" applyNumberFormat="1" applyFont="1" applyAlignment="1">
      <alignment horizontal="center" wrapText="1"/>
    </xf>
    <xf numFmtId="0" fontId="14" fillId="0" borderId="0" xfId="0" applyFont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5" fontId="7" fillId="12" borderId="0" xfId="0" applyNumberFormat="1" applyFont="1" applyFill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18" fillId="0" borderId="0" xfId="0" applyFont="1"/>
    <xf numFmtId="165" fontId="19" fillId="0" borderId="0" xfId="0" applyNumberFormat="1" applyFont="1"/>
    <xf numFmtId="0" fontId="4" fillId="13" borderId="0" xfId="0" applyFont="1" applyFill="1" applyAlignment="1">
      <alignment vertical="center"/>
    </xf>
    <xf numFmtId="168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right" vertical="center"/>
    </xf>
    <xf numFmtId="0" fontId="4" fillId="15" borderId="0" xfId="0" applyFont="1" applyFill="1" applyAlignment="1">
      <alignment vertical="center"/>
    </xf>
    <xf numFmtId="164" fontId="8" fillId="0" borderId="0" xfId="0" applyNumberFormat="1" applyFont="1" applyAlignment="1">
      <alignment horizontal="center" wrapText="1"/>
    </xf>
    <xf numFmtId="0" fontId="4" fillId="1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wrapText="1"/>
    </xf>
    <xf numFmtId="164" fontId="8" fillId="6" borderId="2" xfId="0" applyNumberFormat="1" applyFont="1" applyFill="1" applyBorder="1" applyAlignment="1">
      <alignment horizontal="center" wrapText="1"/>
    </xf>
    <xf numFmtId="164" fontId="8" fillId="6" borderId="3" xfId="0" applyNumberFormat="1" applyFont="1" applyFill="1" applyBorder="1" applyAlignment="1">
      <alignment horizontal="center" wrapText="1"/>
    </xf>
    <xf numFmtId="165" fontId="8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/>
    </xf>
    <xf numFmtId="165" fontId="1" fillId="6" borderId="1" xfId="0" applyNumberFormat="1" applyFont="1" applyFill="1" applyBorder="1" applyAlignment="1">
      <alignment horizontal="center" wrapText="1"/>
    </xf>
    <xf numFmtId="165" fontId="1" fillId="6" borderId="2" xfId="0" applyNumberFormat="1" applyFont="1" applyFill="1" applyBorder="1" applyAlignment="1">
      <alignment horizontal="center" wrapText="1"/>
    </xf>
    <xf numFmtId="165" fontId="1" fillId="6" borderId="3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5" fontId="8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wrapText="1"/>
    </xf>
    <xf numFmtId="164" fontId="7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</cellXfs>
  <cellStyles count="4">
    <cellStyle name="Bad" xfId="1" builtinId="27"/>
    <cellStyle name="Neutral" xfId="2" builtinId="28"/>
    <cellStyle name="Normal" xfId="0" builtinId="0"/>
    <cellStyle name="Standard 2" xfId="3" xr:uid="{00000000-0005-0000-0000-000003000000}"/>
  </cellStyles>
  <dxfs count="0"/>
  <tableStyles count="0" defaultTableStyle="TableStyleMedium2" defaultPivotStyle="PivotStyleLight16"/>
  <colors>
    <mruColors>
      <color rgb="FFBC2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 sz="1600" b="1" u="sng">
                <a:solidFill>
                  <a:sysClr val="windowText" lastClr="000000"/>
                </a:solidFill>
              </a:rPr>
              <a:t>Expression</a:t>
            </a:r>
            <a:r>
              <a:rPr lang="de-DE" sz="1600" b="1" u="sng" baseline="0">
                <a:solidFill>
                  <a:sysClr val="windowText" lastClr="000000"/>
                </a:solidFill>
              </a:rPr>
              <a:t> of potential Vel2-targets in different PDM grown mycelia</a:t>
            </a:r>
            <a:endParaRPr lang="de-DE" sz="1600" b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763635365108585E-2"/>
          <c:y val="8.4021631955531195E-2"/>
          <c:w val="0.79080335097607124"/>
          <c:h val="0.854582331760940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'PDM new new new_combined'!$M$2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'PDM new new new_combined'!$L$3:$L$7</c:f>
              <c:strCache>
                <c:ptCount val="5"/>
                <c:pt idx="0">
                  <c:v>Chr5g04380a</c:v>
                </c:pt>
                <c:pt idx="1">
                  <c:v>Chr2g05600a</c:v>
                </c:pt>
                <c:pt idx="2">
                  <c:v>Chr6g07660a</c:v>
                </c:pt>
                <c:pt idx="3">
                  <c:v>Chr2g11140a</c:v>
                </c:pt>
                <c:pt idx="4">
                  <c:v>Chr1g27910a</c:v>
                </c:pt>
              </c:strCache>
            </c:strRef>
          </c:cat>
          <c:val>
            <c:numRef>
              <c:f>'PDM new new new_combined'!$M$3:$M$7</c:f>
              <c:numCache>
                <c:formatCode>General</c:formatCode>
                <c:ptCount val="5"/>
                <c:pt idx="0" formatCode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8-47E5-9DF4-B50AD7CE8C2A}"/>
            </c:ext>
          </c:extLst>
        </c:ser>
        <c:ser>
          <c:idx val="1"/>
          <c:order val="1"/>
          <c:tx>
            <c:strRef>
              <c:f>'PDM new new new_combined'!$N$2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bg2">
                <a:lumMod val="1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('PDM new new new_combined'!$C$8,'PDM new new new_combined'!$C$15,'PDM new new new_combined'!$C$22,'PDM new new new_combined'!$C$29,'PDM new new new_combined'!$C$36)</c:f>
                <c:numCache>
                  <c:formatCode>General</c:formatCode>
                  <c:ptCount val="5"/>
                  <c:pt idx="0">
                    <c:v>0.34658295838725395</c:v>
                  </c:pt>
                  <c:pt idx="1">
                    <c:v>0.82014327195477865</c:v>
                  </c:pt>
                  <c:pt idx="2">
                    <c:v>1.5580754280386788</c:v>
                  </c:pt>
                  <c:pt idx="3">
                    <c:v>1.9460492910945329E-2</c:v>
                  </c:pt>
                  <c:pt idx="4">
                    <c:v>3.1241828569768031</c:v>
                  </c:pt>
                </c:numCache>
              </c:numRef>
            </c:plus>
            <c:minus>
              <c:numRef>
                <c:f>('PDM new new new_combined'!$C$8,'PDM new new new_combined'!$C$15,'PDM new new new_combined'!$C$22,'PDM new new new_combined'!$C$29,'PDM new new new_combined'!$C$36)</c:f>
                <c:numCache>
                  <c:formatCode>General</c:formatCode>
                  <c:ptCount val="5"/>
                  <c:pt idx="0">
                    <c:v>0.34658295838725395</c:v>
                  </c:pt>
                  <c:pt idx="1">
                    <c:v>0.82014327195477865</c:v>
                  </c:pt>
                  <c:pt idx="2">
                    <c:v>1.5580754280386788</c:v>
                  </c:pt>
                  <c:pt idx="3">
                    <c:v>1.9460492910945329E-2</c:v>
                  </c:pt>
                  <c:pt idx="4">
                    <c:v>3.1241828569768031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'PDM new new new_combined'!$L$3:$L$7</c:f>
              <c:strCache>
                <c:ptCount val="5"/>
                <c:pt idx="0">
                  <c:v>Chr5g04380a</c:v>
                </c:pt>
                <c:pt idx="1">
                  <c:v>Chr2g05600a</c:v>
                </c:pt>
                <c:pt idx="2">
                  <c:v>Chr6g07660a</c:v>
                </c:pt>
                <c:pt idx="3">
                  <c:v>Chr2g11140a</c:v>
                </c:pt>
                <c:pt idx="4">
                  <c:v>Chr1g27910a</c:v>
                </c:pt>
              </c:strCache>
            </c:strRef>
          </c:cat>
          <c:val>
            <c:numRef>
              <c:f>'PDM new new new_combined'!$N$3:$N$7</c:f>
              <c:numCache>
                <c:formatCode>###0.000;\-###0.000</c:formatCode>
                <c:ptCount val="5"/>
                <c:pt idx="0">
                  <c:v>1.9428277109425933</c:v>
                </c:pt>
                <c:pt idx="1">
                  <c:v>4.175842727490207</c:v>
                </c:pt>
                <c:pt idx="2">
                  <c:v>3.4369740089718768</c:v>
                </c:pt>
                <c:pt idx="3">
                  <c:v>0.33901319590394602</c:v>
                </c:pt>
                <c:pt idx="4" formatCode="0.000">
                  <c:v>7.1532270573802164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B8-47E5-9DF4-B50AD7CE8C2A}"/>
            </c:ext>
          </c:extLst>
        </c:ser>
        <c:ser>
          <c:idx val="2"/>
          <c:order val="2"/>
          <c:tx>
            <c:strRef>
              <c:f>'PDM new new new_combined'!$O$2</c:f>
              <c:strCache>
                <c:ptCount val="1"/>
                <c:pt idx="0">
                  <c:v>Vel2-comp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('PDM new new new_combined'!$E$8,'PDM new new new_combined'!$E$15,'PDM new new new_combined'!$E$22,'PDM new new new_combined'!$E$29,'PDM new new new_combined'!$E$36)</c:f>
                <c:numCache>
                  <c:formatCode>General</c:formatCode>
                  <c:ptCount val="5"/>
                  <c:pt idx="0">
                    <c:v>0.91977864605975623</c:v>
                  </c:pt>
                  <c:pt idx="1">
                    <c:v>0.57021020619981688</c:v>
                  </c:pt>
                  <c:pt idx="2">
                    <c:v>0.61394917256929482</c:v>
                  </c:pt>
                  <c:pt idx="3">
                    <c:v>0.27733887898830012</c:v>
                  </c:pt>
                  <c:pt idx="4">
                    <c:v>0.54253114444973083</c:v>
                  </c:pt>
                </c:numCache>
              </c:numRef>
            </c:plus>
            <c:minus>
              <c:numRef>
                <c:f>('PDM new new new_combined'!$E$8,'PDM new new new_combined'!$E$15,'PDM new new new_combined'!$E$22,'PDM new new new_combined'!$E$29,'PDM new new new_combined'!$E$36)</c:f>
                <c:numCache>
                  <c:formatCode>General</c:formatCode>
                  <c:ptCount val="5"/>
                  <c:pt idx="0">
                    <c:v>0.91977864605975623</c:v>
                  </c:pt>
                  <c:pt idx="1">
                    <c:v>0.57021020619981688</c:v>
                  </c:pt>
                  <c:pt idx="2">
                    <c:v>0.61394917256929482</c:v>
                  </c:pt>
                  <c:pt idx="3">
                    <c:v>0.27733887898830012</c:v>
                  </c:pt>
                  <c:pt idx="4">
                    <c:v>0.54253114444973083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'PDM new new new_combined'!$L$3:$L$7</c:f>
              <c:strCache>
                <c:ptCount val="5"/>
                <c:pt idx="0">
                  <c:v>Chr5g04380a</c:v>
                </c:pt>
                <c:pt idx="1">
                  <c:v>Chr2g05600a</c:v>
                </c:pt>
                <c:pt idx="2">
                  <c:v>Chr6g07660a</c:v>
                </c:pt>
                <c:pt idx="3">
                  <c:v>Chr2g11140a</c:v>
                </c:pt>
                <c:pt idx="4">
                  <c:v>Chr1g27910a</c:v>
                </c:pt>
              </c:strCache>
            </c:strRef>
          </c:cat>
          <c:val>
            <c:numRef>
              <c:f>'PDM new new new_combined'!$O$3:$O$7</c:f>
              <c:numCache>
                <c:formatCode>###0.000;\-###0.000</c:formatCode>
                <c:ptCount val="5"/>
                <c:pt idx="0">
                  <c:v>1.5108235746029708</c:v>
                </c:pt>
                <c:pt idx="1">
                  <c:v>1.8348763183412335</c:v>
                </c:pt>
                <c:pt idx="2">
                  <c:v>1.3661116068512105</c:v>
                </c:pt>
                <c:pt idx="3">
                  <c:v>1.1478336880610571</c:v>
                </c:pt>
                <c:pt idx="4" formatCode="0.000">
                  <c:v>1.469501762089668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B8-47E5-9DF4-B50AD7CE8C2A}"/>
            </c:ext>
          </c:extLst>
        </c:ser>
        <c:ser>
          <c:idx val="3"/>
          <c:order val="3"/>
          <c:tx>
            <c:strRef>
              <c:f>'PDM new new new_combined'!$P$2</c:f>
              <c:strCache>
                <c:ptCount val="1"/>
                <c:pt idx="0">
                  <c:v>ΔVel1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('PDM new new new_combined'!$G$8,'PDM new new new_combined'!$G$15,'PDM new new new_combined'!$G$22,'PDM new new new_combined'!$G$29,'PDM new new new_combined'!$G$36)</c:f>
                <c:numCache>
                  <c:formatCode>General</c:formatCode>
                  <c:ptCount val="5"/>
                  <c:pt idx="0">
                    <c:v>0.20262134530587367</c:v>
                  </c:pt>
                  <c:pt idx="1">
                    <c:v>3.7374865966962507</c:v>
                  </c:pt>
                  <c:pt idx="2">
                    <c:v>1.1689725750982642</c:v>
                  </c:pt>
                  <c:pt idx="3">
                    <c:v>6.8112851785699702E-2</c:v>
                  </c:pt>
                  <c:pt idx="4">
                    <c:v>8.279286600487648</c:v>
                  </c:pt>
                </c:numCache>
              </c:numRef>
            </c:plus>
            <c:minus>
              <c:numRef>
                <c:f>('PDM new new new_combined'!$G$8,'PDM new new new_combined'!$G$15,'PDM new new new_combined'!$G$22,'PDM new new new_combined'!$G$29,'PDM new new new_combined'!$G$36)</c:f>
                <c:numCache>
                  <c:formatCode>General</c:formatCode>
                  <c:ptCount val="5"/>
                  <c:pt idx="0">
                    <c:v>0.20262134530587367</c:v>
                  </c:pt>
                  <c:pt idx="1">
                    <c:v>3.7374865966962507</c:v>
                  </c:pt>
                  <c:pt idx="2">
                    <c:v>1.1689725750982642</c:v>
                  </c:pt>
                  <c:pt idx="3">
                    <c:v>6.8112851785699702E-2</c:v>
                  </c:pt>
                  <c:pt idx="4">
                    <c:v>8.279286600487648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'PDM new new new_combined'!$L$3:$L$7</c:f>
              <c:strCache>
                <c:ptCount val="5"/>
                <c:pt idx="0">
                  <c:v>Chr5g04380a</c:v>
                </c:pt>
                <c:pt idx="1">
                  <c:v>Chr2g05600a</c:v>
                </c:pt>
                <c:pt idx="2">
                  <c:v>Chr6g07660a</c:v>
                </c:pt>
                <c:pt idx="3">
                  <c:v>Chr2g11140a</c:v>
                </c:pt>
                <c:pt idx="4">
                  <c:v>Chr1g27910a</c:v>
                </c:pt>
              </c:strCache>
            </c:strRef>
          </c:cat>
          <c:val>
            <c:numRef>
              <c:f>'PDM new new new_combined'!$P$3:$P$7</c:f>
              <c:numCache>
                <c:formatCode>###0.000;\-###0.000</c:formatCode>
                <c:ptCount val="5"/>
                <c:pt idx="0">
                  <c:v>1.2908842142477768</c:v>
                </c:pt>
                <c:pt idx="1">
                  <c:v>7.7502571355039107</c:v>
                </c:pt>
                <c:pt idx="2" formatCode="0.000">
                  <c:v>2.4874628042368694</c:v>
                </c:pt>
                <c:pt idx="3">
                  <c:v>0.33859305745679863</c:v>
                </c:pt>
                <c:pt idx="4" formatCode="0.000">
                  <c:v>15.385071727330057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B8-47E5-9DF4-B50AD7CE8C2A}"/>
            </c:ext>
          </c:extLst>
        </c:ser>
        <c:ser>
          <c:idx val="4"/>
          <c:order val="4"/>
          <c:tx>
            <c:strRef>
              <c:f>'PDM new new new_combined'!$Q$2</c:f>
              <c:strCache>
                <c:ptCount val="1"/>
                <c:pt idx="0">
                  <c:v>Vel1-comp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('PDM new new new_combined'!$I$8,'PDM new new new_combined'!$I$15,'PDM new new new_combined'!$I$22,'PDM new new new_combined'!$I$29,'PDM new new new_combined'!$I$36)</c:f>
                <c:numCache>
                  <c:formatCode>General</c:formatCode>
                  <c:ptCount val="5"/>
                  <c:pt idx="0">
                    <c:v>0.3394676347735926</c:v>
                  </c:pt>
                  <c:pt idx="1">
                    <c:v>1.1600660305115602</c:v>
                  </c:pt>
                  <c:pt idx="2">
                    <c:v>1.6192657135460515</c:v>
                  </c:pt>
                  <c:pt idx="3">
                    <c:v>0.17315890392596936</c:v>
                  </c:pt>
                  <c:pt idx="4">
                    <c:v>1.8013635833795869E-2</c:v>
                  </c:pt>
                </c:numCache>
              </c:numRef>
            </c:plus>
            <c:minus>
              <c:numRef>
                <c:f>('PDM new new new_combined'!$I$8,'PDM new new new_combined'!$I$15,'PDM new new new_combined'!$I$22,'PDM new new new_combined'!$I$29,'PDM new new new_combined'!$I$36)</c:f>
                <c:numCache>
                  <c:formatCode>General</c:formatCode>
                  <c:ptCount val="5"/>
                  <c:pt idx="0">
                    <c:v>0.3394676347735926</c:v>
                  </c:pt>
                  <c:pt idx="1">
                    <c:v>1.1600660305115602</c:v>
                  </c:pt>
                  <c:pt idx="2">
                    <c:v>1.6192657135460515</c:v>
                  </c:pt>
                  <c:pt idx="3">
                    <c:v>0.17315890392596936</c:v>
                  </c:pt>
                  <c:pt idx="4">
                    <c:v>1.8013635833795869E-2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'PDM new new new_combined'!$L$3:$L$7</c:f>
              <c:strCache>
                <c:ptCount val="5"/>
                <c:pt idx="0">
                  <c:v>Chr5g04380a</c:v>
                </c:pt>
                <c:pt idx="1">
                  <c:v>Chr2g05600a</c:v>
                </c:pt>
                <c:pt idx="2">
                  <c:v>Chr6g07660a</c:v>
                </c:pt>
                <c:pt idx="3">
                  <c:v>Chr2g11140a</c:v>
                </c:pt>
                <c:pt idx="4">
                  <c:v>Chr1g27910a</c:v>
                </c:pt>
              </c:strCache>
            </c:strRef>
          </c:cat>
          <c:val>
            <c:numRef>
              <c:f>'PDM new new new_combined'!$Q$3:$Q$7</c:f>
              <c:numCache>
                <c:formatCode>###0.000;\-###0.000</c:formatCode>
                <c:ptCount val="5"/>
                <c:pt idx="0">
                  <c:v>1.1826886487975621</c:v>
                </c:pt>
                <c:pt idx="1">
                  <c:v>2.0455172493659832</c:v>
                </c:pt>
                <c:pt idx="2">
                  <c:v>2.167326667218096</c:v>
                </c:pt>
                <c:pt idx="3" formatCode="0.000">
                  <c:v>1.1634191499454647</c:v>
                </c:pt>
                <c:pt idx="4" formatCode="0.000">
                  <c:v>1.6366833864675934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B8-47E5-9DF4-B50AD7CE8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7333648"/>
        <c:axId val="1017344880"/>
      </c:barChart>
      <c:catAx>
        <c:axId val="101733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17344880"/>
        <c:crosses val="autoZero"/>
        <c:auto val="1"/>
        <c:lblAlgn val="ctr"/>
        <c:lblOffset val="100"/>
        <c:noMultiLvlLbl val="0"/>
      </c:catAx>
      <c:valAx>
        <c:axId val="1017344880"/>
        <c:scaling>
          <c:orientation val="minMax"/>
          <c:max val="2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1">
                    <a:solidFill>
                      <a:sysClr val="windowText" lastClr="000000"/>
                    </a:solidFill>
                  </a:rPr>
                  <a:t>Relative</a:t>
                </a:r>
                <a:r>
                  <a:rPr lang="de-DE" sz="1200" b="1" baseline="0">
                    <a:solidFill>
                      <a:sysClr val="windowText" lastClr="000000"/>
                    </a:solidFill>
                  </a:rPr>
                  <a:t> normalized expression</a:t>
                </a:r>
                <a:endParaRPr lang="de-DE" sz="12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102295844231328E-2"/>
              <c:y val="0.27474692098070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17333648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Expression</a:t>
            </a:r>
            <a:r>
              <a:rPr lang="en-US" baseline="0">
                <a:solidFill>
                  <a:sysClr val="windowText" lastClr="000000"/>
                </a:solidFill>
              </a:rPr>
              <a:t> Vel2 mutants</a:t>
            </a:r>
            <a:endParaRPr 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6690241165059245"/>
          <c:y val="2.7471621673138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300304639215267E-2"/>
          <c:y val="0.12166979033472877"/>
          <c:w val="0.7582278607826336"/>
          <c:h val="0.796377455187641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'PDM new new new_combined'!$M$2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'PDM new new new_combined'!$L$3:$L$7</c:f>
              <c:strCache>
                <c:ptCount val="5"/>
                <c:pt idx="0">
                  <c:v>Chr5g04380a</c:v>
                </c:pt>
                <c:pt idx="1">
                  <c:v>Chr2g05600a</c:v>
                </c:pt>
                <c:pt idx="2">
                  <c:v>Chr6g07660a</c:v>
                </c:pt>
                <c:pt idx="3">
                  <c:v>Chr2g11140a</c:v>
                </c:pt>
                <c:pt idx="4">
                  <c:v>Chr1g27910a</c:v>
                </c:pt>
              </c:strCache>
            </c:strRef>
          </c:cat>
          <c:val>
            <c:numRef>
              <c:f>'PDM new new new_combined'!$M$3:$M$7</c:f>
              <c:numCache>
                <c:formatCode>General</c:formatCode>
                <c:ptCount val="5"/>
                <c:pt idx="0" formatCode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9-46F7-A78A-899ADEFA8BA0}"/>
            </c:ext>
          </c:extLst>
        </c:ser>
        <c:ser>
          <c:idx val="1"/>
          <c:order val="1"/>
          <c:tx>
            <c:strRef>
              <c:f>'PDM new new new_combined'!$N$2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('PDM new new new_combined'!$C$8,'PDM new new new_combined'!$C$15,'PDM new new new_combined'!$C$22,'PDM new new new_combined'!$C$29,'PDM new new new_combined'!$C$36)</c:f>
                <c:numCache>
                  <c:formatCode>General</c:formatCode>
                  <c:ptCount val="5"/>
                  <c:pt idx="0">
                    <c:v>0.34658295838725395</c:v>
                  </c:pt>
                  <c:pt idx="1">
                    <c:v>0.82014327195477865</c:v>
                  </c:pt>
                  <c:pt idx="2">
                    <c:v>1.5580754280386788</c:v>
                  </c:pt>
                  <c:pt idx="3">
                    <c:v>1.9460492910945329E-2</c:v>
                  </c:pt>
                  <c:pt idx="4">
                    <c:v>3.1241828569768031</c:v>
                  </c:pt>
                </c:numCache>
              </c:numRef>
            </c:plus>
            <c:minus>
              <c:numRef>
                <c:f>('PDM new new new_combined'!$C$8,'PDM new new new_combined'!$C$15,'PDM new new new_combined'!$C$22,'PDM new new new_combined'!$C$29,'PDM new new new_combined'!$C$36)</c:f>
                <c:numCache>
                  <c:formatCode>General</c:formatCode>
                  <c:ptCount val="5"/>
                  <c:pt idx="0">
                    <c:v>0.34658295838725395</c:v>
                  </c:pt>
                  <c:pt idx="1">
                    <c:v>0.82014327195477865</c:v>
                  </c:pt>
                  <c:pt idx="2">
                    <c:v>1.5580754280386788</c:v>
                  </c:pt>
                  <c:pt idx="3">
                    <c:v>1.9460492910945329E-2</c:v>
                  </c:pt>
                  <c:pt idx="4">
                    <c:v>3.1241828569768031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'PDM new new new_combined'!$L$3:$L$7</c:f>
              <c:strCache>
                <c:ptCount val="5"/>
                <c:pt idx="0">
                  <c:v>Chr5g04380a</c:v>
                </c:pt>
                <c:pt idx="1">
                  <c:v>Chr2g05600a</c:v>
                </c:pt>
                <c:pt idx="2">
                  <c:v>Chr6g07660a</c:v>
                </c:pt>
                <c:pt idx="3">
                  <c:v>Chr2g11140a</c:v>
                </c:pt>
                <c:pt idx="4">
                  <c:v>Chr1g27910a</c:v>
                </c:pt>
              </c:strCache>
            </c:strRef>
          </c:cat>
          <c:val>
            <c:numRef>
              <c:f>'PDM new new new_combined'!$N$3:$N$7</c:f>
              <c:numCache>
                <c:formatCode>###0.000;\-###0.000</c:formatCode>
                <c:ptCount val="5"/>
                <c:pt idx="0">
                  <c:v>1.9428277109425933</c:v>
                </c:pt>
                <c:pt idx="1">
                  <c:v>4.175842727490207</c:v>
                </c:pt>
                <c:pt idx="2">
                  <c:v>3.4369740089718768</c:v>
                </c:pt>
                <c:pt idx="3">
                  <c:v>0.33901319590394602</c:v>
                </c:pt>
                <c:pt idx="4" formatCode="0.000">
                  <c:v>7.1532270573802164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29-46F7-A78A-899ADEFA8BA0}"/>
            </c:ext>
          </c:extLst>
        </c:ser>
        <c:ser>
          <c:idx val="2"/>
          <c:order val="2"/>
          <c:tx>
            <c:strRef>
              <c:f>'PDM new new new_combined'!$O$2</c:f>
              <c:strCache>
                <c:ptCount val="1"/>
                <c:pt idx="0">
                  <c:v>Vel2-comp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('PDM new new new_combined'!$E$8,'PDM new new new_combined'!$E$15,'PDM new new new_combined'!$E$22,'PDM new new new_combined'!$E$29,'PDM new new new_combined'!$E$36)</c:f>
                <c:numCache>
                  <c:formatCode>General</c:formatCode>
                  <c:ptCount val="5"/>
                  <c:pt idx="0">
                    <c:v>0.91977864605975623</c:v>
                  </c:pt>
                  <c:pt idx="1">
                    <c:v>0.57021020619981688</c:v>
                  </c:pt>
                  <c:pt idx="2">
                    <c:v>0.61394917256929482</c:v>
                  </c:pt>
                  <c:pt idx="3">
                    <c:v>0.27733887898830012</c:v>
                  </c:pt>
                  <c:pt idx="4">
                    <c:v>0.54253114444973083</c:v>
                  </c:pt>
                </c:numCache>
              </c:numRef>
            </c:plus>
            <c:minus>
              <c:numRef>
                <c:f>('PDM new new new_combined'!$E$8,'PDM new new new_combined'!$E$15,'PDM new new new_combined'!$E$22,'PDM new new new_combined'!$E$29,'PDM new new new_combined'!$E$36)</c:f>
                <c:numCache>
                  <c:formatCode>General</c:formatCode>
                  <c:ptCount val="5"/>
                  <c:pt idx="0">
                    <c:v>0.91977864605975623</c:v>
                  </c:pt>
                  <c:pt idx="1">
                    <c:v>0.57021020619981688</c:v>
                  </c:pt>
                  <c:pt idx="2">
                    <c:v>0.61394917256929482</c:v>
                  </c:pt>
                  <c:pt idx="3">
                    <c:v>0.27733887898830012</c:v>
                  </c:pt>
                  <c:pt idx="4">
                    <c:v>0.54253114444973083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'PDM new new new_combined'!$L$3:$L$7</c:f>
              <c:strCache>
                <c:ptCount val="5"/>
                <c:pt idx="0">
                  <c:v>Chr5g04380a</c:v>
                </c:pt>
                <c:pt idx="1">
                  <c:v>Chr2g05600a</c:v>
                </c:pt>
                <c:pt idx="2">
                  <c:v>Chr6g07660a</c:v>
                </c:pt>
                <c:pt idx="3">
                  <c:v>Chr2g11140a</c:v>
                </c:pt>
                <c:pt idx="4">
                  <c:v>Chr1g27910a</c:v>
                </c:pt>
              </c:strCache>
            </c:strRef>
          </c:cat>
          <c:val>
            <c:numRef>
              <c:f>'PDM new new new_combined'!$O$3:$O$7</c:f>
              <c:numCache>
                <c:formatCode>###0.000;\-###0.000</c:formatCode>
                <c:ptCount val="5"/>
                <c:pt idx="0">
                  <c:v>1.5108235746029708</c:v>
                </c:pt>
                <c:pt idx="1">
                  <c:v>1.8348763183412335</c:v>
                </c:pt>
                <c:pt idx="2">
                  <c:v>1.3661116068512105</c:v>
                </c:pt>
                <c:pt idx="3">
                  <c:v>1.1478336880610571</c:v>
                </c:pt>
                <c:pt idx="4" formatCode="0.000">
                  <c:v>1.469501762089668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29-46F7-A78A-899ADEFA8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9439392"/>
        <c:axId val="1639432320"/>
      </c:barChart>
      <c:catAx>
        <c:axId val="163943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639432320"/>
        <c:crosses val="autoZero"/>
        <c:auto val="1"/>
        <c:lblAlgn val="ctr"/>
        <c:lblOffset val="100"/>
        <c:noMultiLvlLbl val="0"/>
      </c:catAx>
      <c:valAx>
        <c:axId val="1639432320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Relative</a:t>
                </a: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 normalized expression</a:t>
                </a:r>
                <a:endParaRPr lang="en-US" sz="12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4121118644729615E-2"/>
              <c:y val="0.257070806807847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639439392"/>
        <c:crosses val="autoZero"/>
        <c:crossBetween val="between"/>
        <c:majorUnit val="1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6342481600453713"/>
          <c:y val="0.44799041159263803"/>
          <c:w val="0.11739898644785395"/>
          <c:h val="0.191026373911913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Chr5g04380a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0.21133517911258598"/>
          <c:y val="0.2211173190412451"/>
          <c:w val="0.63401928250240536"/>
          <c:h val="0.66423889030388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3 replicates_DVEL2'!$R$3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replicates_DVEL2'!$S$29:$U$29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'All 3 replicates_DVEL2'!$S$29:$U$29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bg2">
                    <a:lumMod val="25000"/>
                  </a:schemeClr>
                </a:solidFill>
                <a:round/>
              </a:ln>
              <a:effectLst/>
            </c:spPr>
          </c:errBars>
          <c:cat>
            <c:strRef>
              <c:f>'All 3 replicates_DVEL2'!$S$2:$U$2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replicates_DVEL2'!$S$3:$U$3</c:f>
              <c:numCache>
                <c:formatCode>0.000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5-43BB-9FF0-B48F5BD36DF5}"/>
            </c:ext>
          </c:extLst>
        </c:ser>
        <c:ser>
          <c:idx val="1"/>
          <c:order val="1"/>
          <c:tx>
            <c:strRef>
              <c:f>'All 3 replicates_DVEL2'!$R$4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replicates_DVEL2'!$S$30:$U$30</c:f>
                <c:numCache>
                  <c:formatCode>General</c:formatCode>
                  <c:ptCount val="3"/>
                  <c:pt idx="0">
                    <c:v>0.34658295838725395</c:v>
                  </c:pt>
                  <c:pt idx="1">
                    <c:v>0.10958878521036017</c:v>
                  </c:pt>
                  <c:pt idx="2">
                    <c:v>0.26984810186768821</c:v>
                  </c:pt>
                </c:numCache>
              </c:numRef>
            </c:plus>
            <c:minus>
              <c:numRef>
                <c:f>'All 3 replicates_DVEL2'!$S$30:$U$30</c:f>
                <c:numCache>
                  <c:formatCode>General</c:formatCode>
                  <c:ptCount val="3"/>
                  <c:pt idx="0">
                    <c:v>0.34658295838725395</c:v>
                  </c:pt>
                  <c:pt idx="1">
                    <c:v>0.10958878521036017</c:v>
                  </c:pt>
                  <c:pt idx="2">
                    <c:v>0.26984810186768821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replicates_DVEL2'!$S$2:$U$2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replicates_DVEL2'!$S$4:$U$4</c:f>
              <c:numCache>
                <c:formatCode>###0.000;\-###0.000</c:formatCode>
                <c:ptCount val="3"/>
                <c:pt idx="0">
                  <c:v>1.9428277109425933</c:v>
                </c:pt>
                <c:pt idx="1">
                  <c:v>0.59750441815159228</c:v>
                </c:pt>
                <c:pt idx="2">
                  <c:v>1.8816808167367398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5-43BB-9FF0-B48F5BD36DF5}"/>
            </c:ext>
          </c:extLst>
        </c:ser>
        <c:ser>
          <c:idx val="2"/>
          <c:order val="2"/>
          <c:tx>
            <c:strRef>
              <c:f>'All 3 replicates_DVEL2'!$R$5</c:f>
              <c:strCache>
                <c:ptCount val="1"/>
                <c:pt idx="0">
                  <c:v>ΔVEL1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replicates_DVEL2'!$S$31:$U$31</c:f>
                <c:numCache>
                  <c:formatCode>General</c:formatCode>
                  <c:ptCount val="3"/>
                  <c:pt idx="0">
                    <c:v>0.20262134530587367</c:v>
                  </c:pt>
                  <c:pt idx="1">
                    <c:v>0.14725326904188146</c:v>
                  </c:pt>
                  <c:pt idx="2">
                    <c:v>0.35745301378818478</c:v>
                  </c:pt>
                </c:numCache>
              </c:numRef>
            </c:plus>
            <c:minus>
              <c:numRef>
                <c:f>'All 3 replicates_DVEL2'!$S$31:$U$31</c:f>
                <c:numCache>
                  <c:formatCode>General</c:formatCode>
                  <c:ptCount val="3"/>
                  <c:pt idx="0">
                    <c:v>0.20262134530587367</c:v>
                  </c:pt>
                  <c:pt idx="1">
                    <c:v>0.14725326904188146</c:v>
                  </c:pt>
                  <c:pt idx="2">
                    <c:v>0.35745301378818478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replicates_DVEL2'!$S$2:$U$2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replicates_DVEL2'!$S$5:$U$5</c:f>
              <c:numCache>
                <c:formatCode>0.000</c:formatCode>
                <c:ptCount val="3"/>
                <c:pt idx="0">
                  <c:v>1.2908842142477768</c:v>
                </c:pt>
                <c:pt idx="1">
                  <c:v>0.68016036003572733</c:v>
                </c:pt>
                <c:pt idx="2">
                  <c:v>1.81632637894775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65-43BB-9FF0-B48F5BD36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331759"/>
        <c:axId val="1450332175"/>
      </c:barChart>
      <c:catAx>
        <c:axId val="145033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50332175"/>
        <c:crosses val="autoZero"/>
        <c:auto val="1"/>
        <c:lblAlgn val="ctr"/>
        <c:lblOffset val="100"/>
        <c:noMultiLvlLbl val="0"/>
      </c:catAx>
      <c:valAx>
        <c:axId val="145033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Relative normalized</a:t>
                </a: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pPr>
                  <a:defRPr sz="1100" b="1">
                    <a:solidFill>
                      <a:sysClr val="windowText" lastClr="000000"/>
                    </a:solidFill>
                  </a:defRPr>
                </a:pP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expression of Chr5g04380a</a:t>
                </a:r>
                <a:endParaRPr lang="en-US" sz="11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4.4262702822995006E-2"/>
              <c:y val="0.264504182225676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50331759"/>
        <c:crosses val="autoZero"/>
        <c:crossBetween val="between"/>
        <c:majorUnit val="0.4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Chr2g5600a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0.20052908147396334"/>
          <c:y val="0.23488194395521625"/>
          <c:w val="0.63644507014585749"/>
          <c:h val="0.640999434602677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3 replicates_DVEL2'!$R$8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replicates_DVEL2'!$S$34:$U$34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'All 3 replicates_DVEL2'!$S$34:$U$34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replicates_DVEL2'!$S$7:$U$7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replicates_DVEL2'!$S$8:$U$8</c:f>
              <c:numCache>
                <c:formatCode>0.000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2-4648-BEB2-D3AA6A725393}"/>
            </c:ext>
          </c:extLst>
        </c:ser>
        <c:ser>
          <c:idx val="1"/>
          <c:order val="1"/>
          <c:tx>
            <c:strRef>
              <c:f>'All 3 replicates_DVEL2'!$R$9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('All 3 replicates_DVEL2'!$S$35,'All 3 replicates_DVEL2'!$T$35,'All 3 replicates_DVEL2'!$U$35)</c:f>
                <c:numCache>
                  <c:formatCode>General</c:formatCode>
                  <c:ptCount val="3"/>
                  <c:pt idx="0">
                    <c:v>0.82014327195477865</c:v>
                  </c:pt>
                  <c:pt idx="1">
                    <c:v>0.15803638051771288</c:v>
                  </c:pt>
                  <c:pt idx="2">
                    <c:v>6.8516147456994858E-2</c:v>
                  </c:pt>
                </c:numCache>
              </c:numRef>
            </c:plus>
            <c:minus>
              <c:numRef>
                <c:f>('All 3 replicates_DVEL2'!$S$35,'All 3 replicates_DVEL2'!$T$35,'All 3 replicates_DVEL2'!$U$35)</c:f>
                <c:numCache>
                  <c:formatCode>General</c:formatCode>
                  <c:ptCount val="3"/>
                  <c:pt idx="0">
                    <c:v>0.82014327195477865</c:v>
                  </c:pt>
                  <c:pt idx="1">
                    <c:v>0.15803638051771288</c:v>
                  </c:pt>
                  <c:pt idx="2">
                    <c:v>6.8516147456994858E-2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replicates_DVEL2'!$S$7:$U$7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replicates_DVEL2'!$S$9:$U$9</c:f>
              <c:numCache>
                <c:formatCode>###0.000;\-###0.000</c:formatCode>
                <c:ptCount val="3"/>
                <c:pt idx="0">
                  <c:v>4.175842727490207</c:v>
                </c:pt>
                <c:pt idx="1">
                  <c:v>0.45879515225881001</c:v>
                </c:pt>
                <c:pt idx="2">
                  <c:v>0.4889302771679947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E2-4648-BEB2-D3AA6A725393}"/>
            </c:ext>
          </c:extLst>
        </c:ser>
        <c:ser>
          <c:idx val="2"/>
          <c:order val="2"/>
          <c:tx>
            <c:strRef>
              <c:f>'All 3 replicates_DVEL2'!$R$10</c:f>
              <c:strCache>
                <c:ptCount val="1"/>
                <c:pt idx="0">
                  <c:v>ΔVEL1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replicates_DVEL2'!$S$36:$U$36</c:f>
                <c:numCache>
                  <c:formatCode>General</c:formatCode>
                  <c:ptCount val="3"/>
                  <c:pt idx="0">
                    <c:v>3.7374865966962507</c:v>
                  </c:pt>
                  <c:pt idx="1">
                    <c:v>0.95631392667795867</c:v>
                  </c:pt>
                  <c:pt idx="2">
                    <c:v>7.6466370728340893E-2</c:v>
                  </c:pt>
                </c:numCache>
              </c:numRef>
            </c:plus>
            <c:minus>
              <c:numRef>
                <c:f>'All 3 replicates_DVEL2'!$S$36:$U$36</c:f>
                <c:numCache>
                  <c:formatCode>General</c:formatCode>
                  <c:ptCount val="3"/>
                  <c:pt idx="0">
                    <c:v>3.7374865966962507</c:v>
                  </c:pt>
                  <c:pt idx="1">
                    <c:v>0.95631392667795867</c:v>
                  </c:pt>
                  <c:pt idx="2">
                    <c:v>7.6466370728340893E-2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replicates_DVEL2'!$S$7:$U$7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replicates_DVEL2'!$S$10:$U$10</c:f>
              <c:numCache>
                <c:formatCode>0.000</c:formatCode>
                <c:ptCount val="3"/>
                <c:pt idx="0" formatCode="###0.000;\-###0.000">
                  <c:v>7.7502571355039098</c:v>
                </c:pt>
                <c:pt idx="1">
                  <c:v>2.1071143478513759</c:v>
                </c:pt>
                <c:pt idx="2">
                  <c:v>0.51661437584856762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E2-4648-BEB2-D3AA6A725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311791"/>
        <c:axId val="1450328431"/>
      </c:barChart>
      <c:catAx>
        <c:axId val="145031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50328431"/>
        <c:crosses val="autoZero"/>
        <c:auto val="1"/>
        <c:lblAlgn val="ctr"/>
        <c:lblOffset val="100"/>
        <c:noMultiLvlLbl val="0"/>
      </c:catAx>
      <c:valAx>
        <c:axId val="145032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Relative</a:t>
                </a: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 normalized </a:t>
                </a:r>
              </a:p>
              <a:p>
                <a:pPr>
                  <a:defRPr sz="1100" b="1">
                    <a:solidFill>
                      <a:sysClr val="windowText" lastClr="000000"/>
                    </a:solidFill>
                  </a:defRPr>
                </a:pP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expression of Chr2g05600a</a:t>
                </a:r>
                <a:endParaRPr lang="en-US" sz="11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9404019404019403E-2"/>
              <c:y val="0.26264196938744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" sourceLinked="0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5031179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6192217656784598"/>
          <c:y val="0.4391251334464128"/>
          <c:w val="0.11836791132815715"/>
          <c:h val="0.2479942407199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Chr6g07660a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0.20310704405192595"/>
          <c:y val="0.22586097192396404"/>
          <c:w val="0.63663911033989773"/>
          <c:h val="0.626978084351026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3 replicates_DVEL2'!$R$13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replicates_DVEL2'!$S$39:$U$39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'All 3 replicates_DVEL2'!$S$39:$U$39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replicates_DVEL2'!$S$12:$U$12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replicates_DVEL2'!$S$13:$U$13</c:f>
              <c:numCache>
                <c:formatCode>0.000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7-4007-B5E9-C794E54AD9C0}"/>
            </c:ext>
          </c:extLst>
        </c:ser>
        <c:ser>
          <c:idx val="1"/>
          <c:order val="1"/>
          <c:tx>
            <c:strRef>
              <c:f>'All 3 replicates_DVEL2'!$R$14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replicates_DVEL2'!$S$40:$U$40</c:f>
                <c:numCache>
                  <c:formatCode>General</c:formatCode>
                  <c:ptCount val="3"/>
                  <c:pt idx="0">
                    <c:v>1.5580754280386788</c:v>
                  </c:pt>
                  <c:pt idx="1">
                    <c:v>0.48123242632607077</c:v>
                  </c:pt>
                  <c:pt idx="2">
                    <c:v>0.16836262770640847</c:v>
                  </c:pt>
                </c:numCache>
              </c:numRef>
            </c:plus>
            <c:minus>
              <c:numRef>
                <c:f>'All 3 replicates_DVEL2'!$S$40:$U$40</c:f>
                <c:numCache>
                  <c:formatCode>General</c:formatCode>
                  <c:ptCount val="3"/>
                  <c:pt idx="0">
                    <c:v>1.5580754280386788</c:v>
                  </c:pt>
                  <c:pt idx="1">
                    <c:v>0.48123242632607077</c:v>
                  </c:pt>
                  <c:pt idx="2">
                    <c:v>0.16836262770640847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replicates_DVEL2'!$S$12:$U$12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replicates_DVEL2'!$S$14:$U$14</c:f>
              <c:numCache>
                <c:formatCode>###0.000;\-###0.000</c:formatCode>
                <c:ptCount val="3"/>
                <c:pt idx="0">
                  <c:v>3.4369740089718768</c:v>
                </c:pt>
                <c:pt idx="1">
                  <c:v>1.4308028569772968</c:v>
                </c:pt>
                <c:pt idx="2">
                  <c:v>1.1107871153880726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97-4007-B5E9-C794E54AD9C0}"/>
            </c:ext>
          </c:extLst>
        </c:ser>
        <c:ser>
          <c:idx val="2"/>
          <c:order val="2"/>
          <c:tx>
            <c:strRef>
              <c:f>'All 3 replicates_DVEL2'!$R$15</c:f>
              <c:strCache>
                <c:ptCount val="1"/>
                <c:pt idx="0">
                  <c:v>ΔVEL1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replicates_DVEL2'!$S$41:$U$41</c:f>
                <c:numCache>
                  <c:formatCode>General</c:formatCode>
                  <c:ptCount val="3"/>
                  <c:pt idx="0">
                    <c:v>1.1689725750982642</c:v>
                  </c:pt>
                  <c:pt idx="1">
                    <c:v>0.19269780879848789</c:v>
                  </c:pt>
                  <c:pt idx="2">
                    <c:v>0.49051918884697066</c:v>
                  </c:pt>
                </c:numCache>
              </c:numRef>
            </c:plus>
            <c:minus>
              <c:numRef>
                <c:f>'All 3 replicates_DVEL2'!$S$41:$U$41</c:f>
                <c:numCache>
                  <c:formatCode>General</c:formatCode>
                  <c:ptCount val="3"/>
                  <c:pt idx="0">
                    <c:v>1.1689725750982642</c:v>
                  </c:pt>
                  <c:pt idx="1">
                    <c:v>0.19269780879848789</c:v>
                  </c:pt>
                  <c:pt idx="2">
                    <c:v>0.49051918884697066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replicates_DVEL2'!$S$12:$U$12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replicates_DVEL2'!$S$15:$U$15</c:f>
              <c:numCache>
                <c:formatCode>0.000</c:formatCode>
                <c:ptCount val="3"/>
                <c:pt idx="0">
                  <c:v>2.4874628042368694</c:v>
                </c:pt>
                <c:pt idx="1">
                  <c:v>1.79425534826035</c:v>
                </c:pt>
                <c:pt idx="2" formatCode="###0.000;\-###0.000">
                  <c:v>2.3806359162524036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97-4007-B5E9-C794E54AD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690767"/>
        <c:axId val="1332691183"/>
      </c:barChart>
      <c:catAx>
        <c:axId val="133269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32691183"/>
        <c:crosses val="autoZero"/>
        <c:auto val="1"/>
        <c:lblAlgn val="ctr"/>
        <c:lblOffset val="100"/>
        <c:noMultiLvlLbl val="0"/>
      </c:catAx>
      <c:valAx>
        <c:axId val="133269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Relative</a:t>
                </a: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 normalized </a:t>
                </a:r>
              </a:p>
              <a:p>
                <a:pPr>
                  <a:defRPr sz="1100" b="1">
                    <a:solidFill>
                      <a:sysClr val="windowText" lastClr="000000"/>
                    </a:solidFill>
                  </a:defRPr>
                </a:pP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expression of Chr6g07660a</a:t>
                </a:r>
                <a:endParaRPr lang="en-US" sz="11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0492030492030493E-2"/>
              <c:y val="0.235527790431154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" sourceLinked="0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32690767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6746618211185156"/>
          <c:y val="0.42990029138919617"/>
          <c:w val="0.11836791132815715"/>
          <c:h val="0.25468892092713763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Chr2g11140a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0.20310704405192595"/>
          <c:y val="0.22570552734590213"/>
          <c:w val="0.63941111311190046"/>
          <c:h val="0.640999434602677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3 replicates_DVEL2'!$R$18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replicates_DVEL2'!$S$44:$U$44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'All 3 replicates_DVEL2'!$S$44:$U$44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replicates_DVEL2'!$S$17:$U$17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replicates_DVEL2'!$S$18:$U$18</c:f>
              <c:numCache>
                <c:formatCode>0.000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2-48E3-8C62-8BDEC41A2028}"/>
            </c:ext>
          </c:extLst>
        </c:ser>
        <c:ser>
          <c:idx val="1"/>
          <c:order val="1"/>
          <c:tx>
            <c:strRef>
              <c:f>'All 3 replicates_DVEL2'!$R$19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replicates_DVEL2'!$S$45:$U$45</c:f>
                <c:numCache>
                  <c:formatCode>General</c:formatCode>
                  <c:ptCount val="3"/>
                  <c:pt idx="0">
                    <c:v>1.9460492910945329E-2</c:v>
                  </c:pt>
                  <c:pt idx="1">
                    <c:v>0.65659950479826623</c:v>
                  </c:pt>
                  <c:pt idx="2">
                    <c:v>5.5979262359778105E-2</c:v>
                  </c:pt>
                </c:numCache>
              </c:numRef>
            </c:plus>
            <c:minus>
              <c:numRef>
                <c:f>'All 3 replicates_DVEL2'!$S$45:$U$45</c:f>
                <c:numCache>
                  <c:formatCode>General</c:formatCode>
                  <c:ptCount val="3"/>
                  <c:pt idx="0">
                    <c:v>1.9460492910945329E-2</c:v>
                  </c:pt>
                  <c:pt idx="1">
                    <c:v>0.65659950479826623</c:v>
                  </c:pt>
                  <c:pt idx="2">
                    <c:v>5.5979262359778105E-2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replicates_DVEL2'!$S$17:$U$17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replicates_DVEL2'!$S$19:$U$19</c:f>
              <c:numCache>
                <c:formatCode>0.000</c:formatCode>
                <c:ptCount val="3"/>
                <c:pt idx="0" formatCode="###0.000;\-###0.000">
                  <c:v>0.33901319590394602</c:v>
                </c:pt>
                <c:pt idx="1">
                  <c:v>1.7845061477370601</c:v>
                </c:pt>
                <c:pt idx="2" formatCode="###0.000;\-###0.000">
                  <c:v>0.646953145735782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2-48E3-8C62-8BDEC41A2028}"/>
            </c:ext>
          </c:extLst>
        </c:ser>
        <c:ser>
          <c:idx val="2"/>
          <c:order val="2"/>
          <c:tx>
            <c:strRef>
              <c:f>'All 3 replicates_DVEL2'!$R$20</c:f>
              <c:strCache>
                <c:ptCount val="1"/>
                <c:pt idx="0">
                  <c:v>ΔVEL1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replicates_DVEL2'!$S$46:$U$46</c:f>
                <c:numCache>
                  <c:formatCode>General</c:formatCode>
                  <c:ptCount val="3"/>
                  <c:pt idx="0">
                    <c:v>6.8112851785699702E-2</c:v>
                  </c:pt>
                  <c:pt idx="1">
                    <c:v>3.1323259345944578E-2</c:v>
                  </c:pt>
                  <c:pt idx="2">
                    <c:v>8.915110949602784E-3</c:v>
                  </c:pt>
                </c:numCache>
              </c:numRef>
            </c:plus>
            <c:minus>
              <c:numRef>
                <c:f>'All 3 replicates_DVEL2'!$S$46:$U$46</c:f>
                <c:numCache>
                  <c:formatCode>General</c:formatCode>
                  <c:ptCount val="3"/>
                  <c:pt idx="0">
                    <c:v>6.8112851785699702E-2</c:v>
                  </c:pt>
                  <c:pt idx="1">
                    <c:v>3.1323259345944578E-2</c:v>
                  </c:pt>
                  <c:pt idx="2">
                    <c:v>8.915110949602784E-3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replicates_DVEL2'!$S$17:$U$17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replicates_DVEL2'!$S$20:$U$20</c:f>
              <c:numCache>
                <c:formatCode>0.000</c:formatCode>
                <c:ptCount val="3"/>
                <c:pt idx="0">
                  <c:v>0.33859305745679863</c:v>
                </c:pt>
                <c:pt idx="1">
                  <c:v>0.19912655935802201</c:v>
                </c:pt>
                <c:pt idx="2">
                  <c:v>0.62276387153154467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E2-48E3-8C62-8BDEC41A2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6425887"/>
        <c:axId val="1146426719"/>
      </c:barChart>
      <c:catAx>
        <c:axId val="114642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46426719"/>
        <c:crosses val="autoZero"/>
        <c:auto val="1"/>
        <c:lblAlgn val="ctr"/>
        <c:lblOffset val="100"/>
        <c:noMultiLvlLbl val="0"/>
      </c:catAx>
      <c:valAx>
        <c:axId val="114642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Relative</a:t>
                </a: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 normalized </a:t>
                </a:r>
              </a:p>
              <a:p>
                <a:pPr>
                  <a:defRPr sz="1100" b="1">
                    <a:solidFill>
                      <a:sysClr val="windowText" lastClr="000000"/>
                    </a:solidFill>
                  </a:defRPr>
                </a:pP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expression of Chr2g11140a</a:t>
                </a:r>
                <a:endParaRPr lang="en-US" sz="11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8808038808038806E-2"/>
              <c:y val="0.24885243477837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4642588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6746618211185156"/>
          <c:y val="0.42994871683709873"/>
          <c:w val="0.11836791132815715"/>
          <c:h val="0.2549882028553716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Chr1g27910a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3 replicates_DVEL2'!$R$23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replicates_DVEL2'!$S$49:$U$49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'All 3 replicates_DVEL2'!$S$49:$U$49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replicates_DVEL2'!$S$22:$U$22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replicates_DVEL2'!$S$23:$U$23</c:f>
              <c:numCache>
                <c:formatCode>0.000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A-4C59-A78B-0EC1A0F4B5B2}"/>
            </c:ext>
          </c:extLst>
        </c:ser>
        <c:ser>
          <c:idx val="1"/>
          <c:order val="1"/>
          <c:tx>
            <c:strRef>
              <c:f>'All 3 replicates_DVEL2'!$R$24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replicates_DVEL2'!$S$50:$U$50</c:f>
                <c:numCache>
                  <c:formatCode>General</c:formatCode>
                  <c:ptCount val="3"/>
                  <c:pt idx="0">
                    <c:v>3.1241828569768031</c:v>
                  </c:pt>
                  <c:pt idx="1">
                    <c:v>0.4240343904882326</c:v>
                  </c:pt>
                  <c:pt idx="2">
                    <c:v>0.10041610509180349</c:v>
                  </c:pt>
                </c:numCache>
              </c:numRef>
            </c:plus>
            <c:minus>
              <c:numRef>
                <c:f>'All 3 replicates_DVEL2'!$S$50:$U$50</c:f>
                <c:numCache>
                  <c:formatCode>General</c:formatCode>
                  <c:ptCount val="3"/>
                  <c:pt idx="0">
                    <c:v>3.1241828569768031</c:v>
                  </c:pt>
                  <c:pt idx="1">
                    <c:v>0.4240343904882326</c:v>
                  </c:pt>
                  <c:pt idx="2">
                    <c:v>0.10041610509180349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replicates_DVEL2'!$S$22:$U$22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replicates_DVEL2'!$S$24:$U$24</c:f>
              <c:numCache>
                <c:formatCode>###0.000;\-###0.000</c:formatCode>
                <c:ptCount val="3"/>
                <c:pt idx="0">
                  <c:v>7.1532270573802164</c:v>
                </c:pt>
                <c:pt idx="1">
                  <c:v>0.86875609926245456</c:v>
                </c:pt>
                <c:pt idx="2">
                  <c:v>0.57592502260226064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DA-4C59-A78B-0EC1A0F4B5B2}"/>
            </c:ext>
          </c:extLst>
        </c:ser>
        <c:ser>
          <c:idx val="2"/>
          <c:order val="2"/>
          <c:tx>
            <c:strRef>
              <c:f>'All 3 replicates_DVEL2'!$R$25</c:f>
              <c:strCache>
                <c:ptCount val="1"/>
                <c:pt idx="0">
                  <c:v>ΔVEL1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replicates_DVEL2'!$S$51:$U$51</c:f>
                <c:numCache>
                  <c:formatCode>General</c:formatCode>
                  <c:ptCount val="3"/>
                  <c:pt idx="0">
                    <c:v>8.279286600487648</c:v>
                  </c:pt>
                  <c:pt idx="1">
                    <c:v>0.1367126761675744</c:v>
                  </c:pt>
                  <c:pt idx="2">
                    <c:v>0.14553584489190924</c:v>
                  </c:pt>
                </c:numCache>
              </c:numRef>
            </c:plus>
            <c:minus>
              <c:numRef>
                <c:f>'All 3 replicates_DVEL2'!$S$51:$U$51</c:f>
                <c:numCache>
                  <c:formatCode>General</c:formatCode>
                  <c:ptCount val="3"/>
                  <c:pt idx="0">
                    <c:v>8.279286600487648</c:v>
                  </c:pt>
                  <c:pt idx="1">
                    <c:v>0.1367126761675744</c:v>
                  </c:pt>
                  <c:pt idx="2">
                    <c:v>0.14553584489190924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replicates_DVEL2'!$S$22:$U$22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replicates_DVEL2'!$S$25:$U$25</c:f>
              <c:numCache>
                <c:formatCode>0.000</c:formatCode>
                <c:ptCount val="3"/>
                <c:pt idx="0">
                  <c:v>15.385071727330057</c:v>
                </c:pt>
                <c:pt idx="1">
                  <c:v>1.8039769924246034</c:v>
                </c:pt>
                <c:pt idx="2" formatCode="###0.000;\-###0.000">
                  <c:v>1.2676764715751467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DA-4C59-A78B-0EC1A0F4B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680799"/>
        <c:axId val="1448684543"/>
      </c:barChart>
      <c:catAx>
        <c:axId val="144868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48684543"/>
        <c:crosses val="autoZero"/>
        <c:auto val="1"/>
        <c:lblAlgn val="ctr"/>
        <c:lblOffset val="100"/>
        <c:noMultiLvlLbl val="0"/>
      </c:catAx>
      <c:valAx>
        <c:axId val="1448684543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Relative</a:t>
                </a: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 normalized </a:t>
                </a:r>
              </a:p>
              <a:p>
                <a:pPr>
                  <a:defRPr sz="1100" b="1">
                    <a:solidFill>
                      <a:sysClr val="windowText" lastClr="000000"/>
                    </a:solidFill>
                  </a:defRPr>
                </a:pP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expression of Chr1g27910a</a:t>
                </a:r>
                <a:endParaRPr lang="en-US" sz="11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2176022176022176E-2"/>
              <c:y val="0.235502160168123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48680799"/>
        <c:crosses val="autoZero"/>
        <c:crossBetween val="between"/>
        <c:majorUnit val="2.5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6192217656784598"/>
          <c:y val="0.40255359832598248"/>
          <c:w val="0.11836791132815715"/>
          <c:h val="0.2555888817784702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SXM-L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0.10164890160434126"/>
          <c:y val="0.14893284026624612"/>
          <c:w val="0.7972224050771789"/>
          <c:h val="0.757915800869359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3 replicates_DVEL2'!$M$2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('All 3 replicates_DVEL2'!$T$29,'All 3 replicates_DVEL2'!$T$34,'All 3 replicates_DVEL2'!$T$39,'All 3 replicates_DVEL2'!$T$44,'All 3 replicates_DVEL2'!$T$49)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('All 3 replicates_DVEL2'!$T$29,'All 3 replicates_DVEL2'!$T$34,'All 3 replicates_DVEL2'!$T$39,'All 3 replicates_DVEL2'!$T$44,'All 3 replicates_DVEL2'!$T$49)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replicates_DVEL2'!$J$3:$J$7</c:f>
              <c:strCache>
                <c:ptCount val="5"/>
                <c:pt idx="0">
                  <c:v>Chr5g04380a</c:v>
                </c:pt>
                <c:pt idx="1">
                  <c:v>Chr2g05600a</c:v>
                </c:pt>
                <c:pt idx="2">
                  <c:v>Chr6g07660a</c:v>
                </c:pt>
                <c:pt idx="3">
                  <c:v>Chr2g11140a</c:v>
                </c:pt>
                <c:pt idx="4">
                  <c:v>Chr1g27910a</c:v>
                </c:pt>
              </c:strCache>
            </c:strRef>
          </c:cat>
          <c:val>
            <c:numRef>
              <c:f>'All 3 replicates_DVEL2'!$M$3:$M$7</c:f>
              <c:numCache>
                <c:formatCode>General</c:formatCode>
                <c:ptCount val="5"/>
                <c:pt idx="0" formatCode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9-448E-B4D9-AFF4A2F5DC2A}"/>
            </c:ext>
          </c:extLst>
        </c:ser>
        <c:ser>
          <c:idx val="1"/>
          <c:order val="1"/>
          <c:tx>
            <c:strRef>
              <c:f>'All 3 replicates_DVEL2'!$N$2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('All 3 replicates_DVEL2'!$T$30,'All 3 replicates_DVEL2'!$T$35,'All 3 replicates_DVEL2'!$T$40,'All 3 replicates_DVEL2'!$T$45,'All 3 replicates_DVEL2'!$T$50)</c:f>
                <c:numCache>
                  <c:formatCode>General</c:formatCode>
                  <c:ptCount val="5"/>
                  <c:pt idx="0">
                    <c:v>0.10958878521036017</c:v>
                  </c:pt>
                  <c:pt idx="1">
                    <c:v>0.15803638051771288</c:v>
                  </c:pt>
                  <c:pt idx="2">
                    <c:v>0.48123242632607077</c:v>
                  </c:pt>
                  <c:pt idx="3">
                    <c:v>0.65659950479826623</c:v>
                  </c:pt>
                  <c:pt idx="4">
                    <c:v>0.4240343904882326</c:v>
                  </c:pt>
                </c:numCache>
              </c:numRef>
            </c:plus>
            <c:minus>
              <c:numRef>
                <c:f>('All 3 replicates_DVEL2'!$T$30,'All 3 replicates_DVEL2'!$T$35,'All 3 replicates_DVEL2'!$T$40,'All 3 replicates_DVEL2'!$T$45,'All 3 replicates_DVEL2'!$T$50)</c:f>
                <c:numCache>
                  <c:formatCode>General</c:formatCode>
                  <c:ptCount val="5"/>
                  <c:pt idx="0">
                    <c:v>0.10958878521036017</c:v>
                  </c:pt>
                  <c:pt idx="1">
                    <c:v>0.15803638051771288</c:v>
                  </c:pt>
                  <c:pt idx="2">
                    <c:v>0.48123242632607077</c:v>
                  </c:pt>
                  <c:pt idx="3">
                    <c:v>0.65659950479826623</c:v>
                  </c:pt>
                  <c:pt idx="4">
                    <c:v>0.4240343904882326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replicates_DVEL2'!$J$3:$J$7</c:f>
              <c:strCache>
                <c:ptCount val="5"/>
                <c:pt idx="0">
                  <c:v>Chr5g04380a</c:v>
                </c:pt>
                <c:pt idx="1">
                  <c:v>Chr2g05600a</c:v>
                </c:pt>
                <c:pt idx="2">
                  <c:v>Chr6g07660a</c:v>
                </c:pt>
                <c:pt idx="3">
                  <c:v>Chr2g11140a</c:v>
                </c:pt>
                <c:pt idx="4">
                  <c:v>Chr1g27910a</c:v>
                </c:pt>
              </c:strCache>
            </c:strRef>
          </c:cat>
          <c:val>
            <c:numRef>
              <c:f>'All 3 replicates_DVEL2'!$N$3:$N$7</c:f>
              <c:numCache>
                <c:formatCode>0.000</c:formatCode>
                <c:ptCount val="5"/>
                <c:pt idx="0">
                  <c:v>0.59750441815159228</c:v>
                </c:pt>
                <c:pt idx="1">
                  <c:v>0.45879515225881001</c:v>
                </c:pt>
                <c:pt idx="2">
                  <c:v>1.4308028569772968</c:v>
                </c:pt>
                <c:pt idx="3">
                  <c:v>1.7845061477370601</c:v>
                </c:pt>
                <c:pt idx="4">
                  <c:v>0.86875609926245456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9-448E-B4D9-AFF4A2F5D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640735"/>
        <c:axId val="536629087"/>
      </c:barChart>
      <c:catAx>
        <c:axId val="53664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36629087"/>
        <c:crosses val="autoZero"/>
        <c:auto val="1"/>
        <c:lblAlgn val="ctr"/>
        <c:lblOffset val="100"/>
        <c:noMultiLvlLbl val="0"/>
      </c:catAx>
      <c:valAx>
        <c:axId val="53662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Relative</a:t>
                </a: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 normalized expression</a:t>
                </a:r>
                <a:endParaRPr lang="en-US" sz="12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1511618668051182E-2"/>
              <c:y val="0.200381325586946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36640735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SXM-PL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0.10164890160434126"/>
          <c:y val="0.14893284026624612"/>
          <c:w val="0.7972224050771789"/>
          <c:h val="0.757915800869359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3 replicates_DVEL2'!$O$2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('All 3 replicates_DVEL2'!$T$29,'All 3 replicates_DVEL2'!$T$34,'All 3 replicates_DVEL2'!$T$39,'All 3 replicates_DVEL2'!$T$44,'All 3 replicates_DVEL2'!$T$49)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('All 3 replicates_DVEL2'!$T$29,'All 3 replicates_DVEL2'!$T$34,'All 3 replicates_DVEL2'!$T$39,'All 3 replicates_DVEL2'!$T$44,'All 3 replicates_DVEL2'!$T$49)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replicates_DVEL2'!$J$3:$J$7</c:f>
              <c:strCache>
                <c:ptCount val="5"/>
                <c:pt idx="0">
                  <c:v>Chr5g04380a</c:v>
                </c:pt>
                <c:pt idx="1">
                  <c:v>Chr2g05600a</c:v>
                </c:pt>
                <c:pt idx="2">
                  <c:v>Chr6g07660a</c:v>
                </c:pt>
                <c:pt idx="3">
                  <c:v>Chr2g11140a</c:v>
                </c:pt>
                <c:pt idx="4">
                  <c:v>Chr1g27910a</c:v>
                </c:pt>
              </c:strCache>
            </c:strRef>
          </c:cat>
          <c:val>
            <c:numRef>
              <c:f>'All 3 replicates_DVEL2'!$O$3:$O$7</c:f>
              <c:numCache>
                <c:formatCode>General</c:formatCode>
                <c:ptCount val="5"/>
                <c:pt idx="0" formatCode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3-4198-9EE7-9D195F8FF059}"/>
            </c:ext>
          </c:extLst>
        </c:ser>
        <c:ser>
          <c:idx val="1"/>
          <c:order val="1"/>
          <c:tx>
            <c:strRef>
              <c:f>'All 3 replicates_DVEL2'!$P$2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('All 3 replicates_DVEL2'!$U$30,'All 3 replicates_DVEL2'!$U$35,'All 3 replicates_DVEL2'!$U$40,'All 3 replicates_DVEL2'!$U$45,'All 3 replicates_DVEL2'!$U$50,'All 3 replicates_DVEL2'!$U$50)</c:f>
                <c:numCache>
                  <c:formatCode>General</c:formatCode>
                  <c:ptCount val="6"/>
                  <c:pt idx="0">
                    <c:v>0.26984810186768821</c:v>
                  </c:pt>
                  <c:pt idx="1">
                    <c:v>6.8516147456994858E-2</c:v>
                  </c:pt>
                  <c:pt idx="2">
                    <c:v>0.16836262770640847</c:v>
                  </c:pt>
                  <c:pt idx="3">
                    <c:v>5.5979262359778105E-2</c:v>
                  </c:pt>
                  <c:pt idx="4">
                    <c:v>0.10041610509180349</c:v>
                  </c:pt>
                  <c:pt idx="5">
                    <c:v>0.10041610509180349</c:v>
                  </c:pt>
                </c:numCache>
              </c:numRef>
            </c:plus>
            <c:minus>
              <c:numRef>
                <c:f>('All 3 replicates_DVEL2'!$U$30,'All 3 replicates_DVEL2'!$U$35,'All 3 replicates_DVEL2'!$U$40,'All 3 replicates_DVEL2'!$U$45,'All 3 replicates_DVEL2'!$U$50)</c:f>
                <c:numCache>
                  <c:formatCode>General</c:formatCode>
                  <c:ptCount val="5"/>
                  <c:pt idx="0">
                    <c:v>0.26984810186768821</c:v>
                  </c:pt>
                  <c:pt idx="1">
                    <c:v>6.8516147456994858E-2</c:v>
                  </c:pt>
                  <c:pt idx="2">
                    <c:v>0.16836262770640847</c:v>
                  </c:pt>
                  <c:pt idx="3">
                    <c:v>5.5979262359778105E-2</c:v>
                  </c:pt>
                  <c:pt idx="4">
                    <c:v>0.10041610509180349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replicates_DVEL2'!$J$3:$J$7</c:f>
              <c:strCache>
                <c:ptCount val="5"/>
                <c:pt idx="0">
                  <c:v>Chr5g04380a</c:v>
                </c:pt>
                <c:pt idx="1">
                  <c:v>Chr2g05600a</c:v>
                </c:pt>
                <c:pt idx="2">
                  <c:v>Chr6g07660a</c:v>
                </c:pt>
                <c:pt idx="3">
                  <c:v>Chr2g11140a</c:v>
                </c:pt>
                <c:pt idx="4">
                  <c:v>Chr1g27910a</c:v>
                </c:pt>
              </c:strCache>
            </c:strRef>
          </c:cat>
          <c:val>
            <c:numRef>
              <c:f>'All 3 replicates_DVEL2'!$P$3:$P$7</c:f>
              <c:numCache>
                <c:formatCode>0.000</c:formatCode>
                <c:ptCount val="5"/>
                <c:pt idx="0">
                  <c:v>1.8816808167367398</c:v>
                </c:pt>
                <c:pt idx="1">
                  <c:v>0.4889302771679947</c:v>
                </c:pt>
                <c:pt idx="2">
                  <c:v>1.1107871153880726</c:v>
                </c:pt>
                <c:pt idx="3">
                  <c:v>0.646953145735782</c:v>
                </c:pt>
                <c:pt idx="4">
                  <c:v>0.57592502260226064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B3-4198-9EE7-9D195F8FF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640735"/>
        <c:axId val="536629087"/>
      </c:barChart>
      <c:catAx>
        <c:axId val="53664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36629087"/>
        <c:crosses val="autoZero"/>
        <c:auto val="1"/>
        <c:lblAlgn val="ctr"/>
        <c:lblOffset val="100"/>
        <c:noMultiLvlLbl val="0"/>
      </c:catAx>
      <c:valAx>
        <c:axId val="53662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Relative</a:t>
                </a: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 normalized expression</a:t>
                </a:r>
                <a:endParaRPr lang="en-US" sz="12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1511618668051182E-2"/>
              <c:y val="0.200381325586946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36640735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Chr5g04380a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0.20581782165096937"/>
          <c:y val="0.23427032117702534"/>
          <c:w val="0.56835254854775641"/>
          <c:h val="0.629164022815258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3 replicates_DVOS1_DIDD'!$T$3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replicates_DVOS1_DIDD'!$U$33:$W$33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'All 3 replicates_DVOS1_DIDD'!$U$33:$W$33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bg2">
                    <a:lumMod val="25000"/>
                  </a:schemeClr>
                </a:solidFill>
                <a:round/>
              </a:ln>
              <a:effectLst/>
            </c:spPr>
          </c:errBars>
          <c:cat>
            <c:strRef>
              <c:f>'All 3 replicates_DVOS1_DIDD'!$U$2:$W$2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replicates_DVOS1_DIDD'!$U$3:$W$3</c:f>
              <c:numCache>
                <c:formatCode>0.000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2-444A-8209-F524DAE20F9A}"/>
            </c:ext>
          </c:extLst>
        </c:ser>
        <c:ser>
          <c:idx val="1"/>
          <c:order val="1"/>
          <c:tx>
            <c:strRef>
              <c:f>'All 3 replicates_DVOS1_DIDD'!$T$4</c:f>
              <c:strCache>
                <c:ptCount val="1"/>
                <c:pt idx="0">
                  <c:v>ΔVOS1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replicates_DVOS1_DIDD'!$U$34:$W$34</c:f>
                <c:numCache>
                  <c:formatCode>General</c:formatCode>
                  <c:ptCount val="3"/>
                  <c:pt idx="0">
                    <c:v>6.7842825340607177E-2</c:v>
                  </c:pt>
                  <c:pt idx="1">
                    <c:v>7.1444643158512885E-2</c:v>
                  </c:pt>
                  <c:pt idx="2">
                    <c:v>0.16865507491794787</c:v>
                  </c:pt>
                </c:numCache>
              </c:numRef>
            </c:plus>
            <c:minus>
              <c:numRef>
                <c:f>'All 3 replicates_DVOS1_DIDD'!$U$34:$W$34</c:f>
                <c:numCache>
                  <c:formatCode>General</c:formatCode>
                  <c:ptCount val="3"/>
                  <c:pt idx="0">
                    <c:v>6.7842825340607177E-2</c:v>
                  </c:pt>
                  <c:pt idx="1">
                    <c:v>7.1444643158512885E-2</c:v>
                  </c:pt>
                  <c:pt idx="2">
                    <c:v>0.16865507491794787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replicates_DVOS1_DIDD'!$U$2:$W$2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replicates_DVOS1_DIDD'!$U$4:$W$4</c:f>
              <c:numCache>
                <c:formatCode>0.000</c:formatCode>
                <c:ptCount val="3"/>
                <c:pt idx="0">
                  <c:v>0.28461474220557764</c:v>
                </c:pt>
                <c:pt idx="1">
                  <c:v>0.58237069875566838</c:v>
                </c:pt>
                <c:pt idx="2">
                  <c:v>1.1339475959511347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22-444A-8209-F524DAE20F9A}"/>
            </c:ext>
          </c:extLst>
        </c:ser>
        <c:ser>
          <c:idx val="2"/>
          <c:order val="2"/>
          <c:tx>
            <c:strRef>
              <c:f>'All 3 replicates_DVOS1_DIDD'!$T$5</c:f>
              <c:strCache>
                <c:ptCount val="1"/>
                <c:pt idx="0">
                  <c:v>VEL2-GFP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replicates_DVOS1_DIDD'!$U$35:$W$35</c:f>
                <c:numCache>
                  <c:formatCode>General</c:formatCode>
                  <c:ptCount val="3"/>
                  <c:pt idx="0">
                    <c:v>0.32814498508472417</c:v>
                  </c:pt>
                  <c:pt idx="1">
                    <c:v>0.13086178961287928</c:v>
                  </c:pt>
                  <c:pt idx="2">
                    <c:v>5.4465931923654176E-2</c:v>
                  </c:pt>
                </c:numCache>
              </c:numRef>
            </c:plus>
            <c:minus>
              <c:numRef>
                <c:f>'All 3 replicates_DVOS1_DIDD'!$U$35:$W$35</c:f>
                <c:numCache>
                  <c:formatCode>General</c:formatCode>
                  <c:ptCount val="3"/>
                  <c:pt idx="0">
                    <c:v>0.32814498508472417</c:v>
                  </c:pt>
                  <c:pt idx="1">
                    <c:v>0.13086178961287928</c:v>
                  </c:pt>
                  <c:pt idx="2">
                    <c:v>5.4465931923654176E-2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replicates_DVOS1_DIDD'!$U$2:$W$2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replicates_DVOS1_DIDD'!$U$5:$W$5</c:f>
              <c:numCache>
                <c:formatCode>0.000</c:formatCode>
                <c:ptCount val="3"/>
                <c:pt idx="0">
                  <c:v>0.632026975112291</c:v>
                </c:pt>
                <c:pt idx="1">
                  <c:v>0.52521897476284929</c:v>
                </c:pt>
                <c:pt idx="2">
                  <c:v>0.85188398309682667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22-444A-8209-F524DAE20F9A}"/>
            </c:ext>
          </c:extLst>
        </c:ser>
        <c:ser>
          <c:idx val="3"/>
          <c:order val="3"/>
          <c:tx>
            <c:strRef>
              <c:f>'All 3 replicates_DVOS1_DIDD'!$T$6</c:f>
              <c:strCache>
                <c:ptCount val="1"/>
                <c:pt idx="0">
                  <c:v>VEL2ΔIDD-GFP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replicates_DVOS1_DIDD'!$U$36:$W$36</c:f>
                <c:numCache>
                  <c:formatCode>General</c:formatCode>
                  <c:ptCount val="3"/>
                  <c:pt idx="0">
                    <c:v>7.75329312528234E-2</c:v>
                  </c:pt>
                  <c:pt idx="1">
                    <c:v>0.20734394186585511</c:v>
                  </c:pt>
                  <c:pt idx="2">
                    <c:v>0.2623581164663969</c:v>
                  </c:pt>
                </c:numCache>
              </c:numRef>
            </c:plus>
            <c:minus>
              <c:numRef>
                <c:f>'All 3 replicates_DVOS1_DIDD'!$U$36:$W$36</c:f>
                <c:numCache>
                  <c:formatCode>General</c:formatCode>
                  <c:ptCount val="3"/>
                  <c:pt idx="0">
                    <c:v>7.75329312528234E-2</c:v>
                  </c:pt>
                  <c:pt idx="1">
                    <c:v>0.20734394186585511</c:v>
                  </c:pt>
                  <c:pt idx="2">
                    <c:v>0.2623581164663969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replicates_DVOS1_DIDD'!$U$2:$W$2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replicates_DVOS1_DIDD'!$U$6:$W$6</c:f>
              <c:numCache>
                <c:formatCode>0.000</c:formatCode>
                <c:ptCount val="3"/>
                <c:pt idx="0">
                  <c:v>0.26268108059359935</c:v>
                </c:pt>
                <c:pt idx="1">
                  <c:v>0.70292848936476293</c:v>
                </c:pt>
                <c:pt idx="2">
                  <c:v>0.89376749261520272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22-444A-8209-F524DAE20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331759"/>
        <c:axId val="1450332175"/>
      </c:barChart>
      <c:catAx>
        <c:axId val="145033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50332175"/>
        <c:crosses val="autoZero"/>
        <c:auto val="1"/>
        <c:lblAlgn val="ctr"/>
        <c:lblOffset val="100"/>
        <c:noMultiLvlLbl val="0"/>
      </c:catAx>
      <c:valAx>
        <c:axId val="1450332175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Relative normalized</a:t>
                </a: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pPr>
                  <a:defRPr sz="1100" b="1">
                    <a:solidFill>
                      <a:sysClr val="windowText" lastClr="000000"/>
                    </a:solidFill>
                  </a:defRPr>
                </a:pP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expression of Chr5g04380a</a:t>
                </a:r>
                <a:endParaRPr lang="en-US" sz="11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4.4262702822995006E-2"/>
              <c:y val="0.264504182225676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50331759"/>
        <c:crosses val="autoZero"/>
        <c:crossBetween val="between"/>
        <c:majorUnit val="0.2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Chr2g5600a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0.16406221136450258"/>
          <c:y val="0.23488206063677522"/>
          <c:w val="0.61699604493396065"/>
          <c:h val="0.640999434602677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3 replicates_DVOS1_DIDD'!$T$9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replicates_DVOS1_DIDD'!$U$39:$W$39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'All 3 replicates_DVOS1_DIDD'!$U$39:$W$39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replicates_DVOS1_DIDD'!$U$8:$W$8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replicates_DVOS1_DIDD'!$U$9:$W$9</c:f>
              <c:numCache>
                <c:formatCode>0.000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1-49B4-847D-ED57A5D9B42B}"/>
            </c:ext>
          </c:extLst>
        </c:ser>
        <c:ser>
          <c:idx val="1"/>
          <c:order val="1"/>
          <c:tx>
            <c:strRef>
              <c:f>'All 3 replicates_DVOS1_DIDD'!$T$10</c:f>
              <c:strCache>
                <c:ptCount val="1"/>
                <c:pt idx="0">
                  <c:v>ΔVOS1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replicates_DVOS1_DIDD'!$U$40:$W$40</c:f>
                <c:numCache>
                  <c:formatCode>General</c:formatCode>
                  <c:ptCount val="3"/>
                  <c:pt idx="0">
                    <c:v>0.24012818661574292</c:v>
                  </c:pt>
                  <c:pt idx="1">
                    <c:v>0.34499902274602112</c:v>
                  </c:pt>
                  <c:pt idx="2">
                    <c:v>5.5918047019754447E-2</c:v>
                  </c:pt>
                </c:numCache>
              </c:numRef>
            </c:plus>
            <c:minus>
              <c:numRef>
                <c:f>'All 3 replicates_DVOS1_DIDD'!$U$40:$W$40</c:f>
                <c:numCache>
                  <c:formatCode>General</c:formatCode>
                  <c:ptCount val="3"/>
                  <c:pt idx="0">
                    <c:v>0.24012818661574292</c:v>
                  </c:pt>
                  <c:pt idx="1">
                    <c:v>0.34499902274602112</c:v>
                  </c:pt>
                  <c:pt idx="2">
                    <c:v>5.5918047019754447E-2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replicates_DVOS1_DIDD'!$U$8:$W$8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replicates_DVOS1_DIDD'!$U$10:$W$10</c:f>
              <c:numCache>
                <c:formatCode>###0.000;\-###0.000</c:formatCode>
                <c:ptCount val="3"/>
                <c:pt idx="0" formatCode="0.000">
                  <c:v>0.48489595930454471</c:v>
                </c:pt>
                <c:pt idx="1">
                  <c:v>1.2373470213255431</c:v>
                </c:pt>
                <c:pt idx="2" formatCode="0.000">
                  <c:v>1.2643737170573899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41-49B4-847D-ED57A5D9B42B}"/>
            </c:ext>
          </c:extLst>
        </c:ser>
        <c:ser>
          <c:idx val="2"/>
          <c:order val="2"/>
          <c:tx>
            <c:strRef>
              <c:f>'All 3 replicates_DVOS1_DIDD'!$T$11</c:f>
              <c:strCache>
                <c:ptCount val="1"/>
                <c:pt idx="0">
                  <c:v>VEL2-GFP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replicates_DVOS1_DIDD'!$U$41:$W$41</c:f>
                <c:numCache>
                  <c:formatCode>General</c:formatCode>
                  <c:ptCount val="3"/>
                  <c:pt idx="0">
                    <c:v>1.1972042573709099</c:v>
                  </c:pt>
                  <c:pt idx="1">
                    <c:v>0.28159835353118334</c:v>
                  </c:pt>
                  <c:pt idx="2">
                    <c:v>0.33809205605587983</c:v>
                  </c:pt>
                </c:numCache>
              </c:numRef>
            </c:plus>
            <c:minus>
              <c:numRef>
                <c:f>'All 3 replicates_DVOS1_DIDD'!$U$41:$W$41</c:f>
                <c:numCache>
                  <c:formatCode>General</c:formatCode>
                  <c:ptCount val="3"/>
                  <c:pt idx="0">
                    <c:v>1.1972042573709099</c:v>
                  </c:pt>
                  <c:pt idx="1">
                    <c:v>0.28159835353118334</c:v>
                  </c:pt>
                  <c:pt idx="2">
                    <c:v>0.33809205605587983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replicates_DVOS1_DIDD'!$U$8:$W$8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replicates_DVOS1_DIDD'!$U$11:$W$11</c:f>
              <c:numCache>
                <c:formatCode>0.000</c:formatCode>
                <c:ptCount val="3"/>
                <c:pt idx="0">
                  <c:v>1.2911035616493038</c:v>
                </c:pt>
                <c:pt idx="1">
                  <c:v>0.52412957667608995</c:v>
                </c:pt>
                <c:pt idx="2" formatCode="###0.000;\-###0.000">
                  <c:v>0.9428681464074633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41-49B4-847D-ED57A5D9B42B}"/>
            </c:ext>
          </c:extLst>
        </c:ser>
        <c:ser>
          <c:idx val="3"/>
          <c:order val="3"/>
          <c:tx>
            <c:strRef>
              <c:f>'All 3 replicates_DVOS1_DIDD'!$T$12</c:f>
              <c:strCache>
                <c:ptCount val="1"/>
                <c:pt idx="0">
                  <c:v>VEL2ΔIDD-GFP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replicates_DVOS1_DIDD'!$U$42:$W$42</c:f>
                <c:numCache>
                  <c:formatCode>General</c:formatCode>
                  <c:ptCount val="3"/>
                  <c:pt idx="0">
                    <c:v>0.23657205730394013</c:v>
                  </c:pt>
                  <c:pt idx="1">
                    <c:v>0.3061894122494167</c:v>
                  </c:pt>
                  <c:pt idx="2">
                    <c:v>0.45684358664598801</c:v>
                  </c:pt>
                </c:numCache>
              </c:numRef>
            </c:plus>
            <c:minus>
              <c:numRef>
                <c:f>'All 3 replicates_DVOS1_DIDD'!$U$42:$W$42</c:f>
                <c:numCache>
                  <c:formatCode>General</c:formatCode>
                  <c:ptCount val="3"/>
                  <c:pt idx="0">
                    <c:v>0.23657205730394013</c:v>
                  </c:pt>
                  <c:pt idx="1">
                    <c:v>0.3061894122494167</c:v>
                  </c:pt>
                  <c:pt idx="2">
                    <c:v>0.45684358664598801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replicates_DVOS1_DIDD'!$U$8:$W$8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replicates_DVOS1_DIDD'!$U$12:$W$12</c:f>
              <c:numCache>
                <c:formatCode>0.000</c:formatCode>
                <c:ptCount val="3"/>
                <c:pt idx="0">
                  <c:v>0.47531655710907134</c:v>
                </c:pt>
                <c:pt idx="1">
                  <c:v>0.53438624483937203</c:v>
                </c:pt>
                <c:pt idx="2">
                  <c:v>0.96410564105883623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41-49B4-847D-ED57A5D9B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311791"/>
        <c:axId val="1450328431"/>
      </c:barChart>
      <c:catAx>
        <c:axId val="145031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50328431"/>
        <c:crosses val="autoZero"/>
        <c:auto val="1"/>
        <c:lblAlgn val="ctr"/>
        <c:lblOffset val="100"/>
        <c:noMultiLvlLbl val="0"/>
      </c:catAx>
      <c:valAx>
        <c:axId val="14503284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Relative</a:t>
                </a: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 normalized </a:t>
                </a:r>
              </a:p>
              <a:p>
                <a:pPr>
                  <a:defRPr sz="1100" b="1">
                    <a:solidFill>
                      <a:sysClr val="windowText" lastClr="000000"/>
                    </a:solidFill>
                  </a:defRPr>
                </a:pP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expression of Chr2g05600a</a:t>
                </a:r>
                <a:endParaRPr lang="en-US" sz="11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9404019404019403E-2"/>
              <c:y val="0.26264196938744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" sourceLinked="0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50311791"/>
        <c:crosses val="autoZero"/>
        <c:crossBetween val="between"/>
        <c:majorUnit val="0.30000000000000004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Chr6g07660a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0.20310704405192595"/>
          <c:y val="0.22586097192396404"/>
          <c:w val="0.57474519668731816"/>
          <c:h val="0.626978084351026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3 replicates_DVOS1_DIDD'!$T$15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replicates_DVOS1_DIDD'!$U$45:$W$45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'All 3 replicates_DVOS1_DIDD'!$U$45:$W$45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replicates_DVOS1_DIDD'!$U$14:$W$14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replicates_DVOS1_DIDD'!$U$15:$W$15</c:f>
              <c:numCache>
                <c:formatCode>0.000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F-44D0-A9EC-3CD4C0D899BF}"/>
            </c:ext>
          </c:extLst>
        </c:ser>
        <c:ser>
          <c:idx val="1"/>
          <c:order val="1"/>
          <c:tx>
            <c:strRef>
              <c:f>'All 3 replicates_DVOS1_DIDD'!$T$16</c:f>
              <c:strCache>
                <c:ptCount val="1"/>
                <c:pt idx="0">
                  <c:v>ΔVOS1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replicates_DVOS1_DIDD'!$U$46:$W$46</c:f>
                <c:numCache>
                  <c:formatCode>General</c:formatCode>
                  <c:ptCount val="3"/>
                  <c:pt idx="0">
                    <c:v>0.2305224628217391</c:v>
                  </c:pt>
                  <c:pt idx="1">
                    <c:v>9.3834675235985321E-2</c:v>
                  </c:pt>
                  <c:pt idx="2">
                    <c:v>0.20360343388684427</c:v>
                  </c:pt>
                </c:numCache>
              </c:numRef>
            </c:plus>
            <c:minus>
              <c:numRef>
                <c:f>'All 3 replicates_DVOS1_DIDD'!$U$46:$W$46</c:f>
                <c:numCache>
                  <c:formatCode>General</c:formatCode>
                  <c:ptCount val="3"/>
                  <c:pt idx="0">
                    <c:v>0.2305224628217391</c:v>
                  </c:pt>
                  <c:pt idx="1">
                    <c:v>9.3834675235985321E-2</c:v>
                  </c:pt>
                  <c:pt idx="2">
                    <c:v>0.20360343388684427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replicates_DVOS1_DIDD'!$U$14:$W$14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replicates_DVOS1_DIDD'!$U$16:$W$16</c:f>
              <c:numCache>
                <c:formatCode>###0.000;\-###0.000</c:formatCode>
                <c:ptCount val="3"/>
                <c:pt idx="0" formatCode="0.000">
                  <c:v>0.73505420769490792</c:v>
                </c:pt>
                <c:pt idx="1">
                  <c:v>1.0361007916614504</c:v>
                </c:pt>
                <c:pt idx="2" formatCode="0.000">
                  <c:v>1.2513874246589276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DF-44D0-A9EC-3CD4C0D899BF}"/>
            </c:ext>
          </c:extLst>
        </c:ser>
        <c:ser>
          <c:idx val="2"/>
          <c:order val="2"/>
          <c:tx>
            <c:strRef>
              <c:f>'All 3 replicates_DVOS1_DIDD'!$T$17</c:f>
              <c:strCache>
                <c:ptCount val="1"/>
                <c:pt idx="0">
                  <c:v>VEL2-GFP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replicates_DVOS1_DIDD'!$U$47:$W$47</c:f>
                <c:numCache>
                  <c:formatCode>General</c:formatCode>
                  <c:ptCount val="3"/>
                  <c:pt idx="0">
                    <c:v>2.3158237000094699</c:v>
                  </c:pt>
                  <c:pt idx="1">
                    <c:v>0.11820388276283372</c:v>
                  </c:pt>
                  <c:pt idx="2">
                    <c:v>0.15422996651399373</c:v>
                  </c:pt>
                </c:numCache>
              </c:numRef>
            </c:plus>
            <c:minus>
              <c:numRef>
                <c:f>'All 3 replicates_DVOS1_DIDD'!$U$47:$W$47</c:f>
                <c:numCache>
                  <c:formatCode>General</c:formatCode>
                  <c:ptCount val="3"/>
                  <c:pt idx="0">
                    <c:v>2.3158237000094699</c:v>
                  </c:pt>
                  <c:pt idx="1">
                    <c:v>0.11820388276283372</c:v>
                  </c:pt>
                  <c:pt idx="2">
                    <c:v>0.15422996651399373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replicates_DVOS1_DIDD'!$U$14:$W$14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replicates_DVOS1_DIDD'!$U$17:$W$17</c:f>
              <c:numCache>
                <c:formatCode>0.000</c:formatCode>
                <c:ptCount val="3"/>
                <c:pt idx="0">
                  <c:v>3.2897537803532431</c:v>
                </c:pt>
                <c:pt idx="1">
                  <c:v>1.2817150694374366</c:v>
                </c:pt>
                <c:pt idx="2">
                  <c:v>1.1363819106344695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DF-44D0-A9EC-3CD4C0D899BF}"/>
            </c:ext>
          </c:extLst>
        </c:ser>
        <c:ser>
          <c:idx val="3"/>
          <c:order val="3"/>
          <c:tx>
            <c:strRef>
              <c:f>'All 3 replicates_DVOS1_DIDD'!$T$18</c:f>
              <c:strCache>
                <c:ptCount val="1"/>
                <c:pt idx="0">
                  <c:v>VEL2ΔIDD-GFP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replicates_DVOS1_DIDD'!$U$48:$W$48</c:f>
                <c:numCache>
                  <c:formatCode>General</c:formatCode>
                  <c:ptCount val="3"/>
                  <c:pt idx="0">
                    <c:v>0.19504225097308803</c:v>
                  </c:pt>
                  <c:pt idx="1">
                    <c:v>9.3021884614871445E-2</c:v>
                  </c:pt>
                  <c:pt idx="2">
                    <c:v>0.21553908382946885</c:v>
                  </c:pt>
                </c:numCache>
              </c:numRef>
            </c:plus>
            <c:minus>
              <c:numRef>
                <c:f>'All 3 replicates_DVOS1_DIDD'!$U$48:$W$48</c:f>
                <c:numCache>
                  <c:formatCode>General</c:formatCode>
                  <c:ptCount val="3"/>
                  <c:pt idx="0">
                    <c:v>0.19504225097308803</c:v>
                  </c:pt>
                  <c:pt idx="1">
                    <c:v>9.3021884614871445E-2</c:v>
                  </c:pt>
                  <c:pt idx="2">
                    <c:v>0.21553908382946885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replicates_DVOS1_DIDD'!$U$14:$W$14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replicates_DVOS1_DIDD'!$U$18:$W$18</c:f>
              <c:numCache>
                <c:formatCode>0.000</c:formatCode>
                <c:ptCount val="3"/>
                <c:pt idx="0">
                  <c:v>0.53470915387607698</c:v>
                </c:pt>
                <c:pt idx="1">
                  <c:v>0.85599107222884807</c:v>
                </c:pt>
                <c:pt idx="2">
                  <c:v>0.82278503785930635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DF-44D0-A9EC-3CD4C0D8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690767"/>
        <c:axId val="1332691183"/>
      </c:barChart>
      <c:catAx>
        <c:axId val="133269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32691183"/>
        <c:crosses val="autoZero"/>
        <c:auto val="1"/>
        <c:lblAlgn val="ctr"/>
        <c:lblOffset val="100"/>
        <c:noMultiLvlLbl val="0"/>
      </c:catAx>
      <c:valAx>
        <c:axId val="133269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Relative</a:t>
                </a: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 normalized </a:t>
                </a:r>
              </a:p>
              <a:p>
                <a:pPr>
                  <a:defRPr sz="1100" b="1">
                    <a:solidFill>
                      <a:sysClr val="windowText" lastClr="000000"/>
                    </a:solidFill>
                  </a:defRPr>
                </a:pP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expression of Chr6g07660a</a:t>
                </a:r>
                <a:endParaRPr lang="en-US" sz="11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0492030492030493E-2"/>
              <c:y val="0.235527790431154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" sourceLinked="0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32690767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Chr2g11140a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0.18372093777613516"/>
          <c:y val="0.22570550702899"/>
          <c:w val="0.57640634650717137"/>
          <c:h val="0.640999434602677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3 replicates_DVOS1_DIDD'!$T$21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replicates_DVOS1_DIDD'!$U$51:$W$51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'All 3 replicates_DVOS1_DIDD'!$U$51:$W$51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replicates_DVOS1_DIDD'!$U$20:$W$20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replicates_DVOS1_DIDD'!$U$21:$W$21</c:f>
              <c:numCache>
                <c:formatCode>0.000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F-4675-9848-38BFBBDB71D3}"/>
            </c:ext>
          </c:extLst>
        </c:ser>
        <c:ser>
          <c:idx val="1"/>
          <c:order val="1"/>
          <c:tx>
            <c:strRef>
              <c:f>'All 3 replicates_DVOS1_DIDD'!$T$22</c:f>
              <c:strCache>
                <c:ptCount val="1"/>
                <c:pt idx="0">
                  <c:v>ΔVOS1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replicates_DVOS1_DIDD'!$U$52:$W$52</c:f>
                <c:numCache>
                  <c:formatCode>General</c:formatCode>
                  <c:ptCount val="3"/>
                  <c:pt idx="0">
                    <c:v>0.23232807927829904</c:v>
                  </c:pt>
                  <c:pt idx="1">
                    <c:v>0.44039021164660375</c:v>
                  </c:pt>
                  <c:pt idx="2">
                    <c:v>0.21708618680161063</c:v>
                  </c:pt>
                </c:numCache>
              </c:numRef>
            </c:plus>
            <c:minus>
              <c:numRef>
                <c:f>'All 3 replicates_DVOS1_DIDD'!$U$52:$W$52</c:f>
                <c:numCache>
                  <c:formatCode>General</c:formatCode>
                  <c:ptCount val="3"/>
                  <c:pt idx="0">
                    <c:v>0.23232807927829904</c:v>
                  </c:pt>
                  <c:pt idx="1">
                    <c:v>0.44039021164660375</c:v>
                  </c:pt>
                  <c:pt idx="2">
                    <c:v>0.21708618680161063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replicates_DVOS1_DIDD'!$U$20:$W$20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replicates_DVOS1_DIDD'!$U$22:$W$22</c:f>
              <c:numCache>
                <c:formatCode>0.000</c:formatCode>
                <c:ptCount val="3"/>
                <c:pt idx="0">
                  <c:v>0.6297732619100963</c:v>
                </c:pt>
                <c:pt idx="1">
                  <c:v>1.2141773908679654</c:v>
                </c:pt>
                <c:pt idx="2">
                  <c:v>1.0010438041424861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F-4675-9848-38BFBBDB71D3}"/>
            </c:ext>
          </c:extLst>
        </c:ser>
        <c:ser>
          <c:idx val="2"/>
          <c:order val="2"/>
          <c:tx>
            <c:strRef>
              <c:f>'All 3 replicates_DVOS1_DIDD'!$T$23</c:f>
              <c:strCache>
                <c:ptCount val="1"/>
                <c:pt idx="0">
                  <c:v>VEL2-GFP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replicates_DVOS1_DIDD'!$U$53:$W$53</c:f>
                <c:numCache>
                  <c:formatCode>General</c:formatCode>
                  <c:ptCount val="3"/>
                  <c:pt idx="0">
                    <c:v>0.10703327534817704</c:v>
                  </c:pt>
                  <c:pt idx="1">
                    <c:v>0.13726747194692226</c:v>
                  </c:pt>
                  <c:pt idx="2">
                    <c:v>0.17768908851679099</c:v>
                  </c:pt>
                </c:numCache>
              </c:numRef>
            </c:plus>
            <c:minus>
              <c:numRef>
                <c:f>'All 3 replicates_DVOS1_DIDD'!$U$53:$W$53</c:f>
                <c:numCache>
                  <c:formatCode>General</c:formatCode>
                  <c:ptCount val="3"/>
                  <c:pt idx="0">
                    <c:v>0.10703327534817704</c:v>
                  </c:pt>
                  <c:pt idx="1">
                    <c:v>0.13726747194692226</c:v>
                  </c:pt>
                  <c:pt idx="2">
                    <c:v>0.17768908851679099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replicates_DVOS1_DIDD'!$U$20:$W$20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replicates_DVOS1_DIDD'!$U$23:$W$23</c:f>
              <c:numCache>
                <c:formatCode>0.000</c:formatCode>
                <c:ptCount val="3"/>
                <c:pt idx="0">
                  <c:v>0.57977062385116829</c:v>
                </c:pt>
                <c:pt idx="1">
                  <c:v>1.4361683703771868</c:v>
                </c:pt>
                <c:pt idx="2">
                  <c:v>1.2422219213387333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2F-4675-9848-38BFBBDB71D3}"/>
            </c:ext>
          </c:extLst>
        </c:ser>
        <c:ser>
          <c:idx val="3"/>
          <c:order val="3"/>
          <c:tx>
            <c:strRef>
              <c:f>'All 3 replicates_DVOS1_DIDD'!$T$24</c:f>
              <c:strCache>
                <c:ptCount val="1"/>
                <c:pt idx="0">
                  <c:v>VEL2ΔIDD-GFP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replicates_DVOS1_DIDD'!$U$54:$W$54</c:f>
                <c:numCache>
                  <c:formatCode>General</c:formatCode>
                  <c:ptCount val="3"/>
                  <c:pt idx="0">
                    <c:v>0.38165208953274737</c:v>
                  </c:pt>
                  <c:pt idx="1">
                    <c:v>0.65079786361273062</c:v>
                  </c:pt>
                  <c:pt idx="2">
                    <c:v>0.24197243952116418</c:v>
                  </c:pt>
                </c:numCache>
              </c:numRef>
            </c:plus>
            <c:minus>
              <c:numRef>
                <c:f>'All 3 replicates_DVOS1_DIDD'!$U$54:$W$54</c:f>
                <c:numCache>
                  <c:formatCode>General</c:formatCode>
                  <c:ptCount val="3"/>
                  <c:pt idx="0">
                    <c:v>0.38165208953274737</c:v>
                  </c:pt>
                  <c:pt idx="1">
                    <c:v>0.65079786361273062</c:v>
                  </c:pt>
                  <c:pt idx="2">
                    <c:v>0.24197243952116418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replicates_DVOS1_DIDD'!$U$20:$W$20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replicates_DVOS1_DIDD'!$U$24:$W$24</c:f>
              <c:numCache>
                <c:formatCode>0.000</c:formatCode>
                <c:ptCount val="3"/>
                <c:pt idx="0">
                  <c:v>0.5295784258948717</c:v>
                </c:pt>
                <c:pt idx="1">
                  <c:v>1.4974510102277188</c:v>
                </c:pt>
                <c:pt idx="2">
                  <c:v>1.1939975747301166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2F-4675-9848-38BFBBDB7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6425887"/>
        <c:axId val="1146426719"/>
      </c:barChart>
      <c:catAx>
        <c:axId val="114642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46426719"/>
        <c:crosses val="autoZero"/>
        <c:auto val="1"/>
        <c:lblAlgn val="ctr"/>
        <c:lblOffset val="100"/>
        <c:noMultiLvlLbl val="0"/>
      </c:catAx>
      <c:valAx>
        <c:axId val="114642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Relative</a:t>
                </a: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 normalized </a:t>
                </a:r>
              </a:p>
              <a:p>
                <a:pPr>
                  <a:defRPr sz="1100" b="1">
                    <a:solidFill>
                      <a:sysClr val="windowText" lastClr="000000"/>
                    </a:solidFill>
                  </a:defRPr>
                </a:pP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expression of Chr2g11140a</a:t>
                </a:r>
                <a:endParaRPr lang="en-US" sz="11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8808038808038806E-2"/>
              <c:y val="0.24885243477837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4642588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992159121763628"/>
          <c:y val="0.42547275808206975"/>
          <c:w val="0.18630105639785016"/>
          <c:h val="0.331289936577523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Chr1g27910a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3 replicates_DVOS1_DIDD'!$T$27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replicates_DVOS1_DIDD'!$U$57:$W$57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'All 3 replicates_DVOS1_DIDD'!$U$57:$W$57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replicates_DVOS1_DIDD'!$U$26:$W$26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replicates_DVOS1_DIDD'!$U$27:$W$27</c:f>
              <c:numCache>
                <c:formatCode>0.000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3-4B7B-9403-28FCD3A048EF}"/>
            </c:ext>
          </c:extLst>
        </c:ser>
        <c:ser>
          <c:idx val="1"/>
          <c:order val="1"/>
          <c:tx>
            <c:strRef>
              <c:f>'All 3 replicates_DVOS1_DIDD'!$T$28</c:f>
              <c:strCache>
                <c:ptCount val="1"/>
                <c:pt idx="0">
                  <c:v>ΔVOS1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replicates_DVOS1_DIDD'!$U$58:$W$58</c:f>
                <c:numCache>
                  <c:formatCode>General</c:formatCode>
                  <c:ptCount val="3"/>
                  <c:pt idx="0">
                    <c:v>0.15878603779654207</c:v>
                  </c:pt>
                  <c:pt idx="1">
                    <c:v>5.6396119213423614E-2</c:v>
                  </c:pt>
                  <c:pt idx="2">
                    <c:v>0.14947608409182805</c:v>
                  </c:pt>
                </c:numCache>
              </c:numRef>
            </c:plus>
            <c:minus>
              <c:numRef>
                <c:f>'All 3 replicates_DVOS1_DIDD'!$U$58:$W$58</c:f>
                <c:numCache>
                  <c:formatCode>General</c:formatCode>
                  <c:ptCount val="3"/>
                  <c:pt idx="0">
                    <c:v>0.15878603779654207</c:v>
                  </c:pt>
                  <c:pt idx="1">
                    <c:v>5.6396119213423614E-2</c:v>
                  </c:pt>
                  <c:pt idx="2">
                    <c:v>0.14947608409182805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replicates_DVOS1_DIDD'!$U$26:$W$26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replicates_DVOS1_DIDD'!$U$28:$W$28</c:f>
              <c:numCache>
                <c:formatCode>###0.000;\-###0.000</c:formatCode>
                <c:ptCount val="3"/>
                <c:pt idx="0" formatCode="0.000">
                  <c:v>0.54267543478116198</c:v>
                </c:pt>
                <c:pt idx="1">
                  <c:v>0.95557723510029913</c:v>
                </c:pt>
                <c:pt idx="2" formatCode="0.000">
                  <c:v>0.77393914362303506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B3-4B7B-9403-28FCD3A048EF}"/>
            </c:ext>
          </c:extLst>
        </c:ser>
        <c:ser>
          <c:idx val="2"/>
          <c:order val="2"/>
          <c:tx>
            <c:strRef>
              <c:f>'All 3 replicates_DVOS1_DIDD'!$T$29</c:f>
              <c:strCache>
                <c:ptCount val="1"/>
                <c:pt idx="0">
                  <c:v>VEL2-GFP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replicates_DVOS1_DIDD'!$U$59:$W$59</c:f>
                <c:numCache>
                  <c:formatCode>General</c:formatCode>
                  <c:ptCount val="3"/>
                  <c:pt idx="0">
                    <c:v>0.98202342928320541</c:v>
                  </c:pt>
                  <c:pt idx="1">
                    <c:v>6.2982934392443526E-2</c:v>
                  </c:pt>
                  <c:pt idx="2">
                    <c:v>0.16009399843803906</c:v>
                  </c:pt>
                </c:numCache>
              </c:numRef>
            </c:plus>
            <c:minus>
              <c:numRef>
                <c:f>'All 3 replicates_DVOS1_DIDD'!$U$59:$W$59</c:f>
                <c:numCache>
                  <c:formatCode>General</c:formatCode>
                  <c:ptCount val="3"/>
                  <c:pt idx="0">
                    <c:v>0.98202342928320541</c:v>
                  </c:pt>
                  <c:pt idx="1">
                    <c:v>6.2982934392443526E-2</c:v>
                  </c:pt>
                  <c:pt idx="2">
                    <c:v>0.16009399843803906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replicates_DVOS1_DIDD'!$U$26:$W$26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replicates_DVOS1_DIDD'!$U$29:$W$29</c:f>
              <c:numCache>
                <c:formatCode>0.000</c:formatCode>
                <c:ptCount val="3"/>
                <c:pt idx="0">
                  <c:v>2.1164560368436449</c:v>
                </c:pt>
                <c:pt idx="1">
                  <c:v>1.23664800272279</c:v>
                </c:pt>
                <c:pt idx="2">
                  <c:v>1.2908249390264499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B3-4B7B-9403-28FCD3A048EF}"/>
            </c:ext>
          </c:extLst>
        </c:ser>
        <c:ser>
          <c:idx val="3"/>
          <c:order val="3"/>
          <c:tx>
            <c:strRef>
              <c:f>'All 3 replicates_DVOS1_DIDD'!$T$30</c:f>
              <c:strCache>
                <c:ptCount val="1"/>
                <c:pt idx="0">
                  <c:v>VEL2ΔIDD-GFP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'All 3 replicates_DVOS1_DIDD'!$U$60:$W$60</c:f>
                <c:numCache>
                  <c:formatCode>General</c:formatCode>
                  <c:ptCount val="3"/>
                  <c:pt idx="0">
                    <c:v>0.18647291987207945</c:v>
                  </c:pt>
                  <c:pt idx="1">
                    <c:v>5.8774111480587532E-2</c:v>
                  </c:pt>
                  <c:pt idx="2">
                    <c:v>0.127238409173452</c:v>
                  </c:pt>
                </c:numCache>
              </c:numRef>
            </c:plus>
            <c:minus>
              <c:numRef>
                <c:f>'All 3 replicates_DVOS1_DIDD'!$U$60:$W$60</c:f>
                <c:numCache>
                  <c:formatCode>General</c:formatCode>
                  <c:ptCount val="3"/>
                  <c:pt idx="0">
                    <c:v>0.18647291987207945</c:v>
                  </c:pt>
                  <c:pt idx="1">
                    <c:v>5.8774111480587532E-2</c:v>
                  </c:pt>
                  <c:pt idx="2">
                    <c:v>0.127238409173452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'All 3 replicates_DVOS1_DIDD'!$U$26:$W$26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'All 3 replicates_DVOS1_DIDD'!$U$30:$W$30</c:f>
              <c:numCache>
                <c:formatCode>0.000</c:formatCode>
                <c:ptCount val="3"/>
                <c:pt idx="0">
                  <c:v>0.43667859075690552</c:v>
                </c:pt>
                <c:pt idx="1">
                  <c:v>0.78970679703447966</c:v>
                </c:pt>
                <c:pt idx="2">
                  <c:v>0.9422806839422927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B3-4B7B-9403-28FCD3A04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680799"/>
        <c:axId val="1448684543"/>
      </c:barChart>
      <c:catAx>
        <c:axId val="144868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48684543"/>
        <c:crosses val="autoZero"/>
        <c:auto val="1"/>
        <c:lblAlgn val="ctr"/>
        <c:lblOffset val="100"/>
        <c:noMultiLvlLbl val="0"/>
      </c:catAx>
      <c:valAx>
        <c:axId val="1448684543"/>
        <c:scaling>
          <c:orientation val="minMax"/>
          <c:max val="3.5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Relative</a:t>
                </a: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 normalized </a:t>
                </a:r>
              </a:p>
              <a:p>
                <a:pPr>
                  <a:defRPr sz="1100" b="1">
                    <a:solidFill>
                      <a:sysClr val="windowText" lastClr="000000"/>
                    </a:solidFill>
                  </a:defRPr>
                </a:pP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expression of Chr1g27910a</a:t>
                </a:r>
                <a:endParaRPr lang="en-US" sz="11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2176022176022176E-2"/>
              <c:y val="0.235502160168123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48680799"/>
        <c:crosses val="autoZero"/>
        <c:crossBetween val="between"/>
        <c:majorUnit val="0.5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'05600'!$B$5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'05600'!$C$4:$E$4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'05600'!$C$5:$E$5</c:f>
              <c:numCache>
                <c:formatCode>0.000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E-4F5A-8445-6E36D3671A2E}"/>
            </c:ext>
          </c:extLst>
        </c:ser>
        <c:ser>
          <c:idx val="1"/>
          <c:order val="1"/>
          <c:tx>
            <c:strRef>
              <c:f>'05600'!$B$7</c:f>
              <c:strCache>
                <c:ptCount val="1"/>
                <c:pt idx="0">
                  <c:v>ΔVEL1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'05600'!$C$8:$E$8</c:f>
                <c:numCache>
                  <c:formatCode>General</c:formatCode>
                  <c:ptCount val="3"/>
                  <c:pt idx="0">
                    <c:v>3.7374865966962507</c:v>
                  </c:pt>
                  <c:pt idx="1">
                    <c:v>0.95631392667795867</c:v>
                  </c:pt>
                  <c:pt idx="2">
                    <c:v>7.6466370728340893E-2</c:v>
                  </c:pt>
                </c:numCache>
              </c:numRef>
            </c:plus>
            <c:minus>
              <c:numRef>
                <c:f>'05600'!$C$8:$E$8</c:f>
                <c:numCache>
                  <c:formatCode>General</c:formatCode>
                  <c:ptCount val="3"/>
                  <c:pt idx="0">
                    <c:v>3.7374865966962507</c:v>
                  </c:pt>
                  <c:pt idx="1">
                    <c:v>0.95631392667795867</c:v>
                  </c:pt>
                  <c:pt idx="2">
                    <c:v>7.6466370728340893E-2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'05600'!$C$4:$E$4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'05600'!$C$7:$E$7</c:f>
              <c:numCache>
                <c:formatCode>###0.000;\-###0.000</c:formatCode>
                <c:ptCount val="3"/>
                <c:pt idx="0">
                  <c:v>7.7502571355039107</c:v>
                </c:pt>
                <c:pt idx="1">
                  <c:v>2.1071143478513759</c:v>
                </c:pt>
                <c:pt idx="2" formatCode="0.000">
                  <c:v>0.51661437584856762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BE-4F5A-8445-6E36D3671A2E}"/>
            </c:ext>
          </c:extLst>
        </c:ser>
        <c:ser>
          <c:idx val="2"/>
          <c:order val="2"/>
          <c:tx>
            <c:strRef>
              <c:f>'05600'!$B$9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'05600'!$C$10:$E$10</c:f>
                <c:numCache>
                  <c:formatCode>General</c:formatCode>
                  <c:ptCount val="3"/>
                  <c:pt idx="0">
                    <c:v>0.82014327195477865</c:v>
                  </c:pt>
                  <c:pt idx="1">
                    <c:v>0.15803638051771288</c:v>
                  </c:pt>
                  <c:pt idx="2">
                    <c:v>6.8516147456994858E-2</c:v>
                  </c:pt>
                </c:numCache>
              </c:numRef>
            </c:plus>
            <c:minus>
              <c:numRef>
                <c:f>'05600'!$C$10:$E$10</c:f>
                <c:numCache>
                  <c:formatCode>General</c:formatCode>
                  <c:ptCount val="3"/>
                  <c:pt idx="0">
                    <c:v>0.82014327195477865</c:v>
                  </c:pt>
                  <c:pt idx="1">
                    <c:v>0.15803638051771288</c:v>
                  </c:pt>
                  <c:pt idx="2">
                    <c:v>6.8516147456994858E-2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'05600'!$C$4:$E$4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'05600'!$C$9:$E$9</c:f>
              <c:numCache>
                <c:formatCode>0.000</c:formatCode>
                <c:ptCount val="3"/>
                <c:pt idx="0">
                  <c:v>4.175842727490207</c:v>
                </c:pt>
                <c:pt idx="1">
                  <c:v>0.45879515225881001</c:v>
                </c:pt>
                <c:pt idx="2">
                  <c:v>0.4889302771679947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BE-4F5A-8445-6E36D3671A2E}"/>
            </c:ext>
          </c:extLst>
        </c:ser>
        <c:ser>
          <c:idx val="3"/>
          <c:order val="3"/>
          <c:tx>
            <c:strRef>
              <c:f>'05600'!$B$11</c:f>
              <c:strCache>
                <c:ptCount val="1"/>
                <c:pt idx="0">
                  <c:v>VEL2ΔIDD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'05600'!$C$12:$E$12</c:f>
                <c:numCache>
                  <c:formatCode>General</c:formatCode>
                  <c:ptCount val="3"/>
                  <c:pt idx="0">
                    <c:v>0.23657205730394013</c:v>
                  </c:pt>
                  <c:pt idx="1">
                    <c:v>0.3061894122494167</c:v>
                  </c:pt>
                  <c:pt idx="2">
                    <c:v>0.45684358664598801</c:v>
                  </c:pt>
                </c:numCache>
              </c:numRef>
            </c:plus>
            <c:minus>
              <c:numRef>
                <c:f>'05600'!$C$12:$E$12</c:f>
                <c:numCache>
                  <c:formatCode>General</c:formatCode>
                  <c:ptCount val="3"/>
                  <c:pt idx="0">
                    <c:v>0.23657205730394013</c:v>
                  </c:pt>
                  <c:pt idx="1">
                    <c:v>0.3061894122494167</c:v>
                  </c:pt>
                  <c:pt idx="2">
                    <c:v>0.45684358664598801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'05600'!$C$4:$E$4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'05600'!$C$11:$E$11</c:f>
              <c:numCache>
                <c:formatCode>0.000</c:formatCode>
                <c:ptCount val="3"/>
                <c:pt idx="0">
                  <c:v>0.53470915387607698</c:v>
                </c:pt>
                <c:pt idx="1">
                  <c:v>0.85599107222884807</c:v>
                </c:pt>
                <c:pt idx="2">
                  <c:v>0.82278503785930635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BE-4F5A-8445-6E36D367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103119"/>
        <c:axId val="1756009967"/>
      </c:barChart>
      <c:catAx>
        <c:axId val="15010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56009967"/>
        <c:crosses val="autoZero"/>
        <c:auto val="1"/>
        <c:lblAlgn val="ctr"/>
        <c:lblOffset val="100"/>
        <c:noMultiLvlLbl val="0"/>
      </c:catAx>
      <c:valAx>
        <c:axId val="175600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010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'Pearson correlation'!$B$1</c:f>
              <c:strCache>
                <c:ptCount val="1"/>
                <c:pt idx="0">
                  <c:v>RNA-Seq log2 (fc)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6350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'Pearson correlation'!$A$2:$A$6</c:f>
              <c:numCache>
                <c:formatCode>0.0</c:formatCode>
                <c:ptCount val="5"/>
                <c:pt idx="0">
                  <c:v>0.95799999999999996</c:v>
                </c:pt>
                <c:pt idx="1">
                  <c:v>2.0619999999999998</c:v>
                </c:pt>
                <c:pt idx="2">
                  <c:v>1.7809999999999999</c:v>
                </c:pt>
                <c:pt idx="3">
                  <c:v>-1.5609999999999999</c:v>
                </c:pt>
                <c:pt idx="4">
                  <c:v>2.8380000000000001</c:v>
                </c:pt>
              </c:numCache>
            </c:numRef>
          </c:xVal>
          <c:yVal>
            <c:numRef>
              <c:f>'Pearson correlation'!$B$2:$B$6</c:f>
              <c:numCache>
                <c:formatCode>General</c:formatCode>
                <c:ptCount val="5"/>
                <c:pt idx="0">
                  <c:v>1.6</c:v>
                </c:pt>
                <c:pt idx="1">
                  <c:v>1.8</c:v>
                </c:pt>
                <c:pt idx="2">
                  <c:v>1.7</c:v>
                </c:pt>
                <c:pt idx="3">
                  <c:v>-1.6</c:v>
                </c:pt>
                <c:pt idx="4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C3-4574-A898-157A2DD6D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829392"/>
        <c:axId val="801834800"/>
      </c:scatterChart>
      <c:valAx>
        <c:axId val="801829392"/>
        <c:scaling>
          <c:orientation val="minMax"/>
          <c:max val="2.9"/>
          <c:min val="-1.6440000000000001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qRT-PCR log2 (fc)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#,##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01834800"/>
        <c:crosses val="autoZero"/>
        <c:crossBetween val="midCat"/>
        <c:majorUnit val="0.4"/>
      </c:valAx>
      <c:valAx>
        <c:axId val="801834800"/>
        <c:scaling>
          <c:orientation val="minMax"/>
          <c:max val="2.6"/>
          <c:min val="-1.8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baseline="0">
                    <a:solidFill>
                      <a:sysClr val="windowText" lastClr="000000"/>
                    </a:solidFill>
                    <a:effectLst/>
                  </a:rPr>
                  <a:t>RNA-Seq log</a:t>
                </a:r>
                <a:r>
                  <a:rPr lang="en-US" sz="1100" b="1" i="0" u="none" strike="noStrike" baseline="-25000">
                    <a:solidFill>
                      <a:sysClr val="windowText" lastClr="000000"/>
                    </a:solidFill>
                    <a:effectLst/>
                  </a:rPr>
                  <a:t>2 </a:t>
                </a:r>
                <a:r>
                  <a:rPr lang="en-US" sz="1100" b="1" i="0" u="none" strike="noStrike" baseline="0">
                    <a:solidFill>
                      <a:sysClr val="windowText" lastClr="000000"/>
                    </a:solidFill>
                    <a:effectLst/>
                  </a:rPr>
                  <a:t>(fold change)</a:t>
                </a:r>
                <a:endParaRPr lang="en-US" sz="11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943364797334814E-2"/>
              <c:y val="0.13665180639184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01829392"/>
        <c:crossesAt val="-1.6440000000000001"/>
        <c:crossBetween val="midCat"/>
        <c:majorUnit val="0.4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156210</xdr:rowOff>
    </xdr:from>
    <xdr:to>
      <xdr:col>22</xdr:col>
      <xdr:colOff>22860</xdr:colOff>
      <xdr:row>36</xdr:row>
      <xdr:rowOff>15240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35115F4-72FF-47A1-9D7B-18DF092D9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289560</xdr:colOff>
      <xdr:row>29</xdr:row>
      <xdr:rowOff>45720</xdr:rowOff>
    </xdr:from>
    <xdr:to>
      <xdr:col>14</xdr:col>
      <xdr:colOff>407663</xdr:colOff>
      <xdr:row>29</xdr:row>
      <xdr:rowOff>160954</xdr:rowOff>
    </xdr:to>
    <xdr:pic>
      <xdr:nvPicPr>
        <xdr:cNvPr id="4" name="Grafik 3" descr="Sternchen - Benutzeroberfläche und Gesten Symbole">
          <a:extLst>
            <a:ext uri="{FF2B5EF4-FFF2-40B4-BE49-F238E27FC236}">
              <a16:creationId xmlns:a16="http://schemas.microsoft.com/office/drawing/2014/main" id="{8B1074CA-A708-4210-830E-4F10543E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1384280" y="5349240"/>
          <a:ext cx="118103" cy="115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601579</xdr:colOff>
      <xdr:row>30</xdr:row>
      <xdr:rowOff>184083</xdr:rowOff>
    </xdr:from>
    <xdr:ext cx="313932" cy="26456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169ABF61-7DA5-4E8C-9491-E0D0856A67CB}"/>
            </a:ext>
          </a:extLst>
        </xdr:cNvPr>
        <xdr:cNvSpPr txBox="1"/>
      </xdr:nvSpPr>
      <xdr:spPr>
        <a:xfrm>
          <a:off x="10130590" y="5718609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oneCellAnchor>
    <xdr:from>
      <xdr:col>13</xdr:col>
      <xdr:colOff>22459</xdr:colOff>
      <xdr:row>31</xdr:row>
      <xdr:rowOff>153201</xdr:rowOff>
    </xdr:from>
    <xdr:ext cx="313932" cy="26456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2EDA5EBB-C8E1-4A70-89F9-E3106FC9D520}"/>
            </a:ext>
          </a:extLst>
        </xdr:cNvPr>
        <xdr:cNvSpPr txBox="1"/>
      </xdr:nvSpPr>
      <xdr:spPr>
        <a:xfrm>
          <a:off x="10345554" y="5872212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oneCellAnchor>
    <xdr:from>
      <xdr:col>13</xdr:col>
      <xdr:colOff>243840</xdr:colOff>
      <xdr:row>31</xdr:row>
      <xdr:rowOff>144780</xdr:rowOff>
    </xdr:from>
    <xdr:ext cx="313932" cy="26456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D85CC489-959E-4914-A17A-428C229A17E6}"/>
            </a:ext>
          </a:extLst>
        </xdr:cNvPr>
        <xdr:cNvSpPr txBox="1"/>
      </xdr:nvSpPr>
      <xdr:spPr>
        <a:xfrm>
          <a:off x="10546080" y="5814060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oneCellAnchor>
    <xdr:from>
      <xdr:col>14</xdr:col>
      <xdr:colOff>411480</xdr:colOff>
      <xdr:row>31</xdr:row>
      <xdr:rowOff>7620</xdr:rowOff>
    </xdr:from>
    <xdr:ext cx="313932" cy="26456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2553B452-5F0E-4BDF-AF9B-0D37DADB7043}"/>
            </a:ext>
          </a:extLst>
        </xdr:cNvPr>
        <xdr:cNvSpPr txBox="1"/>
      </xdr:nvSpPr>
      <xdr:spPr>
        <a:xfrm>
          <a:off x="11506200" y="5676900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oneCellAnchor>
    <xdr:from>
      <xdr:col>14</xdr:col>
      <xdr:colOff>632460</xdr:colOff>
      <xdr:row>22</xdr:row>
      <xdr:rowOff>152400</xdr:rowOff>
    </xdr:from>
    <xdr:ext cx="313932" cy="26456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5E515978-EC61-416E-B1A1-95674B43837A}"/>
            </a:ext>
          </a:extLst>
        </xdr:cNvPr>
        <xdr:cNvSpPr txBox="1"/>
      </xdr:nvSpPr>
      <xdr:spPr>
        <a:xfrm>
          <a:off x="11727180" y="4175760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oneCellAnchor>
    <xdr:from>
      <xdr:col>15</xdr:col>
      <xdr:colOff>793683</xdr:colOff>
      <xdr:row>28</xdr:row>
      <xdr:rowOff>121118</xdr:rowOff>
    </xdr:from>
    <xdr:ext cx="313932" cy="26456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BF382581-78B0-45CF-A149-3FD69BEE06B0}"/>
            </a:ext>
          </a:extLst>
        </xdr:cNvPr>
        <xdr:cNvSpPr txBox="1"/>
      </xdr:nvSpPr>
      <xdr:spPr>
        <a:xfrm>
          <a:off x="12704946" y="5286676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oneCellAnchor>
    <xdr:from>
      <xdr:col>15</xdr:col>
      <xdr:colOff>45720</xdr:colOff>
      <xdr:row>30</xdr:row>
      <xdr:rowOff>60960</xdr:rowOff>
    </xdr:from>
    <xdr:ext cx="313932" cy="26456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F9E45BD3-ED91-450F-9BDB-5FE6E10DDD32}"/>
            </a:ext>
          </a:extLst>
        </xdr:cNvPr>
        <xdr:cNvSpPr txBox="1"/>
      </xdr:nvSpPr>
      <xdr:spPr>
        <a:xfrm>
          <a:off x="11932920" y="5547360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oneCellAnchor>
    <xdr:from>
      <xdr:col>16</xdr:col>
      <xdr:colOff>205740</xdr:colOff>
      <xdr:row>31</xdr:row>
      <xdr:rowOff>53340</xdr:rowOff>
    </xdr:from>
    <xdr:ext cx="313932" cy="264560"/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DE045694-7A45-4644-AB36-18017A3D4433}"/>
            </a:ext>
          </a:extLst>
        </xdr:cNvPr>
        <xdr:cNvSpPr txBox="1"/>
      </xdr:nvSpPr>
      <xdr:spPr>
        <a:xfrm>
          <a:off x="12885420" y="5722620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oneCellAnchor>
    <xdr:from>
      <xdr:col>16</xdr:col>
      <xdr:colOff>419100</xdr:colOff>
      <xdr:row>29</xdr:row>
      <xdr:rowOff>167640</xdr:rowOff>
    </xdr:from>
    <xdr:ext cx="313932" cy="264560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60E9A076-EE5D-418E-8E94-4B77315981F9}"/>
            </a:ext>
          </a:extLst>
        </xdr:cNvPr>
        <xdr:cNvSpPr txBox="1"/>
      </xdr:nvSpPr>
      <xdr:spPr>
        <a:xfrm>
          <a:off x="13124447" y="5517682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oneCellAnchor>
    <xdr:from>
      <xdr:col>16</xdr:col>
      <xdr:colOff>632460</xdr:colOff>
      <xdr:row>29</xdr:row>
      <xdr:rowOff>152000</xdr:rowOff>
    </xdr:from>
    <xdr:ext cx="313932" cy="264560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4C2B6E1F-543F-42F4-8E76-C62D7EBDF020}"/>
            </a:ext>
          </a:extLst>
        </xdr:cNvPr>
        <xdr:cNvSpPr txBox="1"/>
      </xdr:nvSpPr>
      <xdr:spPr>
        <a:xfrm>
          <a:off x="13337807" y="5502042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oneCellAnchor>
    <xdr:from>
      <xdr:col>17</xdr:col>
      <xdr:colOff>792881</xdr:colOff>
      <xdr:row>31</xdr:row>
      <xdr:rowOff>175661</xdr:rowOff>
    </xdr:from>
    <xdr:ext cx="313932" cy="264560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DF3874DA-800D-4A46-BB2F-0F01AAABE2CC}"/>
            </a:ext>
          </a:extLst>
        </xdr:cNvPr>
        <xdr:cNvSpPr txBox="1"/>
      </xdr:nvSpPr>
      <xdr:spPr>
        <a:xfrm>
          <a:off x="14292313" y="5894672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oneCellAnchor>
    <xdr:from>
      <xdr:col>18</xdr:col>
      <xdr:colOff>419100</xdr:colOff>
      <xdr:row>32</xdr:row>
      <xdr:rowOff>0</xdr:rowOff>
    </xdr:from>
    <xdr:ext cx="313932" cy="264560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B0A91112-AB3D-49A8-B6C7-A0E8F28F8762}"/>
            </a:ext>
          </a:extLst>
        </xdr:cNvPr>
        <xdr:cNvSpPr txBox="1"/>
      </xdr:nvSpPr>
      <xdr:spPr>
        <a:xfrm>
          <a:off x="14683740" y="5852160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twoCellAnchor editAs="oneCell">
    <xdr:from>
      <xdr:col>17</xdr:col>
      <xdr:colOff>678581</xdr:colOff>
      <xdr:row>33</xdr:row>
      <xdr:rowOff>85424</xdr:rowOff>
    </xdr:from>
    <xdr:to>
      <xdr:col>18</xdr:col>
      <xdr:colOff>2600</xdr:colOff>
      <xdr:row>34</xdr:row>
      <xdr:rowOff>16174</xdr:rowOff>
    </xdr:to>
    <xdr:pic>
      <xdr:nvPicPr>
        <xdr:cNvPr id="17" name="Grafik 16" descr="Sternchen - Benutzeroberfläche und Gesten Symbole">
          <a:extLst>
            <a:ext uri="{FF2B5EF4-FFF2-40B4-BE49-F238E27FC236}">
              <a16:creationId xmlns:a16="http://schemas.microsoft.com/office/drawing/2014/main" id="{6538E951-6750-41CD-93B4-F843CB862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4178013" y="6173403"/>
          <a:ext cx="118103" cy="115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312420</xdr:colOff>
      <xdr:row>33</xdr:row>
      <xdr:rowOff>68580</xdr:rowOff>
    </xdr:from>
    <xdr:to>
      <xdr:col>18</xdr:col>
      <xdr:colOff>430523</xdr:colOff>
      <xdr:row>34</xdr:row>
      <xdr:rowOff>934</xdr:rowOff>
    </xdr:to>
    <xdr:pic>
      <xdr:nvPicPr>
        <xdr:cNvPr id="19" name="Grafik 18" descr="Sternchen - Benutzeroberfläche und Gesten Symbole">
          <a:extLst>
            <a:ext uri="{FF2B5EF4-FFF2-40B4-BE49-F238E27FC236}">
              <a16:creationId xmlns:a16="http://schemas.microsoft.com/office/drawing/2014/main" id="{2E89FEC8-AEAE-4FA2-B31B-D8976C215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4577060" y="6103620"/>
          <a:ext cx="118103" cy="115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312420</xdr:colOff>
      <xdr:row>32</xdr:row>
      <xdr:rowOff>152400</xdr:rowOff>
    </xdr:from>
    <xdr:to>
      <xdr:col>18</xdr:col>
      <xdr:colOff>430523</xdr:colOff>
      <xdr:row>33</xdr:row>
      <xdr:rowOff>84754</xdr:rowOff>
    </xdr:to>
    <xdr:pic>
      <xdr:nvPicPr>
        <xdr:cNvPr id="20" name="Grafik 19" descr="Sternchen - Benutzeroberfläche und Gesten Symbole">
          <a:extLst>
            <a:ext uri="{FF2B5EF4-FFF2-40B4-BE49-F238E27FC236}">
              <a16:creationId xmlns:a16="http://schemas.microsoft.com/office/drawing/2014/main" id="{72B16078-8A57-4798-A1DA-7F2CE61F9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4577060" y="6004560"/>
          <a:ext cx="118103" cy="115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312420</xdr:colOff>
      <xdr:row>32</xdr:row>
      <xdr:rowOff>22860</xdr:rowOff>
    </xdr:from>
    <xdr:to>
      <xdr:col>20</xdr:col>
      <xdr:colOff>430523</xdr:colOff>
      <xdr:row>32</xdr:row>
      <xdr:rowOff>138094</xdr:rowOff>
    </xdr:to>
    <xdr:pic>
      <xdr:nvPicPr>
        <xdr:cNvPr id="21" name="Grafik 20" descr="Sternchen - Benutzeroberfläche und Gesten Symbole">
          <a:extLst>
            <a:ext uri="{FF2B5EF4-FFF2-40B4-BE49-F238E27FC236}">
              <a16:creationId xmlns:a16="http://schemas.microsoft.com/office/drawing/2014/main" id="{614DFB99-9471-48A0-93F1-925AD3ABB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6162020" y="5875020"/>
          <a:ext cx="118103" cy="115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312420</xdr:colOff>
      <xdr:row>31</xdr:row>
      <xdr:rowOff>106680</xdr:rowOff>
    </xdr:from>
    <xdr:to>
      <xdr:col>20</xdr:col>
      <xdr:colOff>430523</xdr:colOff>
      <xdr:row>32</xdr:row>
      <xdr:rowOff>39034</xdr:rowOff>
    </xdr:to>
    <xdr:pic>
      <xdr:nvPicPr>
        <xdr:cNvPr id="22" name="Grafik 21" descr="Sternchen - Benutzeroberfläche und Gesten Symbole">
          <a:extLst>
            <a:ext uri="{FF2B5EF4-FFF2-40B4-BE49-F238E27FC236}">
              <a16:creationId xmlns:a16="http://schemas.microsoft.com/office/drawing/2014/main" id="{15ED479B-7709-4CE0-8D04-730429136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6162020" y="5775960"/>
          <a:ext cx="118103" cy="115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312420</xdr:colOff>
      <xdr:row>31</xdr:row>
      <xdr:rowOff>7620</xdr:rowOff>
    </xdr:from>
    <xdr:to>
      <xdr:col>20</xdr:col>
      <xdr:colOff>430523</xdr:colOff>
      <xdr:row>31</xdr:row>
      <xdr:rowOff>122854</xdr:rowOff>
    </xdr:to>
    <xdr:pic>
      <xdr:nvPicPr>
        <xdr:cNvPr id="23" name="Grafik 22" descr="Sternchen - Benutzeroberfläche und Gesten Symbole">
          <a:extLst>
            <a:ext uri="{FF2B5EF4-FFF2-40B4-BE49-F238E27FC236}">
              <a16:creationId xmlns:a16="http://schemas.microsoft.com/office/drawing/2014/main" id="{88123C12-0073-4367-BFFE-8B23F2D65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6162020" y="5676900"/>
          <a:ext cx="118103" cy="115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19</xdr:col>
      <xdr:colOff>373380</xdr:colOff>
      <xdr:row>23</xdr:row>
      <xdr:rowOff>168041</xdr:rowOff>
    </xdr:from>
    <xdr:ext cx="313932" cy="264560"/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61FC437C-FFC9-423B-8630-91F60C59F189}"/>
            </a:ext>
          </a:extLst>
        </xdr:cNvPr>
        <xdr:cNvSpPr txBox="1"/>
      </xdr:nvSpPr>
      <xdr:spPr>
        <a:xfrm>
          <a:off x="15460980" y="4411178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oneCellAnchor>
    <xdr:from>
      <xdr:col>19</xdr:col>
      <xdr:colOff>594761</xdr:colOff>
      <xdr:row>31</xdr:row>
      <xdr:rowOff>86628</xdr:rowOff>
    </xdr:from>
    <xdr:ext cx="313932" cy="264560"/>
    <xdr:sp macro="" textlink="">
      <xdr:nvSpPr>
        <xdr:cNvPr id="25" name="Textfeld 24">
          <a:extLst>
            <a:ext uri="{FF2B5EF4-FFF2-40B4-BE49-F238E27FC236}">
              <a16:creationId xmlns:a16="http://schemas.microsoft.com/office/drawing/2014/main" id="{329E1177-F678-4867-BC68-50F0B7F38484}"/>
            </a:ext>
          </a:extLst>
        </xdr:cNvPr>
        <xdr:cNvSpPr txBox="1"/>
      </xdr:nvSpPr>
      <xdr:spPr>
        <a:xfrm>
          <a:off x="15682361" y="5805639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oneCellAnchor>
    <xdr:from>
      <xdr:col>20</xdr:col>
      <xdr:colOff>7620</xdr:colOff>
      <xdr:row>12</xdr:row>
      <xdr:rowOff>7620</xdr:rowOff>
    </xdr:from>
    <xdr:ext cx="313932" cy="264560"/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0A2A74DA-BE39-4BB4-9135-D2A858AC0C4E}"/>
            </a:ext>
          </a:extLst>
        </xdr:cNvPr>
        <xdr:cNvSpPr txBox="1"/>
      </xdr:nvSpPr>
      <xdr:spPr>
        <a:xfrm>
          <a:off x="15857220" y="2202180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twoCellAnchor>
    <xdr:from>
      <xdr:col>14</xdr:col>
      <xdr:colOff>342900</xdr:colOff>
      <xdr:row>28</xdr:row>
      <xdr:rowOff>160020</xdr:rowOff>
    </xdr:from>
    <xdr:to>
      <xdr:col>14</xdr:col>
      <xdr:colOff>563883</xdr:colOff>
      <xdr:row>29</xdr:row>
      <xdr:rowOff>22859</xdr:rowOff>
    </xdr:to>
    <xdr:sp macro="" textlink="">
      <xdr:nvSpPr>
        <xdr:cNvPr id="27" name="Eckige Klammer rechts 26">
          <a:extLst>
            <a:ext uri="{FF2B5EF4-FFF2-40B4-BE49-F238E27FC236}">
              <a16:creationId xmlns:a16="http://schemas.microsoft.com/office/drawing/2014/main" id="{7D078050-3FF4-4614-B9D0-F4C5538F6C89}"/>
            </a:ext>
          </a:extLst>
        </xdr:cNvPr>
        <xdr:cNvSpPr/>
      </xdr:nvSpPr>
      <xdr:spPr>
        <a:xfrm rot="16200000">
          <a:off x="11525252" y="5193028"/>
          <a:ext cx="45719" cy="220983"/>
        </a:xfrm>
        <a:prstGeom prst="rightBracket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533400</xdr:colOff>
      <xdr:row>30</xdr:row>
      <xdr:rowOff>173655</xdr:rowOff>
    </xdr:from>
    <xdr:to>
      <xdr:col>12</xdr:col>
      <xdr:colOff>754383</xdr:colOff>
      <xdr:row>31</xdr:row>
      <xdr:rowOff>34889</xdr:rowOff>
    </xdr:to>
    <xdr:sp macro="" textlink="">
      <xdr:nvSpPr>
        <xdr:cNvPr id="28" name="Eckige Klammer rechts 27">
          <a:extLst>
            <a:ext uri="{FF2B5EF4-FFF2-40B4-BE49-F238E27FC236}">
              <a16:creationId xmlns:a16="http://schemas.microsoft.com/office/drawing/2014/main" id="{8B7C181C-0575-4997-98C8-B4737EEE1161}"/>
            </a:ext>
          </a:extLst>
        </xdr:cNvPr>
        <xdr:cNvSpPr/>
      </xdr:nvSpPr>
      <xdr:spPr>
        <a:xfrm rot="16200000">
          <a:off x="10150043" y="5620549"/>
          <a:ext cx="45719" cy="220983"/>
        </a:xfrm>
        <a:prstGeom prst="rightBracket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oneCellAnchor>
    <xdr:from>
      <xdr:col>12</xdr:col>
      <xdr:colOff>487279</xdr:colOff>
      <xdr:row>29</xdr:row>
      <xdr:rowOff>112295</xdr:rowOff>
    </xdr:from>
    <xdr:ext cx="313932" cy="264560"/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220E179E-BCC8-4E63-9D9A-290F97BE8855}"/>
            </a:ext>
          </a:extLst>
        </xdr:cNvPr>
        <xdr:cNvSpPr txBox="1"/>
      </xdr:nvSpPr>
      <xdr:spPr>
        <a:xfrm>
          <a:off x="10016290" y="5462337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twoCellAnchor>
    <xdr:from>
      <xdr:col>13</xdr:col>
      <xdr:colOff>182880</xdr:colOff>
      <xdr:row>31</xdr:row>
      <xdr:rowOff>176862</xdr:rowOff>
    </xdr:from>
    <xdr:to>
      <xdr:col>13</xdr:col>
      <xdr:colOff>403863</xdr:colOff>
      <xdr:row>32</xdr:row>
      <xdr:rowOff>39702</xdr:rowOff>
    </xdr:to>
    <xdr:sp macro="" textlink="">
      <xdr:nvSpPr>
        <xdr:cNvPr id="30" name="Eckige Klammer rechts 29">
          <a:extLst>
            <a:ext uri="{FF2B5EF4-FFF2-40B4-BE49-F238E27FC236}">
              <a16:creationId xmlns:a16="http://schemas.microsoft.com/office/drawing/2014/main" id="{984225FE-2786-4A1E-9763-D1EDD160A68E}"/>
            </a:ext>
          </a:extLst>
        </xdr:cNvPr>
        <xdr:cNvSpPr/>
      </xdr:nvSpPr>
      <xdr:spPr>
        <a:xfrm rot="16200000">
          <a:off x="10592805" y="5809043"/>
          <a:ext cx="47324" cy="220983"/>
        </a:xfrm>
        <a:prstGeom prst="rightBracket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oneCellAnchor>
    <xdr:from>
      <xdr:col>13</xdr:col>
      <xdr:colOff>136759</xdr:colOff>
      <xdr:row>30</xdr:row>
      <xdr:rowOff>114300</xdr:rowOff>
    </xdr:from>
    <xdr:ext cx="313932" cy="264560"/>
    <xdr:sp macro="" textlink="">
      <xdr:nvSpPr>
        <xdr:cNvPr id="31" name="Textfeld 30">
          <a:extLst>
            <a:ext uri="{FF2B5EF4-FFF2-40B4-BE49-F238E27FC236}">
              <a16:creationId xmlns:a16="http://schemas.microsoft.com/office/drawing/2014/main" id="{694BAE50-A64A-4759-AC02-72DC5942A3DC}"/>
            </a:ext>
          </a:extLst>
        </xdr:cNvPr>
        <xdr:cNvSpPr txBox="1"/>
      </xdr:nvSpPr>
      <xdr:spPr>
        <a:xfrm>
          <a:off x="10459854" y="5648826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twoCellAnchor editAs="oneCell">
    <xdr:from>
      <xdr:col>12</xdr:col>
      <xdr:colOff>492492</xdr:colOff>
      <xdr:row>31</xdr:row>
      <xdr:rowOff>111893</xdr:rowOff>
    </xdr:from>
    <xdr:to>
      <xdr:col>12</xdr:col>
      <xdr:colOff>610595</xdr:colOff>
      <xdr:row>32</xdr:row>
      <xdr:rowOff>42643</xdr:rowOff>
    </xdr:to>
    <xdr:pic>
      <xdr:nvPicPr>
        <xdr:cNvPr id="32" name="Grafik 31" descr="Sternchen - Benutzeroberfläche und Gesten Symbole">
          <a:extLst>
            <a:ext uri="{FF2B5EF4-FFF2-40B4-BE49-F238E27FC236}">
              <a16:creationId xmlns:a16="http://schemas.microsoft.com/office/drawing/2014/main" id="{B8DC21C5-3A16-4C98-80EA-7ACD553BC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0021503" y="5830904"/>
          <a:ext cx="118103" cy="115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769620</xdr:colOff>
      <xdr:row>22</xdr:row>
      <xdr:rowOff>160020</xdr:rowOff>
    </xdr:from>
    <xdr:to>
      <xdr:col>15</xdr:col>
      <xdr:colOff>198123</xdr:colOff>
      <xdr:row>23</xdr:row>
      <xdr:rowOff>22859</xdr:rowOff>
    </xdr:to>
    <xdr:sp macro="" textlink="">
      <xdr:nvSpPr>
        <xdr:cNvPr id="33" name="Eckige Klammer rechts 32">
          <a:extLst>
            <a:ext uri="{FF2B5EF4-FFF2-40B4-BE49-F238E27FC236}">
              <a16:creationId xmlns:a16="http://schemas.microsoft.com/office/drawing/2014/main" id="{62760FD8-E049-4CB2-97CA-580795E01D32}"/>
            </a:ext>
          </a:extLst>
        </xdr:cNvPr>
        <xdr:cNvSpPr/>
      </xdr:nvSpPr>
      <xdr:spPr>
        <a:xfrm rot="16200000">
          <a:off x="11951972" y="4095748"/>
          <a:ext cx="45719" cy="220983"/>
        </a:xfrm>
        <a:prstGeom prst="rightBracket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</xdr:col>
      <xdr:colOff>121920</xdr:colOff>
      <xdr:row>28</xdr:row>
      <xdr:rowOff>152400</xdr:rowOff>
    </xdr:from>
    <xdr:to>
      <xdr:col>16</xdr:col>
      <xdr:colOff>342903</xdr:colOff>
      <xdr:row>29</xdr:row>
      <xdr:rowOff>15239</xdr:rowOff>
    </xdr:to>
    <xdr:sp macro="" textlink="">
      <xdr:nvSpPr>
        <xdr:cNvPr id="34" name="Eckige Klammer rechts 33">
          <a:extLst>
            <a:ext uri="{FF2B5EF4-FFF2-40B4-BE49-F238E27FC236}">
              <a16:creationId xmlns:a16="http://schemas.microsoft.com/office/drawing/2014/main" id="{12A945D1-9F89-4DF1-83DF-D039FC84A468}"/>
            </a:ext>
          </a:extLst>
        </xdr:cNvPr>
        <xdr:cNvSpPr/>
      </xdr:nvSpPr>
      <xdr:spPr>
        <a:xfrm rot="16200000">
          <a:off x="12889232" y="5185408"/>
          <a:ext cx="45719" cy="220983"/>
        </a:xfrm>
        <a:prstGeom prst="rightBracket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</xdr:col>
      <xdr:colOff>579120</xdr:colOff>
      <xdr:row>29</xdr:row>
      <xdr:rowOff>144381</xdr:rowOff>
    </xdr:from>
    <xdr:to>
      <xdr:col>17</xdr:col>
      <xdr:colOff>7623</xdr:colOff>
      <xdr:row>30</xdr:row>
      <xdr:rowOff>5616</xdr:rowOff>
    </xdr:to>
    <xdr:sp macro="" textlink="">
      <xdr:nvSpPr>
        <xdr:cNvPr id="35" name="Eckige Klammer rechts 34">
          <a:extLst>
            <a:ext uri="{FF2B5EF4-FFF2-40B4-BE49-F238E27FC236}">
              <a16:creationId xmlns:a16="http://schemas.microsoft.com/office/drawing/2014/main" id="{6AB8AA8C-2855-4CF5-AE62-C49BD0797D02}"/>
            </a:ext>
          </a:extLst>
        </xdr:cNvPr>
        <xdr:cNvSpPr/>
      </xdr:nvSpPr>
      <xdr:spPr>
        <a:xfrm rot="16200000">
          <a:off x="13372901" y="5405989"/>
          <a:ext cx="45719" cy="222588"/>
        </a:xfrm>
        <a:prstGeom prst="rightBracket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17</xdr:col>
      <xdr:colOff>716280</xdr:colOff>
      <xdr:row>32</xdr:row>
      <xdr:rowOff>7620</xdr:rowOff>
    </xdr:from>
    <xdr:to>
      <xdr:col>18</xdr:col>
      <xdr:colOff>144783</xdr:colOff>
      <xdr:row>32</xdr:row>
      <xdr:rowOff>53339</xdr:rowOff>
    </xdr:to>
    <xdr:sp macro="" textlink="">
      <xdr:nvSpPr>
        <xdr:cNvPr id="36" name="Eckige Klammer rechts 35">
          <a:extLst>
            <a:ext uri="{FF2B5EF4-FFF2-40B4-BE49-F238E27FC236}">
              <a16:creationId xmlns:a16="http://schemas.microsoft.com/office/drawing/2014/main" id="{9C483808-DEA0-465F-85AC-E371A2D33976}"/>
            </a:ext>
          </a:extLst>
        </xdr:cNvPr>
        <xdr:cNvSpPr/>
      </xdr:nvSpPr>
      <xdr:spPr>
        <a:xfrm rot="16200000">
          <a:off x="14276072" y="5772148"/>
          <a:ext cx="45719" cy="220983"/>
        </a:xfrm>
        <a:prstGeom prst="rightBracket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18</xdr:col>
      <xdr:colOff>358140</xdr:colOff>
      <xdr:row>32</xdr:row>
      <xdr:rowOff>24063</xdr:rowOff>
    </xdr:from>
    <xdr:to>
      <xdr:col>18</xdr:col>
      <xdr:colOff>579123</xdr:colOff>
      <xdr:row>32</xdr:row>
      <xdr:rowOff>69782</xdr:rowOff>
    </xdr:to>
    <xdr:sp macro="" textlink="">
      <xdr:nvSpPr>
        <xdr:cNvPr id="37" name="Eckige Klammer rechts 36">
          <a:extLst>
            <a:ext uri="{FF2B5EF4-FFF2-40B4-BE49-F238E27FC236}">
              <a16:creationId xmlns:a16="http://schemas.microsoft.com/office/drawing/2014/main" id="{8C0BE598-E421-4453-B60C-53C396B6A4B6}"/>
            </a:ext>
          </a:extLst>
        </xdr:cNvPr>
        <xdr:cNvSpPr/>
      </xdr:nvSpPr>
      <xdr:spPr>
        <a:xfrm rot="16200000">
          <a:off x="14739288" y="5839926"/>
          <a:ext cx="45719" cy="220983"/>
        </a:xfrm>
        <a:prstGeom prst="rightBracket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19</xdr:col>
      <xdr:colOff>510540</xdr:colOff>
      <xdr:row>24</xdr:row>
      <xdr:rowOff>7620</xdr:rowOff>
    </xdr:from>
    <xdr:to>
      <xdr:col>19</xdr:col>
      <xdr:colOff>731523</xdr:colOff>
      <xdr:row>24</xdr:row>
      <xdr:rowOff>53339</xdr:rowOff>
    </xdr:to>
    <xdr:sp macro="" textlink="">
      <xdr:nvSpPr>
        <xdr:cNvPr id="38" name="Eckige Klammer rechts 37">
          <a:extLst>
            <a:ext uri="{FF2B5EF4-FFF2-40B4-BE49-F238E27FC236}">
              <a16:creationId xmlns:a16="http://schemas.microsoft.com/office/drawing/2014/main" id="{6308A647-AF63-4E89-88C3-C502780D71BF}"/>
            </a:ext>
          </a:extLst>
        </xdr:cNvPr>
        <xdr:cNvSpPr/>
      </xdr:nvSpPr>
      <xdr:spPr>
        <a:xfrm rot="16200000">
          <a:off x="15655292" y="4309108"/>
          <a:ext cx="45719" cy="220983"/>
        </a:xfrm>
        <a:prstGeom prst="rightBracket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</xdr:col>
      <xdr:colOff>152400</xdr:colOff>
      <xdr:row>12</xdr:row>
      <xdr:rowOff>22860</xdr:rowOff>
    </xdr:from>
    <xdr:to>
      <xdr:col>20</xdr:col>
      <xdr:colOff>373383</xdr:colOff>
      <xdr:row>12</xdr:row>
      <xdr:rowOff>68579</xdr:rowOff>
    </xdr:to>
    <xdr:sp macro="" textlink="">
      <xdr:nvSpPr>
        <xdr:cNvPr id="39" name="Eckige Klammer rechts 38">
          <a:extLst>
            <a:ext uri="{FF2B5EF4-FFF2-40B4-BE49-F238E27FC236}">
              <a16:creationId xmlns:a16="http://schemas.microsoft.com/office/drawing/2014/main" id="{80323E43-F134-4146-B10F-44DA255DEB77}"/>
            </a:ext>
          </a:extLst>
        </xdr:cNvPr>
        <xdr:cNvSpPr/>
      </xdr:nvSpPr>
      <xdr:spPr>
        <a:xfrm rot="16200000">
          <a:off x="16089632" y="2129788"/>
          <a:ext cx="45719" cy="220983"/>
        </a:xfrm>
        <a:prstGeom prst="rightBracket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oneCellAnchor>
    <xdr:from>
      <xdr:col>16</xdr:col>
      <xdr:colOff>75799</xdr:colOff>
      <xdr:row>27</xdr:row>
      <xdr:rowOff>90237</xdr:rowOff>
    </xdr:from>
    <xdr:ext cx="313932" cy="264560"/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A5722023-5A2A-42A3-8C71-03A6639F8658}"/>
            </a:ext>
          </a:extLst>
        </xdr:cNvPr>
        <xdr:cNvSpPr txBox="1"/>
      </xdr:nvSpPr>
      <xdr:spPr>
        <a:xfrm>
          <a:off x="12781146" y="5071311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oneCellAnchor>
    <xdr:from>
      <xdr:col>14</xdr:col>
      <xdr:colOff>723900</xdr:colOff>
      <xdr:row>21</xdr:row>
      <xdr:rowOff>114300</xdr:rowOff>
    </xdr:from>
    <xdr:ext cx="313932" cy="264560"/>
    <xdr:sp macro="" textlink="">
      <xdr:nvSpPr>
        <xdr:cNvPr id="41" name="Textfeld 40">
          <a:extLst>
            <a:ext uri="{FF2B5EF4-FFF2-40B4-BE49-F238E27FC236}">
              <a16:creationId xmlns:a16="http://schemas.microsoft.com/office/drawing/2014/main" id="{20440B64-7D34-44CA-9AB7-7218387FCC29}"/>
            </a:ext>
          </a:extLst>
        </xdr:cNvPr>
        <xdr:cNvSpPr txBox="1"/>
      </xdr:nvSpPr>
      <xdr:spPr>
        <a:xfrm>
          <a:off x="11818620" y="3954780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oneCellAnchor>
    <xdr:from>
      <xdr:col>16</xdr:col>
      <xdr:colOff>541421</xdr:colOff>
      <xdr:row>28</xdr:row>
      <xdr:rowOff>56949</xdr:rowOff>
    </xdr:from>
    <xdr:ext cx="313932" cy="264560"/>
    <xdr:sp macro="" textlink="">
      <xdr:nvSpPr>
        <xdr:cNvPr id="42" name="Textfeld 41">
          <a:extLst>
            <a:ext uri="{FF2B5EF4-FFF2-40B4-BE49-F238E27FC236}">
              <a16:creationId xmlns:a16="http://schemas.microsoft.com/office/drawing/2014/main" id="{9CD6F53B-EF6F-4755-B686-A2AD1492857E}"/>
            </a:ext>
          </a:extLst>
        </xdr:cNvPr>
        <xdr:cNvSpPr txBox="1"/>
      </xdr:nvSpPr>
      <xdr:spPr>
        <a:xfrm>
          <a:off x="13246768" y="5222507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oneCellAnchor>
    <xdr:from>
      <xdr:col>19</xdr:col>
      <xdr:colOff>464820</xdr:colOff>
      <xdr:row>22</xdr:row>
      <xdr:rowOff>137160</xdr:rowOff>
    </xdr:from>
    <xdr:ext cx="313932" cy="264560"/>
    <xdr:sp macro="" textlink="">
      <xdr:nvSpPr>
        <xdr:cNvPr id="43" name="Textfeld 42">
          <a:extLst>
            <a:ext uri="{FF2B5EF4-FFF2-40B4-BE49-F238E27FC236}">
              <a16:creationId xmlns:a16="http://schemas.microsoft.com/office/drawing/2014/main" id="{C7C3D6C0-1912-4F65-A604-5E98756D7C7D}"/>
            </a:ext>
          </a:extLst>
        </xdr:cNvPr>
        <xdr:cNvSpPr txBox="1"/>
      </xdr:nvSpPr>
      <xdr:spPr>
        <a:xfrm>
          <a:off x="15521940" y="4160520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twoCellAnchor editAs="oneCell">
    <xdr:from>
      <xdr:col>17</xdr:col>
      <xdr:colOff>769620</xdr:colOff>
      <xdr:row>31</xdr:row>
      <xdr:rowOff>37298</xdr:rowOff>
    </xdr:from>
    <xdr:to>
      <xdr:col>18</xdr:col>
      <xdr:colOff>95243</xdr:colOff>
      <xdr:row>31</xdr:row>
      <xdr:rowOff>152532</xdr:rowOff>
    </xdr:to>
    <xdr:pic>
      <xdr:nvPicPr>
        <xdr:cNvPr id="44" name="Grafik 43" descr="Sternchen - Benutzeroberfläche und Gesten Symbole">
          <a:extLst>
            <a:ext uri="{FF2B5EF4-FFF2-40B4-BE49-F238E27FC236}">
              <a16:creationId xmlns:a16="http://schemas.microsoft.com/office/drawing/2014/main" id="{453E9F8C-84BC-4266-95EE-5162512E2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4269052" y="5756309"/>
          <a:ext cx="119707" cy="115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403860</xdr:colOff>
      <xdr:row>31</xdr:row>
      <xdr:rowOff>53340</xdr:rowOff>
    </xdr:from>
    <xdr:to>
      <xdr:col>18</xdr:col>
      <xdr:colOff>521963</xdr:colOff>
      <xdr:row>31</xdr:row>
      <xdr:rowOff>168574</xdr:rowOff>
    </xdr:to>
    <xdr:pic>
      <xdr:nvPicPr>
        <xdr:cNvPr id="45" name="Grafik 44" descr="Sternchen - Benutzeroberfläche und Gesten Symbole">
          <a:extLst>
            <a:ext uri="{FF2B5EF4-FFF2-40B4-BE49-F238E27FC236}">
              <a16:creationId xmlns:a16="http://schemas.microsoft.com/office/drawing/2014/main" id="{20E8256A-EF72-4606-A026-E6A5609A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4668500" y="5722620"/>
          <a:ext cx="118103" cy="115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20</xdr:col>
      <xdr:colOff>106680</xdr:colOff>
      <xdr:row>10</xdr:row>
      <xdr:rowOff>167640</xdr:rowOff>
    </xdr:from>
    <xdr:ext cx="313932" cy="264560"/>
    <xdr:sp macro="" textlink="">
      <xdr:nvSpPr>
        <xdr:cNvPr id="46" name="Textfeld 45">
          <a:extLst>
            <a:ext uri="{FF2B5EF4-FFF2-40B4-BE49-F238E27FC236}">
              <a16:creationId xmlns:a16="http://schemas.microsoft.com/office/drawing/2014/main" id="{51EA6E96-6558-4592-B37A-963E42198DDD}"/>
            </a:ext>
          </a:extLst>
        </xdr:cNvPr>
        <xdr:cNvSpPr txBox="1"/>
      </xdr:nvSpPr>
      <xdr:spPr>
        <a:xfrm>
          <a:off x="15956280" y="1996440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twoCellAnchor editAs="oneCell">
    <xdr:from>
      <xdr:col>17</xdr:col>
      <xdr:colOff>678581</xdr:colOff>
      <xdr:row>32</xdr:row>
      <xdr:rowOff>173656</xdr:rowOff>
    </xdr:from>
    <xdr:to>
      <xdr:col>18</xdr:col>
      <xdr:colOff>2600</xdr:colOff>
      <xdr:row>33</xdr:row>
      <xdr:rowOff>104406</xdr:rowOff>
    </xdr:to>
    <xdr:pic>
      <xdr:nvPicPr>
        <xdr:cNvPr id="47" name="Grafik 46" descr="Sternchen - Benutzeroberfläche und Gesten Symbole">
          <a:extLst>
            <a:ext uri="{FF2B5EF4-FFF2-40B4-BE49-F238E27FC236}">
              <a16:creationId xmlns:a16="http://schemas.microsoft.com/office/drawing/2014/main" id="{2CD40F01-B7B7-46F5-9C81-59DA7E450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4178013" y="6077151"/>
          <a:ext cx="118103" cy="115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678581</xdr:colOff>
      <xdr:row>32</xdr:row>
      <xdr:rowOff>77404</xdr:rowOff>
    </xdr:from>
    <xdr:to>
      <xdr:col>18</xdr:col>
      <xdr:colOff>2600</xdr:colOff>
      <xdr:row>33</xdr:row>
      <xdr:rowOff>8154</xdr:rowOff>
    </xdr:to>
    <xdr:pic>
      <xdr:nvPicPr>
        <xdr:cNvPr id="48" name="Grafik 47" descr="Sternchen - Benutzeroberfläche und Gesten Symbole">
          <a:extLst>
            <a:ext uri="{FF2B5EF4-FFF2-40B4-BE49-F238E27FC236}">
              <a16:creationId xmlns:a16="http://schemas.microsoft.com/office/drawing/2014/main" id="{9DB9B9A6-B8B0-4AC5-ADF9-E7E9D3082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4178013" y="5980899"/>
          <a:ext cx="118103" cy="115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786064</xdr:colOff>
      <xdr:row>36</xdr:row>
      <xdr:rowOff>175261</xdr:rowOff>
    </xdr:from>
    <xdr:to>
      <xdr:col>20</xdr:col>
      <xdr:colOff>32084</xdr:colOff>
      <xdr:row>58</xdr:row>
      <xdr:rowOff>401</xdr:rowOff>
    </xdr:to>
    <xdr:graphicFrame macro="">
      <xdr:nvGraphicFramePr>
        <xdr:cNvPr id="49" name="Diagramm 48">
          <a:extLst>
            <a:ext uri="{FF2B5EF4-FFF2-40B4-BE49-F238E27FC236}">
              <a16:creationId xmlns:a16="http://schemas.microsoft.com/office/drawing/2014/main" id="{F6709F15-C636-452D-BFAC-E6405EE49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19</xdr:col>
      <xdr:colOff>15641</xdr:colOff>
      <xdr:row>47</xdr:row>
      <xdr:rowOff>131545</xdr:rowOff>
    </xdr:from>
    <xdr:ext cx="594359" cy="248851"/>
    <xdr:sp macro="" textlink="">
      <xdr:nvSpPr>
        <xdr:cNvPr id="50" name="Textfeld 49">
          <a:extLst>
            <a:ext uri="{FF2B5EF4-FFF2-40B4-BE49-F238E27FC236}">
              <a16:creationId xmlns:a16="http://schemas.microsoft.com/office/drawing/2014/main" id="{3D9F9100-4850-4C4E-9DFB-F7D48137216E}"/>
            </a:ext>
          </a:extLst>
        </xdr:cNvPr>
        <xdr:cNvSpPr txBox="1"/>
      </xdr:nvSpPr>
      <xdr:spPr>
        <a:xfrm>
          <a:off x="15103241" y="8802303"/>
          <a:ext cx="594359" cy="248851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l-GR" sz="1000" i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Δ</a:t>
          </a:r>
          <a:r>
            <a:rPr lang="de-DE" sz="1000" i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VEL2</a:t>
          </a:r>
        </a:p>
      </xdr:txBody>
    </xdr:sp>
    <xdr:clientData/>
  </xdr:oneCellAnchor>
  <xdr:oneCellAnchor>
    <xdr:from>
      <xdr:col>19</xdr:col>
      <xdr:colOff>23261</xdr:colOff>
      <xdr:row>46</xdr:row>
      <xdr:rowOff>72189</xdr:rowOff>
    </xdr:from>
    <xdr:ext cx="594359" cy="248851"/>
    <xdr:sp macro="" textlink="">
      <xdr:nvSpPr>
        <xdr:cNvPr id="51" name="Textfeld 50">
          <a:extLst>
            <a:ext uri="{FF2B5EF4-FFF2-40B4-BE49-F238E27FC236}">
              <a16:creationId xmlns:a16="http://schemas.microsoft.com/office/drawing/2014/main" id="{47B1767E-466F-4BD5-ACAB-646F2B0E5FCB}"/>
            </a:ext>
          </a:extLst>
        </xdr:cNvPr>
        <xdr:cNvSpPr txBox="1"/>
      </xdr:nvSpPr>
      <xdr:spPr>
        <a:xfrm>
          <a:off x="15110861" y="8558463"/>
          <a:ext cx="594359" cy="248851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1000" i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WT</a:t>
          </a:r>
        </a:p>
      </xdr:txBody>
    </xdr:sp>
    <xdr:clientData/>
  </xdr:oneCellAnchor>
  <xdr:oneCellAnchor>
    <xdr:from>
      <xdr:col>19</xdr:col>
      <xdr:colOff>8022</xdr:colOff>
      <xdr:row>49</xdr:row>
      <xdr:rowOff>14037</xdr:rowOff>
    </xdr:from>
    <xdr:ext cx="853440" cy="248851"/>
    <xdr:sp macro="" textlink="">
      <xdr:nvSpPr>
        <xdr:cNvPr id="52" name="Textfeld 51">
          <a:extLst>
            <a:ext uri="{FF2B5EF4-FFF2-40B4-BE49-F238E27FC236}">
              <a16:creationId xmlns:a16="http://schemas.microsoft.com/office/drawing/2014/main" id="{A931262A-CF70-41D1-A6C0-DFE26B2B3D12}"/>
            </a:ext>
          </a:extLst>
        </xdr:cNvPr>
        <xdr:cNvSpPr txBox="1"/>
      </xdr:nvSpPr>
      <xdr:spPr>
        <a:xfrm>
          <a:off x="15095622" y="9053763"/>
          <a:ext cx="853440" cy="248851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1000" i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VEL2</a:t>
          </a:r>
          <a:r>
            <a:rPr lang="de-DE" sz="1000" i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de-DE" sz="1000" i="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compl.</a:t>
          </a:r>
          <a:endParaRPr lang="de-DE" sz="1000" i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18</xdr:col>
      <xdr:colOff>649705</xdr:colOff>
      <xdr:row>46</xdr:row>
      <xdr:rowOff>96252</xdr:rowOff>
    </xdr:from>
    <xdr:to>
      <xdr:col>19</xdr:col>
      <xdr:colOff>770021</xdr:colOff>
      <xdr:row>50</xdr:row>
      <xdr:rowOff>88231</xdr:rowOff>
    </xdr:to>
    <xdr:sp macro="" textlink="">
      <xdr:nvSpPr>
        <xdr:cNvPr id="54" name="Rechteck 53">
          <a:extLst>
            <a:ext uri="{FF2B5EF4-FFF2-40B4-BE49-F238E27FC236}">
              <a16:creationId xmlns:a16="http://schemas.microsoft.com/office/drawing/2014/main" id="{379B57B7-EB09-4F04-8BA2-51A4D6727D0C}"/>
            </a:ext>
          </a:extLst>
        </xdr:cNvPr>
        <xdr:cNvSpPr/>
      </xdr:nvSpPr>
      <xdr:spPr>
        <a:xfrm>
          <a:off x="14943221" y="8582526"/>
          <a:ext cx="914400" cy="729916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380197</xdr:colOff>
      <xdr:row>52</xdr:row>
      <xdr:rowOff>71788</xdr:rowOff>
    </xdr:from>
    <xdr:to>
      <xdr:col>12</xdr:col>
      <xdr:colOff>498300</xdr:colOff>
      <xdr:row>53</xdr:row>
      <xdr:rowOff>2538</xdr:rowOff>
    </xdr:to>
    <xdr:pic>
      <xdr:nvPicPr>
        <xdr:cNvPr id="55" name="Grafik 54" descr="Sternchen - Benutzeroberfläche und Gesten Symbole">
          <a:extLst>
            <a:ext uri="{FF2B5EF4-FFF2-40B4-BE49-F238E27FC236}">
              <a16:creationId xmlns:a16="http://schemas.microsoft.com/office/drawing/2014/main" id="{4E19BAF9-4CFC-443F-9D17-118125CE6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909208" y="9664967"/>
          <a:ext cx="118103" cy="115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519363</xdr:colOff>
      <xdr:row>51</xdr:row>
      <xdr:rowOff>112295</xdr:rowOff>
    </xdr:from>
    <xdr:ext cx="313932" cy="264560"/>
    <xdr:sp macro="" textlink="">
      <xdr:nvSpPr>
        <xdr:cNvPr id="56" name="Textfeld 55">
          <a:extLst>
            <a:ext uri="{FF2B5EF4-FFF2-40B4-BE49-F238E27FC236}">
              <a16:creationId xmlns:a16="http://schemas.microsoft.com/office/drawing/2014/main" id="{D4151450-C20D-430D-856B-3343DEA77C39}"/>
            </a:ext>
          </a:extLst>
        </xdr:cNvPr>
        <xdr:cNvSpPr txBox="1"/>
      </xdr:nvSpPr>
      <xdr:spPr>
        <a:xfrm>
          <a:off x="10048374" y="9520990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twoCellAnchor editAs="oneCell">
    <xdr:from>
      <xdr:col>13</xdr:col>
      <xdr:colOff>676174</xdr:colOff>
      <xdr:row>48</xdr:row>
      <xdr:rowOff>111493</xdr:rowOff>
    </xdr:from>
    <xdr:to>
      <xdr:col>14</xdr:col>
      <xdr:colOff>193</xdr:colOff>
      <xdr:row>49</xdr:row>
      <xdr:rowOff>42243</xdr:rowOff>
    </xdr:to>
    <xdr:pic>
      <xdr:nvPicPr>
        <xdr:cNvPr id="57" name="Grafik 56" descr="Sternchen - Benutzeroberfläche und Gesten Symbole">
          <a:extLst>
            <a:ext uri="{FF2B5EF4-FFF2-40B4-BE49-F238E27FC236}">
              <a16:creationId xmlns:a16="http://schemas.microsoft.com/office/drawing/2014/main" id="{98117291-8AE9-4229-8AD9-98B54D375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0999269" y="8966735"/>
          <a:ext cx="118103" cy="115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14</xdr:col>
      <xdr:colOff>36094</xdr:colOff>
      <xdr:row>51</xdr:row>
      <xdr:rowOff>126331</xdr:rowOff>
    </xdr:from>
    <xdr:ext cx="313932" cy="264560"/>
    <xdr:sp macro="" textlink="">
      <xdr:nvSpPr>
        <xdr:cNvPr id="58" name="Textfeld 57">
          <a:extLst>
            <a:ext uri="{FF2B5EF4-FFF2-40B4-BE49-F238E27FC236}">
              <a16:creationId xmlns:a16="http://schemas.microsoft.com/office/drawing/2014/main" id="{42BCE0F7-4DDD-4ED4-AB90-8B51C1D808A7}"/>
            </a:ext>
          </a:extLst>
        </xdr:cNvPr>
        <xdr:cNvSpPr txBox="1"/>
      </xdr:nvSpPr>
      <xdr:spPr>
        <a:xfrm>
          <a:off x="11153273" y="9535026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  <xdr:twoCellAnchor editAs="oneCell">
    <xdr:from>
      <xdr:col>16</xdr:col>
      <xdr:colOff>470034</xdr:colOff>
      <xdr:row>55</xdr:row>
      <xdr:rowOff>5214</xdr:rowOff>
    </xdr:from>
    <xdr:to>
      <xdr:col>16</xdr:col>
      <xdr:colOff>588137</xdr:colOff>
      <xdr:row>55</xdr:row>
      <xdr:rowOff>120448</xdr:rowOff>
    </xdr:to>
    <xdr:pic>
      <xdr:nvPicPr>
        <xdr:cNvPr id="59" name="Grafik 58" descr="Sternchen - Benutzeroberfläche und Gesten Symbole">
          <a:extLst>
            <a:ext uri="{FF2B5EF4-FFF2-40B4-BE49-F238E27FC236}">
              <a16:creationId xmlns:a16="http://schemas.microsoft.com/office/drawing/2014/main" id="{84853547-E18B-4788-95C1-41FC52B08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3175381" y="10151846"/>
          <a:ext cx="118103" cy="115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470034</xdr:colOff>
      <xdr:row>54</xdr:row>
      <xdr:rowOff>85425</xdr:rowOff>
    </xdr:from>
    <xdr:to>
      <xdr:col>16</xdr:col>
      <xdr:colOff>588137</xdr:colOff>
      <xdr:row>55</xdr:row>
      <xdr:rowOff>16174</xdr:rowOff>
    </xdr:to>
    <xdr:pic>
      <xdr:nvPicPr>
        <xdr:cNvPr id="60" name="Grafik 59" descr="Sternchen - Benutzeroberfläche und Gesten Symbole">
          <a:extLst>
            <a:ext uri="{FF2B5EF4-FFF2-40B4-BE49-F238E27FC236}">
              <a16:creationId xmlns:a16="http://schemas.microsoft.com/office/drawing/2014/main" id="{6A272F44-CFEC-4D9A-AB1B-80E480670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3175381" y="10047572"/>
          <a:ext cx="118103" cy="115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470034</xdr:colOff>
      <xdr:row>53</xdr:row>
      <xdr:rowOff>165636</xdr:rowOff>
    </xdr:from>
    <xdr:to>
      <xdr:col>16</xdr:col>
      <xdr:colOff>588137</xdr:colOff>
      <xdr:row>54</xdr:row>
      <xdr:rowOff>96386</xdr:rowOff>
    </xdr:to>
    <xdr:pic>
      <xdr:nvPicPr>
        <xdr:cNvPr id="61" name="Grafik 60" descr="Sternchen - Benutzeroberfläche und Gesten Symbole">
          <a:extLst>
            <a:ext uri="{FF2B5EF4-FFF2-40B4-BE49-F238E27FC236}">
              <a16:creationId xmlns:a16="http://schemas.microsoft.com/office/drawing/2014/main" id="{ECFDA610-EB20-4675-BAD3-F1F15CDAC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3175381" y="9943299"/>
          <a:ext cx="118103" cy="115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17</xdr:col>
      <xdr:colOff>670960</xdr:colOff>
      <xdr:row>40</xdr:row>
      <xdr:rowOff>133150</xdr:rowOff>
    </xdr:from>
    <xdr:ext cx="313932" cy="264560"/>
    <xdr:sp macro="" textlink="">
      <xdr:nvSpPr>
        <xdr:cNvPr id="62" name="Textfeld 61">
          <a:extLst>
            <a:ext uri="{FF2B5EF4-FFF2-40B4-BE49-F238E27FC236}">
              <a16:creationId xmlns:a16="http://schemas.microsoft.com/office/drawing/2014/main" id="{692B09AE-0FA0-45CA-A84E-4B1028336AD9}"/>
            </a:ext>
          </a:extLst>
        </xdr:cNvPr>
        <xdr:cNvSpPr txBox="1"/>
      </xdr:nvSpPr>
      <xdr:spPr>
        <a:xfrm>
          <a:off x="14170392" y="7512518"/>
          <a:ext cx="3139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ns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0.4535</cdr:x>
      <cdr:y>0.52755</cdr:y>
    </cdr:from>
    <cdr:to>
      <cdr:x>0.49718</cdr:x>
      <cdr:y>0.5957</cdr:y>
    </cdr:to>
    <cdr:sp macro="" textlink="">
      <cdr:nvSpPr>
        <cdr:cNvPr id="2" name="Textfeld 9">
          <a:extLst xmlns:a="http://schemas.openxmlformats.org/drawingml/2006/main">
            <a:ext uri="{FF2B5EF4-FFF2-40B4-BE49-F238E27FC236}">
              <a16:creationId xmlns:a16="http://schemas.microsoft.com/office/drawing/2014/main" id="{BF382581-78B0-45CF-A149-3FD69BEE06B0}"/>
            </a:ext>
          </a:extLst>
        </cdr:cNvPr>
        <cdr:cNvSpPr txBox="1"/>
      </cdr:nvSpPr>
      <cdr:spPr>
        <a:xfrm xmlns:a="http://schemas.openxmlformats.org/drawingml/2006/main">
          <a:off x="3259221" y="2048042"/>
          <a:ext cx="313932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/>
            <a:t>ns</a:t>
          </a:r>
        </a:p>
      </cdr:txBody>
    </cdr:sp>
  </cdr:relSizeAnchor>
  <cdr:relSizeAnchor xmlns:cdr="http://schemas.openxmlformats.org/drawingml/2006/chartDrawing">
    <cdr:from>
      <cdr:x>0.48698</cdr:x>
      <cdr:y>0.72796</cdr:y>
    </cdr:from>
    <cdr:to>
      <cdr:x>0.53066</cdr:x>
      <cdr:y>0.79611</cdr:y>
    </cdr:to>
    <cdr:sp macro="" textlink="">
      <cdr:nvSpPr>
        <cdr:cNvPr id="3" name="Textfeld 9">
          <a:extLst xmlns:a="http://schemas.openxmlformats.org/drawingml/2006/main">
            <a:ext uri="{FF2B5EF4-FFF2-40B4-BE49-F238E27FC236}">
              <a16:creationId xmlns:a16="http://schemas.microsoft.com/office/drawing/2014/main" id="{BF382581-78B0-45CF-A149-3FD69BEE06B0}"/>
            </a:ext>
          </a:extLst>
        </cdr:cNvPr>
        <cdr:cNvSpPr txBox="1"/>
      </cdr:nvSpPr>
      <cdr:spPr>
        <a:xfrm xmlns:a="http://schemas.openxmlformats.org/drawingml/2006/main">
          <a:off x="3499853" y="2826084"/>
          <a:ext cx="313932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/>
            <a:t>ns</a:t>
          </a:r>
        </a:p>
      </cdr:txBody>
    </cdr:sp>
  </cdr:relSizeAnchor>
  <cdr:relSizeAnchor xmlns:cdr="http://schemas.openxmlformats.org/drawingml/2006/chartDrawing">
    <cdr:from>
      <cdr:x>0.63877</cdr:x>
      <cdr:y>0.76309</cdr:y>
    </cdr:from>
    <cdr:to>
      <cdr:x>0.68245</cdr:x>
      <cdr:y>0.83123</cdr:y>
    </cdr:to>
    <cdr:sp macro="" textlink="">
      <cdr:nvSpPr>
        <cdr:cNvPr id="4" name="Textfeld 14">
          <a:extLst xmlns:a="http://schemas.openxmlformats.org/drawingml/2006/main">
            <a:ext uri="{FF2B5EF4-FFF2-40B4-BE49-F238E27FC236}">
              <a16:creationId xmlns:a16="http://schemas.microsoft.com/office/drawing/2014/main" id="{DF3874DA-800D-4A46-BB2F-0F01AAABE2CC}"/>
            </a:ext>
          </a:extLst>
        </cdr:cNvPr>
        <cdr:cNvSpPr txBox="1"/>
      </cdr:nvSpPr>
      <cdr:spPr>
        <a:xfrm xmlns:a="http://schemas.openxmlformats.org/drawingml/2006/main">
          <a:off x="4590716" y="2962442"/>
          <a:ext cx="313932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/>
            <a:t>ns</a:t>
          </a:r>
        </a:p>
      </cdr:txBody>
    </cdr:sp>
  </cdr:relSizeAnchor>
  <cdr:relSizeAnchor xmlns:cdr="http://schemas.openxmlformats.org/drawingml/2006/chartDrawing">
    <cdr:from>
      <cdr:x>0.79131</cdr:x>
      <cdr:y>0.72402</cdr:y>
    </cdr:from>
    <cdr:to>
      <cdr:x>0.83499</cdr:x>
      <cdr:y>0.79216</cdr:y>
    </cdr:to>
    <cdr:sp macro="" textlink="">
      <cdr:nvSpPr>
        <cdr:cNvPr id="5" name="Textfeld 14">
          <a:extLst xmlns:a="http://schemas.openxmlformats.org/drawingml/2006/main">
            <a:ext uri="{FF2B5EF4-FFF2-40B4-BE49-F238E27FC236}">
              <a16:creationId xmlns:a16="http://schemas.microsoft.com/office/drawing/2014/main" id="{D4EDF630-0D8C-45A9-A86D-087677430245}"/>
            </a:ext>
          </a:extLst>
        </cdr:cNvPr>
        <cdr:cNvSpPr txBox="1"/>
      </cdr:nvSpPr>
      <cdr:spPr>
        <a:xfrm xmlns:a="http://schemas.openxmlformats.org/drawingml/2006/main">
          <a:off x="5674360" y="2786380"/>
          <a:ext cx="313231" cy="26226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/>
            <a:t>ns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781050</xdr:colOff>
      <xdr:row>0</xdr:row>
      <xdr:rowOff>0</xdr:rowOff>
    </xdr:from>
    <xdr:to>
      <xdr:col>27</xdr:col>
      <xdr:colOff>609600</xdr:colOff>
      <xdr:row>15</xdr:row>
      <xdr:rowOff>9525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ADE679EC-CF73-464A-B0F4-807FC35D8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0</xdr:row>
      <xdr:rowOff>0</xdr:rowOff>
    </xdr:from>
    <xdr:to>
      <xdr:col>33</xdr:col>
      <xdr:colOff>619125</xdr:colOff>
      <xdr:row>15</xdr:row>
      <xdr:rowOff>9525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3C8ED43A-AA9A-4700-88B2-8F9305E17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9525</xdr:colOff>
      <xdr:row>16</xdr:row>
      <xdr:rowOff>4763</xdr:rowOff>
    </xdr:from>
    <xdr:to>
      <xdr:col>27</xdr:col>
      <xdr:colOff>628650</xdr:colOff>
      <xdr:row>31</xdr:row>
      <xdr:rowOff>4763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EA4CC9A7-763F-4284-AD1B-1C4BBA8FC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15</xdr:row>
      <xdr:rowOff>180023</xdr:rowOff>
    </xdr:from>
    <xdr:to>
      <xdr:col>33</xdr:col>
      <xdr:colOff>619125</xdr:colOff>
      <xdr:row>30</xdr:row>
      <xdr:rowOff>189548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120CE92F-9B89-44BD-BC61-F482B09B2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0</xdr:colOff>
      <xdr:row>32</xdr:row>
      <xdr:rowOff>4763</xdr:rowOff>
    </xdr:from>
    <xdr:to>
      <xdr:col>27</xdr:col>
      <xdr:colOff>619125</xdr:colOff>
      <xdr:row>47</xdr:row>
      <xdr:rowOff>33338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E24D75E8-88E9-4D6B-A995-6AA8CCDE4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152400</xdr:colOff>
      <xdr:row>6</xdr:row>
      <xdr:rowOff>127000</xdr:rowOff>
    </xdr:from>
    <xdr:to>
      <xdr:col>27</xdr:col>
      <xdr:colOff>510540</xdr:colOff>
      <xdr:row>10</xdr:row>
      <xdr:rowOff>27940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16227783-B972-48A0-8F42-8AC6A0D8C976}"/>
            </a:ext>
          </a:extLst>
        </xdr:cNvPr>
        <xdr:cNvSpPr/>
      </xdr:nvSpPr>
      <xdr:spPr>
        <a:xfrm>
          <a:off x="22839680" y="1234440"/>
          <a:ext cx="358140" cy="64262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152400</xdr:colOff>
      <xdr:row>6</xdr:row>
      <xdr:rowOff>121920</xdr:rowOff>
    </xdr:from>
    <xdr:to>
      <xdr:col>33</xdr:col>
      <xdr:colOff>510540</xdr:colOff>
      <xdr:row>10</xdr:row>
      <xdr:rowOff>45720</xdr:rowOff>
    </xdr:to>
    <xdr:sp macro="" textlink="">
      <xdr:nvSpPr>
        <xdr:cNvPr id="11" name="Rechteck 10">
          <a:extLst>
            <a:ext uri="{FF2B5EF4-FFF2-40B4-BE49-F238E27FC236}">
              <a16:creationId xmlns:a16="http://schemas.microsoft.com/office/drawing/2014/main" id="{D0883A0E-199F-42B0-B43E-512EF1C2231F}"/>
            </a:ext>
          </a:extLst>
        </xdr:cNvPr>
        <xdr:cNvSpPr/>
      </xdr:nvSpPr>
      <xdr:spPr>
        <a:xfrm>
          <a:off x="27592020" y="1226820"/>
          <a:ext cx="358140" cy="66294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775188</xdr:colOff>
      <xdr:row>8</xdr:row>
      <xdr:rowOff>172427</xdr:rowOff>
    </xdr:from>
    <xdr:to>
      <xdr:col>16</xdr:col>
      <xdr:colOff>11723</xdr:colOff>
      <xdr:row>25</xdr:row>
      <xdr:rowOff>175846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DD3B12C4-B049-46AF-93E1-8E63A2D05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16</xdr:col>
      <xdr:colOff>29015</xdr:colOff>
      <xdr:row>45</xdr:row>
      <xdr:rowOff>79619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3D9A6817-4F97-4568-9E63-AC119BF10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0.89924</cdr:x>
      <cdr:y>0.43893</cdr:y>
    </cdr:from>
    <cdr:to>
      <cdr:x>0.97741</cdr:x>
      <cdr:y>0.66495</cdr:y>
    </cdr:to>
    <cdr:sp macro="" textlink="">
      <cdr:nvSpPr>
        <cdr:cNvPr id="2" name="Rechteck 1">
          <a:extLst xmlns:a="http://schemas.openxmlformats.org/drawingml/2006/main">
            <a:ext uri="{FF2B5EF4-FFF2-40B4-BE49-F238E27FC236}">
              <a16:creationId xmlns:a16="http://schemas.microsoft.com/office/drawing/2014/main" id="{D0883A0E-199F-42B0-B43E-512EF1C2231F}"/>
            </a:ext>
          </a:extLst>
        </cdr:cNvPr>
        <cdr:cNvSpPr/>
      </cdr:nvSpPr>
      <cdr:spPr>
        <a:xfrm xmlns:a="http://schemas.openxmlformats.org/drawingml/2006/main">
          <a:off x="4119880" y="1217451"/>
          <a:ext cx="358140" cy="62690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0.90423</cdr:x>
      <cdr:y>0.43863</cdr:y>
    </cdr:from>
    <cdr:to>
      <cdr:x>0.9824</cdr:x>
      <cdr:y>0.65686</cdr:y>
    </cdr:to>
    <cdr:sp macro="" textlink="">
      <cdr:nvSpPr>
        <cdr:cNvPr id="2" name="Rechteck 1">
          <a:extLst xmlns:a="http://schemas.openxmlformats.org/drawingml/2006/main">
            <a:ext uri="{FF2B5EF4-FFF2-40B4-BE49-F238E27FC236}">
              <a16:creationId xmlns:a16="http://schemas.microsoft.com/office/drawing/2014/main" id="{D0883A0E-199F-42B0-B43E-512EF1C2231F}"/>
            </a:ext>
          </a:extLst>
        </cdr:cNvPr>
        <cdr:cNvSpPr/>
      </cdr:nvSpPr>
      <cdr:spPr>
        <a:xfrm xmlns:a="http://schemas.openxmlformats.org/drawingml/2006/main">
          <a:off x="4142740" y="1216340"/>
          <a:ext cx="358140" cy="60515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0.89813</cdr:x>
      <cdr:y>0.41054</cdr:y>
    </cdr:from>
    <cdr:to>
      <cdr:x>0.9763</cdr:x>
      <cdr:y>0.63608</cdr:y>
    </cdr:to>
    <cdr:sp macro="" textlink="">
      <cdr:nvSpPr>
        <cdr:cNvPr id="2" name="Rechteck 1">
          <a:extLst xmlns:a="http://schemas.openxmlformats.org/drawingml/2006/main">
            <a:ext uri="{FF2B5EF4-FFF2-40B4-BE49-F238E27FC236}">
              <a16:creationId xmlns:a16="http://schemas.microsoft.com/office/drawing/2014/main" id="{D0883A0E-199F-42B0-B43E-512EF1C2231F}"/>
            </a:ext>
          </a:extLst>
        </cdr:cNvPr>
        <cdr:cNvSpPr/>
      </cdr:nvSpPr>
      <cdr:spPr>
        <a:xfrm xmlns:a="http://schemas.openxmlformats.org/drawingml/2006/main">
          <a:off x="4114800" y="1137920"/>
          <a:ext cx="358140" cy="62515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0.19437</cdr:x>
      <cdr:y>0.68519</cdr:y>
    </cdr:from>
    <cdr:to>
      <cdr:x>0.2119</cdr:x>
      <cdr:y>0.72098</cdr:y>
    </cdr:to>
    <cdr:pic>
      <cdr:nvPicPr>
        <cdr:cNvPr id="2" name="Grafik 1" descr="Sternchen - Benutzeroberfläche und Gesten Symbole">
          <a:extLst xmlns:a="http://schemas.openxmlformats.org/drawingml/2006/main">
            <a:ext uri="{FF2B5EF4-FFF2-40B4-BE49-F238E27FC236}">
              <a16:creationId xmlns:a16="http://schemas.microsoft.com/office/drawing/2014/main" id="{4E19BAF9-4CFC-443F-9D17-118125CE6076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 flipH="1">
          <a:off x="1313688" y="2210139"/>
          <a:ext cx="118441" cy="115458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0.50011</cdr:x>
      <cdr:y>0.34673</cdr:y>
    </cdr:from>
    <cdr:to>
      <cdr:x>0.54669</cdr:x>
      <cdr:y>0.43007</cdr:y>
    </cdr:to>
    <cdr:sp macro="" textlink="">
      <cdr:nvSpPr>
        <cdr:cNvPr id="3" name="Textfeld 55">
          <a:extLst xmlns:a="http://schemas.openxmlformats.org/drawingml/2006/main">
            <a:ext uri="{FF2B5EF4-FFF2-40B4-BE49-F238E27FC236}">
              <a16:creationId xmlns:a16="http://schemas.microsoft.com/office/drawing/2014/main" id="{D4151450-C20D-430D-856B-3343DEA77C39}"/>
            </a:ext>
          </a:extLst>
        </cdr:cNvPr>
        <cdr:cNvSpPr txBox="1"/>
      </cdr:nvSpPr>
      <cdr:spPr>
        <a:xfrm xmlns:a="http://schemas.openxmlformats.org/drawingml/2006/main">
          <a:off x="3380023" y="1118417"/>
          <a:ext cx="314829" cy="26881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/>
            <a:t>ns</a:t>
          </a:r>
        </a:p>
      </cdr:txBody>
    </cdr:sp>
  </cdr:relSizeAnchor>
  <cdr:relSizeAnchor xmlns:cdr="http://schemas.openxmlformats.org/drawingml/2006/chartDrawing">
    <cdr:from>
      <cdr:x>0.35381</cdr:x>
      <cdr:y>0.70758</cdr:y>
    </cdr:from>
    <cdr:to>
      <cdr:x>0.37133</cdr:x>
      <cdr:y>0.74338</cdr:y>
    </cdr:to>
    <cdr:pic>
      <cdr:nvPicPr>
        <cdr:cNvPr id="4" name="Grafik 3" descr="Sternchen - Benutzeroberfläche und Gesten Symbole">
          <a:extLst xmlns:a="http://schemas.openxmlformats.org/drawingml/2006/main">
            <a:ext uri="{FF2B5EF4-FFF2-40B4-BE49-F238E27FC236}">
              <a16:creationId xmlns:a16="http://schemas.microsoft.com/office/drawing/2014/main" id="{3FC05B9B-CB30-43FD-B792-7639196C9475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 flipH="1">
          <a:off x="2391228" y="2282371"/>
          <a:ext cx="118441" cy="115458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0.66144</cdr:x>
      <cdr:y>0.21486</cdr:y>
    </cdr:from>
    <cdr:to>
      <cdr:x>0.70802</cdr:x>
      <cdr:y>0.2982</cdr:y>
    </cdr:to>
    <cdr:sp macro="" textlink="">
      <cdr:nvSpPr>
        <cdr:cNvPr id="5" name="Textfeld 55">
          <a:extLst xmlns:a="http://schemas.openxmlformats.org/drawingml/2006/main">
            <a:ext uri="{FF2B5EF4-FFF2-40B4-BE49-F238E27FC236}">
              <a16:creationId xmlns:a16="http://schemas.microsoft.com/office/drawing/2014/main" id="{A29891D2-A14F-44AD-90B5-CD1144B9C959}"/>
            </a:ext>
          </a:extLst>
        </cdr:cNvPr>
        <cdr:cNvSpPr txBox="1"/>
      </cdr:nvSpPr>
      <cdr:spPr>
        <a:xfrm xmlns:a="http://schemas.openxmlformats.org/drawingml/2006/main">
          <a:off x="4470400" y="693057"/>
          <a:ext cx="314829" cy="26881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/>
            <a:t>ns</a:t>
          </a:r>
        </a:p>
      </cdr:txBody>
    </cdr:sp>
  </cdr:relSizeAnchor>
  <cdr:relSizeAnchor xmlns:cdr="http://schemas.openxmlformats.org/drawingml/2006/chartDrawing">
    <cdr:from>
      <cdr:x>0.81768</cdr:x>
      <cdr:y>0.50172</cdr:y>
    </cdr:from>
    <cdr:to>
      <cdr:x>0.86426</cdr:x>
      <cdr:y>0.58506</cdr:y>
    </cdr:to>
    <cdr:sp macro="" textlink="">
      <cdr:nvSpPr>
        <cdr:cNvPr id="6" name="Textfeld 55">
          <a:extLst xmlns:a="http://schemas.openxmlformats.org/drawingml/2006/main">
            <a:ext uri="{FF2B5EF4-FFF2-40B4-BE49-F238E27FC236}">
              <a16:creationId xmlns:a16="http://schemas.microsoft.com/office/drawing/2014/main" id="{0F9657BE-47AC-4F88-B785-020D7BBA226E}"/>
            </a:ext>
          </a:extLst>
        </cdr:cNvPr>
        <cdr:cNvSpPr txBox="1"/>
      </cdr:nvSpPr>
      <cdr:spPr>
        <a:xfrm xmlns:a="http://schemas.openxmlformats.org/drawingml/2006/main">
          <a:off x="5526314" y="1618343"/>
          <a:ext cx="314829" cy="26881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/>
            <a:t>ns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0.19573</cdr:x>
      <cdr:y>0.20783</cdr:y>
    </cdr:from>
    <cdr:to>
      <cdr:x>0.21326</cdr:x>
      <cdr:y>0.24362</cdr:y>
    </cdr:to>
    <cdr:pic>
      <cdr:nvPicPr>
        <cdr:cNvPr id="2" name="Grafik 1" descr="Sternchen - Benutzeroberfläche und Gesten Symbole">
          <a:extLst xmlns:a="http://schemas.openxmlformats.org/drawingml/2006/main">
            <a:ext uri="{FF2B5EF4-FFF2-40B4-BE49-F238E27FC236}">
              <a16:creationId xmlns:a16="http://schemas.microsoft.com/office/drawing/2014/main" id="{4E19BAF9-4CFC-443F-9D17-118125CE6076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 flipH="1">
          <a:off x="1321919" y="658863"/>
          <a:ext cx="118395" cy="113462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0.49853</cdr:x>
      <cdr:y>0.44758</cdr:y>
    </cdr:from>
    <cdr:to>
      <cdr:x>0.54511</cdr:x>
      <cdr:y>0.53092</cdr:y>
    </cdr:to>
    <cdr:sp macro="" textlink="">
      <cdr:nvSpPr>
        <cdr:cNvPr id="3" name="Textfeld 55">
          <a:extLst xmlns:a="http://schemas.openxmlformats.org/drawingml/2006/main">
            <a:ext uri="{FF2B5EF4-FFF2-40B4-BE49-F238E27FC236}">
              <a16:creationId xmlns:a16="http://schemas.microsoft.com/office/drawing/2014/main" id="{D4151450-C20D-430D-856B-3343DEA77C39}"/>
            </a:ext>
          </a:extLst>
        </cdr:cNvPr>
        <cdr:cNvSpPr txBox="1"/>
      </cdr:nvSpPr>
      <cdr:spPr>
        <a:xfrm xmlns:a="http://schemas.openxmlformats.org/drawingml/2006/main">
          <a:off x="3366985" y="1418940"/>
          <a:ext cx="314592" cy="2642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/>
            <a:t>ns</a:t>
          </a:r>
        </a:p>
      </cdr:txBody>
    </cdr:sp>
  </cdr:relSizeAnchor>
  <cdr:relSizeAnchor xmlns:cdr="http://schemas.openxmlformats.org/drawingml/2006/chartDrawing">
    <cdr:from>
      <cdr:x>0.35539</cdr:x>
      <cdr:y>0.69413</cdr:y>
    </cdr:from>
    <cdr:to>
      <cdr:x>0.37291</cdr:x>
      <cdr:y>0.72993</cdr:y>
    </cdr:to>
    <cdr:pic>
      <cdr:nvPicPr>
        <cdr:cNvPr id="4" name="Grafik 3" descr="Sternchen - Benutzeroberfläche und Gesten Symbole">
          <a:extLst xmlns:a="http://schemas.openxmlformats.org/drawingml/2006/main">
            <a:ext uri="{FF2B5EF4-FFF2-40B4-BE49-F238E27FC236}">
              <a16:creationId xmlns:a16="http://schemas.microsoft.com/office/drawing/2014/main" id="{3FC05B9B-CB30-43FD-B792-7639196C9475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 flipH="1">
          <a:off x="2400220" y="2200574"/>
          <a:ext cx="118326" cy="113495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0.35547</cdr:x>
      <cdr:y>0.66147</cdr:y>
    </cdr:from>
    <cdr:to>
      <cdr:x>0.37299</cdr:x>
      <cdr:y>0.69727</cdr:y>
    </cdr:to>
    <cdr:pic>
      <cdr:nvPicPr>
        <cdr:cNvPr id="7" name="Grafik 6" descr="Sternchen - Benutzeroberfläche und Gesten Symbole">
          <a:extLst xmlns:a="http://schemas.openxmlformats.org/drawingml/2006/main">
            <a:ext uri="{FF2B5EF4-FFF2-40B4-BE49-F238E27FC236}">
              <a16:creationId xmlns:a16="http://schemas.microsoft.com/office/drawing/2014/main" id="{92926965-E1A9-4C6D-B0A3-AE76C91C02C0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 flipH="1">
          <a:off x="2400744" y="2097009"/>
          <a:ext cx="118326" cy="113495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0.67343</cdr:x>
      <cdr:y>0.65138</cdr:y>
    </cdr:from>
    <cdr:to>
      <cdr:x>0.69096</cdr:x>
      <cdr:y>0.68717</cdr:y>
    </cdr:to>
    <cdr:pic>
      <cdr:nvPicPr>
        <cdr:cNvPr id="8" name="Grafik 7" descr="Sternchen - Benutzeroberfläche und Gesten Symbole">
          <a:extLst xmlns:a="http://schemas.openxmlformats.org/drawingml/2006/main">
            <a:ext uri="{FF2B5EF4-FFF2-40B4-BE49-F238E27FC236}">
              <a16:creationId xmlns:a16="http://schemas.microsoft.com/office/drawing/2014/main" id="{3062B19F-F54A-497D-B41D-F5A8ED154078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 flipH="1">
          <a:off x="4548198" y="2065038"/>
          <a:ext cx="118395" cy="113462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0.8328</cdr:x>
      <cdr:y>0.65978</cdr:y>
    </cdr:from>
    <cdr:to>
      <cdr:x>0.85033</cdr:x>
      <cdr:y>0.69557</cdr:y>
    </cdr:to>
    <cdr:pic>
      <cdr:nvPicPr>
        <cdr:cNvPr id="9" name="Grafik 8" descr="Sternchen - Benutzeroberfläche und Gesten Symbole">
          <a:extLst xmlns:a="http://schemas.openxmlformats.org/drawingml/2006/main">
            <a:ext uri="{FF2B5EF4-FFF2-40B4-BE49-F238E27FC236}">
              <a16:creationId xmlns:a16="http://schemas.microsoft.com/office/drawing/2014/main" id="{45BFD797-2E14-43D8-B58B-73EE6F9AAD7B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 flipH="1">
          <a:off x="5624590" y="2091681"/>
          <a:ext cx="118395" cy="113462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781049</xdr:colOff>
      <xdr:row>0</xdr:row>
      <xdr:rowOff>0</xdr:rowOff>
    </xdr:from>
    <xdr:to>
      <xdr:col>30</xdr:col>
      <xdr:colOff>431799</xdr:colOff>
      <xdr:row>15</xdr:row>
      <xdr:rowOff>9525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B6965BF-F71C-4F3E-99FA-D76AD76DD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787400</xdr:colOff>
      <xdr:row>0</xdr:row>
      <xdr:rowOff>0</xdr:rowOff>
    </xdr:from>
    <xdr:to>
      <xdr:col>37</xdr:col>
      <xdr:colOff>440267</xdr:colOff>
      <xdr:row>15</xdr:row>
      <xdr:rowOff>9525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DEAE3C6-87D2-40C9-81DF-693845B59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9524</xdr:colOff>
      <xdr:row>16</xdr:row>
      <xdr:rowOff>8467</xdr:rowOff>
    </xdr:from>
    <xdr:to>
      <xdr:col>30</xdr:col>
      <xdr:colOff>364065</xdr:colOff>
      <xdr:row>31</xdr:row>
      <xdr:rowOff>4763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F5A8BF78-D019-432E-A853-384405F19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8466</xdr:colOff>
      <xdr:row>16</xdr:row>
      <xdr:rowOff>2223</xdr:rowOff>
    </xdr:from>
    <xdr:to>
      <xdr:col>37</xdr:col>
      <xdr:colOff>474133</xdr:colOff>
      <xdr:row>31</xdr:row>
      <xdr:rowOff>3282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2E882BE2-017E-43BD-949D-D1E5D0B26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795866</xdr:colOff>
      <xdr:row>32</xdr:row>
      <xdr:rowOff>4763</xdr:rowOff>
    </xdr:from>
    <xdr:to>
      <xdr:col>30</xdr:col>
      <xdr:colOff>372532</xdr:colOff>
      <xdr:row>47</xdr:row>
      <xdr:rowOff>33338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F9CD3864-1B01-421F-B612-B97B99B70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347133</xdr:colOff>
      <xdr:row>6</xdr:row>
      <xdr:rowOff>42333</xdr:rowOff>
    </xdr:from>
    <xdr:to>
      <xdr:col>30</xdr:col>
      <xdr:colOff>321733</xdr:colOff>
      <xdr:row>10</xdr:row>
      <xdr:rowOff>118534</xdr:rowOff>
    </xdr:to>
    <xdr:sp macro="" textlink="">
      <xdr:nvSpPr>
        <xdr:cNvPr id="7" name="Rechteck 6">
          <a:extLst>
            <a:ext uri="{FF2B5EF4-FFF2-40B4-BE49-F238E27FC236}">
              <a16:creationId xmlns:a16="http://schemas.microsoft.com/office/drawing/2014/main" id="{1E76FBEA-20B9-4485-92A1-0D0AC7A4D5AC}"/>
            </a:ext>
          </a:extLst>
        </xdr:cNvPr>
        <xdr:cNvSpPr/>
      </xdr:nvSpPr>
      <xdr:spPr>
        <a:xfrm>
          <a:off x="24375533" y="1185333"/>
          <a:ext cx="770467" cy="82973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356658</xdr:colOff>
      <xdr:row>6</xdr:row>
      <xdr:rowOff>34080</xdr:rowOff>
    </xdr:from>
    <xdr:to>
      <xdr:col>37</xdr:col>
      <xdr:colOff>322792</xdr:colOff>
      <xdr:row>10</xdr:row>
      <xdr:rowOff>127001</xdr:rowOff>
    </xdr:to>
    <xdr:sp macro="" textlink="">
      <xdr:nvSpPr>
        <xdr:cNvPr id="8" name="Rechteck 7">
          <a:extLst>
            <a:ext uri="{FF2B5EF4-FFF2-40B4-BE49-F238E27FC236}">
              <a16:creationId xmlns:a16="http://schemas.microsoft.com/office/drawing/2014/main" id="{0C6CE345-BC17-4C1F-8CF9-40FCC44F47C9}"/>
            </a:ext>
          </a:extLst>
        </xdr:cNvPr>
        <xdr:cNvSpPr/>
      </xdr:nvSpPr>
      <xdr:spPr>
        <a:xfrm>
          <a:off x="29779383" y="1158030"/>
          <a:ext cx="756709" cy="82634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0.82505</cdr:x>
      <cdr:y>0.40007</cdr:y>
    </cdr:from>
    <cdr:to>
      <cdr:x>0.97359</cdr:x>
      <cdr:y>0.70241</cdr:y>
    </cdr:to>
    <cdr:sp macro="" textlink="">
      <cdr:nvSpPr>
        <cdr:cNvPr id="2" name="Rechteck 1">
          <a:extLst xmlns:a="http://schemas.openxmlformats.org/drawingml/2006/main">
            <a:ext uri="{FF2B5EF4-FFF2-40B4-BE49-F238E27FC236}">
              <a16:creationId xmlns:a16="http://schemas.microsoft.com/office/drawing/2014/main" id="{D0883A0E-199F-42B0-B43E-512EF1C2231F}"/>
            </a:ext>
          </a:extLst>
        </cdr:cNvPr>
        <cdr:cNvSpPr/>
      </cdr:nvSpPr>
      <cdr:spPr>
        <a:xfrm xmlns:a="http://schemas.openxmlformats.org/drawingml/2006/main">
          <a:off x="4232274" y="1133260"/>
          <a:ext cx="762001" cy="85640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0.82021</cdr:x>
      <cdr:y>0.43565</cdr:y>
    </cdr:from>
    <cdr:to>
      <cdr:x>0.96284</cdr:x>
      <cdr:y>0.73327</cdr:y>
    </cdr:to>
    <cdr:sp macro="" textlink="">
      <cdr:nvSpPr>
        <cdr:cNvPr id="2" name="Rechteck 1">
          <a:extLst xmlns:a="http://schemas.openxmlformats.org/drawingml/2006/main">
            <a:ext uri="{FF2B5EF4-FFF2-40B4-BE49-F238E27FC236}">
              <a16:creationId xmlns:a16="http://schemas.microsoft.com/office/drawing/2014/main" id="{D0883A0E-199F-42B0-B43E-512EF1C2231F}"/>
            </a:ext>
          </a:extLst>
        </cdr:cNvPr>
        <cdr:cNvSpPr/>
      </cdr:nvSpPr>
      <cdr:spPr>
        <a:xfrm xmlns:a="http://schemas.openxmlformats.org/drawingml/2006/main">
          <a:off x="4298622" y="1236097"/>
          <a:ext cx="747512" cy="84447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0.82566</cdr:x>
      <cdr:y>0.41054</cdr:y>
    </cdr:from>
    <cdr:to>
      <cdr:x>0.9763</cdr:x>
      <cdr:y>0.69489</cdr:y>
    </cdr:to>
    <cdr:sp macro="" textlink="">
      <cdr:nvSpPr>
        <cdr:cNvPr id="2" name="Rechteck 1">
          <a:extLst xmlns:a="http://schemas.openxmlformats.org/drawingml/2006/main">
            <a:ext uri="{FF2B5EF4-FFF2-40B4-BE49-F238E27FC236}">
              <a16:creationId xmlns:a16="http://schemas.microsoft.com/office/drawing/2014/main" id="{D0883A0E-199F-42B0-B43E-512EF1C2231F}"/>
            </a:ext>
          </a:extLst>
        </cdr:cNvPr>
        <cdr:cNvSpPr/>
      </cdr:nvSpPr>
      <cdr:spPr>
        <a:xfrm xmlns:a="http://schemas.openxmlformats.org/drawingml/2006/main">
          <a:off x="4250267" y="1172684"/>
          <a:ext cx="775465" cy="8122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7620</xdr:rowOff>
    </xdr:from>
    <xdr:to>
      <xdr:col>16</xdr:col>
      <xdr:colOff>586740</xdr:colOff>
      <xdr:row>24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F62984-4399-58D8-1F9C-659D3360C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0</xdr:row>
      <xdr:rowOff>80010</xdr:rowOff>
    </xdr:from>
    <xdr:to>
      <xdr:col>12</xdr:col>
      <xdr:colOff>121920</xdr:colOff>
      <xdr:row>15</xdr:row>
      <xdr:rowOff>64770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D9D0DB5-FF9C-46CF-88E3-44E526F9A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298452</xdr:colOff>
      <xdr:row>13</xdr:row>
      <xdr:rowOff>63500</xdr:rowOff>
    </xdr:from>
    <xdr:ext cx="1728871" cy="26456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0344879E-ACEB-4137-9F7E-FD3563571F89}"/>
            </a:ext>
          </a:extLst>
        </xdr:cNvPr>
        <xdr:cNvSpPr txBox="1"/>
      </xdr:nvSpPr>
      <xdr:spPr>
        <a:xfrm>
          <a:off x="7404102" y="2482850"/>
          <a:ext cx="1728871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qRT-PCR log</a:t>
          </a:r>
          <a:r>
            <a:rPr lang="en-US" sz="1100" b="1" baseline="-25000"/>
            <a:t>2 </a:t>
          </a:r>
          <a:r>
            <a:rPr lang="en-US" sz="1100" b="1"/>
            <a:t>(fold</a:t>
          </a:r>
          <a:r>
            <a:rPr lang="en-US" sz="1100" b="1" baseline="0"/>
            <a:t> change</a:t>
          </a:r>
          <a:r>
            <a:rPr lang="en-US" sz="1100" b="1"/>
            <a:t>)</a:t>
          </a:r>
        </a:p>
      </xdr:txBody>
    </xdr:sp>
    <xdr:clientData/>
  </xdr:oneCellAnchor>
  <xdr:oneCellAnchor>
    <xdr:from>
      <xdr:col>7</xdr:col>
      <xdr:colOff>425452</xdr:colOff>
      <xdr:row>1</xdr:row>
      <xdr:rowOff>127000</xdr:rowOff>
    </xdr:from>
    <xdr:ext cx="840999" cy="436786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A414874A-BB1C-4F24-9CFA-7E20E0916043}"/>
            </a:ext>
          </a:extLst>
        </xdr:cNvPr>
        <xdr:cNvSpPr txBox="1"/>
      </xdr:nvSpPr>
      <xdr:spPr>
        <a:xfrm>
          <a:off x="6737352" y="330200"/>
          <a:ext cx="840999" cy="436786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R</a:t>
          </a:r>
          <a:r>
            <a:rPr lang="en-US" sz="1100" b="1" baseline="30000"/>
            <a:t>2</a:t>
          </a:r>
          <a:r>
            <a:rPr lang="en-US" sz="1100" b="1" baseline="0"/>
            <a:t> = 0.9364</a:t>
          </a:r>
        </a:p>
        <a:p>
          <a:r>
            <a:rPr lang="en-US" sz="1100" b="1" i="1" baseline="0"/>
            <a:t>p </a:t>
          </a:r>
          <a:r>
            <a:rPr lang="en-US" sz="1100" b="1" i="0" baseline="0"/>
            <a:t>= 0.0191</a:t>
          </a:r>
          <a:endParaRPr lang="en-US" sz="1100" b="1" i="1"/>
        </a:p>
      </xdr:txBody>
    </xdr:sp>
    <xdr:clientData/>
  </xdr:oneCellAnchor>
  <xdr:oneCellAnchor>
    <xdr:from>
      <xdr:col>7</xdr:col>
      <xdr:colOff>241300</xdr:colOff>
      <xdr:row>10</xdr:row>
      <xdr:rowOff>165100</xdr:rowOff>
    </xdr:from>
    <xdr:ext cx="532325" cy="233205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0DBB2F22-1400-4270-B4AA-A292CE6A0DDF}"/>
            </a:ext>
          </a:extLst>
        </xdr:cNvPr>
        <xdr:cNvSpPr txBox="1"/>
      </xdr:nvSpPr>
      <xdr:spPr>
        <a:xfrm>
          <a:off x="6546850" y="2032000"/>
          <a:ext cx="53232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/>
            <a:t>11140a</a:t>
          </a:r>
        </a:p>
      </xdr:txBody>
    </xdr:sp>
    <xdr:clientData/>
  </xdr:oneCellAnchor>
  <xdr:oneCellAnchor>
    <xdr:from>
      <xdr:col>9</xdr:col>
      <xdr:colOff>476250</xdr:colOff>
      <xdr:row>2</xdr:row>
      <xdr:rowOff>69850</xdr:rowOff>
    </xdr:from>
    <xdr:ext cx="473848" cy="233205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2878F8BB-8B21-490D-8A76-4AB09BC60D79}"/>
            </a:ext>
          </a:extLst>
        </xdr:cNvPr>
        <xdr:cNvSpPr txBox="1"/>
      </xdr:nvSpPr>
      <xdr:spPr>
        <a:xfrm>
          <a:off x="8369300" y="457200"/>
          <a:ext cx="473848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/>
            <a:t>4380a</a:t>
          </a:r>
        </a:p>
      </xdr:txBody>
    </xdr:sp>
    <xdr:clientData/>
  </xdr:oneCellAnchor>
  <xdr:oneCellAnchor>
    <xdr:from>
      <xdr:col>10</xdr:col>
      <xdr:colOff>184150</xdr:colOff>
      <xdr:row>2</xdr:row>
      <xdr:rowOff>12700</xdr:rowOff>
    </xdr:from>
    <xdr:ext cx="473848" cy="233205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EF8E8318-7285-4043-9E85-39ABBD32BCC3}"/>
            </a:ext>
          </a:extLst>
        </xdr:cNvPr>
        <xdr:cNvSpPr txBox="1"/>
      </xdr:nvSpPr>
      <xdr:spPr>
        <a:xfrm>
          <a:off x="8870950" y="400050"/>
          <a:ext cx="473848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/>
            <a:t>7660a</a:t>
          </a:r>
        </a:p>
      </xdr:txBody>
    </xdr:sp>
    <xdr:clientData/>
  </xdr:oneCellAnchor>
  <xdr:oneCellAnchor>
    <xdr:from>
      <xdr:col>10</xdr:col>
      <xdr:colOff>647700</xdr:colOff>
      <xdr:row>1</xdr:row>
      <xdr:rowOff>139700</xdr:rowOff>
    </xdr:from>
    <xdr:ext cx="473848" cy="233205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9EBA5CE0-626C-46EF-A7DD-7DF73BA4399C}"/>
            </a:ext>
          </a:extLst>
        </xdr:cNvPr>
        <xdr:cNvSpPr txBox="1"/>
      </xdr:nvSpPr>
      <xdr:spPr>
        <a:xfrm>
          <a:off x="9334500" y="342900"/>
          <a:ext cx="473848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/>
            <a:t>5600a</a:t>
          </a:r>
        </a:p>
      </xdr:txBody>
    </xdr:sp>
    <xdr:clientData/>
  </xdr:oneCellAnchor>
  <xdr:oneCellAnchor>
    <xdr:from>
      <xdr:col>11</xdr:col>
      <xdr:colOff>190500</xdr:colOff>
      <xdr:row>2</xdr:row>
      <xdr:rowOff>158750</xdr:rowOff>
    </xdr:from>
    <xdr:ext cx="532325" cy="233205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A242BDBD-D716-4B40-B00F-334358DB97AA}"/>
            </a:ext>
          </a:extLst>
        </xdr:cNvPr>
        <xdr:cNvSpPr txBox="1"/>
      </xdr:nvSpPr>
      <xdr:spPr>
        <a:xfrm>
          <a:off x="9671050" y="546100"/>
          <a:ext cx="53232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/>
            <a:t>27910a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zoomScaleNormal="100" workbookViewId="0">
      <selection activeCell="N7" sqref="N7"/>
    </sheetView>
  </sheetViews>
  <sheetFormatPr defaultColWidth="11.5546875" defaultRowHeight="14.4" x14ac:dyDescent="0.3"/>
  <sheetData>
    <row r="1" spans="1:18" x14ac:dyDescent="0.3">
      <c r="A1" s="4"/>
      <c r="B1" s="2" t="s">
        <v>2</v>
      </c>
      <c r="C1" s="5" t="s">
        <v>5</v>
      </c>
      <c r="D1" s="5"/>
      <c r="E1" s="5" t="s">
        <v>52</v>
      </c>
      <c r="F1" s="5"/>
      <c r="G1" s="5" t="s">
        <v>6</v>
      </c>
      <c r="H1" s="5"/>
      <c r="I1" s="5" t="s">
        <v>53</v>
      </c>
      <c r="J1" s="5"/>
      <c r="M1" s="50"/>
      <c r="N1" s="50"/>
      <c r="O1" s="50"/>
      <c r="P1" s="50"/>
      <c r="Q1" s="50"/>
      <c r="R1" s="50"/>
    </row>
    <row r="2" spans="1:18" ht="14.4" customHeight="1" x14ac:dyDescent="0.3">
      <c r="A2" s="6" t="s">
        <v>8</v>
      </c>
      <c r="B2" s="7">
        <v>1</v>
      </c>
      <c r="C2" s="51">
        <v>1.76918899802469</v>
      </c>
      <c r="D2" s="83" t="s">
        <v>76</v>
      </c>
      <c r="E2" s="51">
        <v>1.00095400231902</v>
      </c>
      <c r="F2" s="83" t="s">
        <v>54</v>
      </c>
      <c r="G2" s="51">
        <v>1.2118815021000999</v>
      </c>
      <c r="H2" s="83" t="s">
        <v>77</v>
      </c>
      <c r="I2" s="51">
        <v>0.76744711232742602</v>
      </c>
      <c r="J2" s="83" t="s">
        <v>78</v>
      </c>
      <c r="M2" s="5" t="s">
        <v>2</v>
      </c>
      <c r="N2" s="5" t="s">
        <v>5</v>
      </c>
      <c r="O2" s="5" t="s">
        <v>52</v>
      </c>
      <c r="P2" s="5" t="s">
        <v>6</v>
      </c>
      <c r="Q2" s="5" t="s">
        <v>53</v>
      </c>
      <c r="R2" s="5"/>
    </row>
    <row r="3" spans="1:18" x14ac:dyDescent="0.3">
      <c r="A3" s="9"/>
      <c r="B3" s="7">
        <v>1</v>
      </c>
      <c r="C3" s="51">
        <v>2.4265939386561901</v>
      </c>
      <c r="D3" s="83"/>
      <c r="E3" s="51">
        <v>2.8021047801750099</v>
      </c>
      <c r="F3" s="83"/>
      <c r="G3" s="51">
        <v>1.5689270613988</v>
      </c>
      <c r="H3" s="83"/>
      <c r="I3" s="51">
        <v>1.59896766005362</v>
      </c>
      <c r="J3" s="83"/>
      <c r="K3" s="51"/>
      <c r="L3" s="6" t="s">
        <v>8</v>
      </c>
      <c r="M3" s="30">
        <v>1</v>
      </c>
      <c r="N3" s="13">
        <f>C7</f>
        <v>1.9428277109425933</v>
      </c>
      <c r="O3" s="13">
        <f>E7</f>
        <v>1.5108235746029708</v>
      </c>
      <c r="P3" s="13">
        <f>G7</f>
        <v>1.2908842142477768</v>
      </c>
      <c r="Q3" s="13">
        <f>I7</f>
        <v>1.1826886487975621</v>
      </c>
      <c r="R3" s="23"/>
    </row>
    <row r="4" spans="1:18" x14ac:dyDescent="0.3">
      <c r="A4" s="9"/>
      <c r="B4" s="7">
        <v>1</v>
      </c>
      <c r="C4" s="51">
        <v>1.6327001961469001</v>
      </c>
      <c r="D4" s="83"/>
      <c r="E4" s="51">
        <v>0.72941194131488296</v>
      </c>
      <c r="F4" s="83"/>
      <c r="G4" s="51">
        <v>1.0918440792444299</v>
      </c>
      <c r="H4" s="83"/>
      <c r="I4" s="51">
        <v>1.18165117401164</v>
      </c>
      <c r="J4" s="83"/>
      <c r="L4" s="6" t="s">
        <v>11</v>
      </c>
      <c r="M4">
        <v>1</v>
      </c>
      <c r="N4" s="16">
        <f>C14</f>
        <v>4.175842727490207</v>
      </c>
      <c r="O4" s="16">
        <f>E14</f>
        <v>1.8348763183412335</v>
      </c>
      <c r="P4" s="16">
        <f>G14</f>
        <v>7.7502571355039107</v>
      </c>
      <c r="Q4" s="16">
        <f>I14</f>
        <v>2.0455172493659832</v>
      </c>
      <c r="R4" s="23"/>
    </row>
    <row r="5" spans="1:18" x14ac:dyDescent="0.3">
      <c r="A5" s="9"/>
      <c r="B5" s="7"/>
      <c r="C5" s="8"/>
      <c r="D5" s="1" t="s">
        <v>41</v>
      </c>
      <c r="E5" s="8"/>
      <c r="F5" s="1" t="s">
        <v>40</v>
      </c>
      <c r="G5" s="8"/>
      <c r="H5" s="1" t="s">
        <v>40</v>
      </c>
      <c r="I5" s="8"/>
      <c r="J5" s="1" t="s">
        <v>40</v>
      </c>
      <c r="L5" s="6" t="s">
        <v>12</v>
      </c>
      <c r="M5">
        <v>1</v>
      </c>
      <c r="N5" s="16">
        <f>C21</f>
        <v>3.4369740089718768</v>
      </c>
      <c r="O5" s="16">
        <f>E21</f>
        <v>1.3661116068512105</v>
      </c>
      <c r="P5" s="23">
        <f>G21</f>
        <v>2.4874628042368694</v>
      </c>
      <c r="Q5" s="16">
        <f>I21</f>
        <v>2.167326667218096</v>
      </c>
      <c r="R5" s="23"/>
    </row>
    <row r="6" spans="1:18" x14ac:dyDescent="0.3">
      <c r="A6" s="9"/>
      <c r="B6" s="7"/>
      <c r="C6" s="8"/>
      <c r="D6" s="1"/>
      <c r="E6" s="8"/>
      <c r="F6" s="1"/>
      <c r="G6" s="8"/>
      <c r="H6" s="1"/>
      <c r="I6" s="8"/>
      <c r="J6" s="1"/>
      <c r="L6" s="6" t="s">
        <v>13</v>
      </c>
      <c r="M6">
        <v>1</v>
      </c>
      <c r="N6" s="16">
        <f>C28</f>
        <v>0.33901319590394602</v>
      </c>
      <c r="O6" s="16">
        <f>E28</f>
        <v>1.1478336880610571</v>
      </c>
      <c r="P6" s="16">
        <f>G28</f>
        <v>0.33859305745679863</v>
      </c>
      <c r="Q6" s="23">
        <f>I28</f>
        <v>1.1634191499454647</v>
      </c>
      <c r="R6" s="23"/>
    </row>
    <row r="7" spans="1:18" x14ac:dyDescent="0.3">
      <c r="A7" s="10" t="s">
        <v>9</v>
      </c>
      <c r="B7" s="11">
        <f>AVERAGE(B2:B4)</f>
        <v>1</v>
      </c>
      <c r="C7" s="12">
        <f>AVERAGE(C2:C6)</f>
        <v>1.9428277109425933</v>
      </c>
      <c r="D7" s="13"/>
      <c r="E7" s="12">
        <f>AVERAGE(E2:E6)</f>
        <v>1.5108235746029708</v>
      </c>
      <c r="F7" s="13"/>
      <c r="G7" s="12">
        <f>AVERAGE(G2:G6)</f>
        <v>1.2908842142477768</v>
      </c>
      <c r="H7" s="13"/>
      <c r="I7" s="12">
        <f>AVERAGE(I2:I6)</f>
        <v>1.1826886487975621</v>
      </c>
      <c r="J7" s="13"/>
      <c r="L7" s="6" t="s">
        <v>14</v>
      </c>
      <c r="M7">
        <v>1</v>
      </c>
      <c r="N7" s="23">
        <f>C35</f>
        <v>7.1532270573802164</v>
      </c>
      <c r="O7" s="23">
        <f>E35</f>
        <v>1.469501762089668</v>
      </c>
      <c r="P7" s="23">
        <f>G35</f>
        <v>15.385071727330057</v>
      </c>
      <c r="Q7" s="23">
        <f>I35</f>
        <v>1.6366833864675934</v>
      </c>
      <c r="R7" s="23"/>
    </row>
    <row r="8" spans="1:18" x14ac:dyDescent="0.3">
      <c r="A8" s="10" t="s">
        <v>10</v>
      </c>
      <c r="B8" s="14">
        <f>_xlfn.STDEV.P(B2:B4)</f>
        <v>0</v>
      </c>
      <c r="C8" s="12">
        <f>_xlfn.STDEV.P(C2:C6)</f>
        <v>0.34658295838725395</v>
      </c>
      <c r="D8" s="13"/>
      <c r="E8" s="12">
        <f>_xlfn.STDEV.P(E2:E6)</f>
        <v>0.91977864605975623</v>
      </c>
      <c r="F8" s="13"/>
      <c r="G8" s="12">
        <f>_xlfn.STDEV.P(G2:G6)</f>
        <v>0.20262134530587367</v>
      </c>
      <c r="H8" s="13"/>
      <c r="I8" s="12">
        <f>_xlfn.STDEV.P(I2:I6)</f>
        <v>0.3394676347735926</v>
      </c>
      <c r="J8" s="13"/>
    </row>
    <row r="9" spans="1:18" ht="14.4" customHeight="1" x14ac:dyDescent="0.3">
      <c r="A9" s="78" t="s">
        <v>11</v>
      </c>
      <c r="B9" s="7">
        <v>1</v>
      </c>
      <c r="C9" s="51">
        <v>5.2125784201494199</v>
      </c>
      <c r="D9" s="83" t="s">
        <v>55</v>
      </c>
      <c r="E9" s="51">
        <v>1.70204788868429</v>
      </c>
      <c r="F9" s="83" t="s">
        <v>56</v>
      </c>
      <c r="G9" s="51">
        <v>11.8711185517688</v>
      </c>
      <c r="H9" s="83" t="s">
        <v>60</v>
      </c>
      <c r="I9" s="51">
        <v>1.3101738769273099</v>
      </c>
      <c r="J9" s="83" t="s">
        <v>61</v>
      </c>
    </row>
    <row r="10" spans="1:18" x14ac:dyDescent="0.3">
      <c r="A10" s="9"/>
      <c r="B10" s="7">
        <v>1</v>
      </c>
      <c r="C10" s="51">
        <v>4.1078489562069498</v>
      </c>
      <c r="D10" s="83"/>
      <c r="E10" s="51">
        <v>2.5901134241132402</v>
      </c>
      <c r="F10" s="83"/>
      <c r="G10" s="51">
        <v>8.5563722549626906</v>
      </c>
      <c r="H10" s="83"/>
      <c r="I10" s="51">
        <v>3.6832607391374501</v>
      </c>
      <c r="J10" s="83"/>
    </row>
    <row r="11" spans="1:18" x14ac:dyDescent="0.3">
      <c r="A11" s="9"/>
      <c r="B11" s="7">
        <v>1</v>
      </c>
      <c r="C11" s="51">
        <v>3.2071008061142501</v>
      </c>
      <c r="D11" s="83"/>
      <c r="E11" s="51">
        <v>1.21246764222617</v>
      </c>
      <c r="F11" s="83"/>
      <c r="G11" s="51">
        <v>2.8232805997802402</v>
      </c>
      <c r="H11" s="83"/>
      <c r="I11" s="51">
        <v>1.1431171320331901</v>
      </c>
      <c r="J11" s="83"/>
    </row>
    <row r="12" spans="1:18" x14ac:dyDescent="0.3">
      <c r="A12" s="9"/>
      <c r="B12" s="7"/>
      <c r="C12" s="8"/>
      <c r="D12" s="1" t="s">
        <v>41</v>
      </c>
      <c r="E12" s="8"/>
      <c r="F12" s="1" t="s">
        <v>40</v>
      </c>
      <c r="G12" s="8"/>
      <c r="H12" s="1" t="s">
        <v>40</v>
      </c>
      <c r="I12" s="8"/>
      <c r="J12" s="1" t="s">
        <v>40</v>
      </c>
    </row>
    <row r="13" spans="1:18" x14ac:dyDescent="0.3">
      <c r="A13" s="9"/>
      <c r="B13" s="7"/>
      <c r="C13" s="8"/>
      <c r="D13" s="1"/>
      <c r="E13" s="8"/>
      <c r="F13" s="1"/>
      <c r="G13" s="8"/>
      <c r="H13" s="1"/>
      <c r="I13" s="8"/>
      <c r="J13" s="1"/>
    </row>
    <row r="14" spans="1:18" x14ac:dyDescent="0.3">
      <c r="A14" s="10" t="s">
        <v>9</v>
      </c>
      <c r="B14" s="14">
        <f>AVERAGE(B9:B11)</f>
        <v>1</v>
      </c>
      <c r="C14" s="15">
        <f>AVERAGE(C9:C13)</f>
        <v>4.175842727490207</v>
      </c>
      <c r="D14" s="16"/>
      <c r="E14" s="15">
        <f>AVERAGE(E9:E13)</f>
        <v>1.8348763183412335</v>
      </c>
      <c r="F14" s="16"/>
      <c r="G14" s="15">
        <f>AVERAGE(G9:G13)</f>
        <v>7.7502571355039107</v>
      </c>
      <c r="H14" s="16"/>
      <c r="I14" s="15">
        <f>AVERAGE(I9:I13)</f>
        <v>2.0455172493659832</v>
      </c>
      <c r="J14" s="16"/>
    </row>
    <row r="15" spans="1:18" x14ac:dyDescent="0.3">
      <c r="A15" s="10" t="s">
        <v>10</v>
      </c>
      <c r="B15" s="14">
        <f>_xlfn.STDEV.P(B9:B11)</f>
        <v>0</v>
      </c>
      <c r="C15" s="15">
        <f>_xlfn.STDEV.P(C9:C13)</f>
        <v>0.82014327195477865</v>
      </c>
      <c r="D15" s="16"/>
      <c r="E15" s="15">
        <f>_xlfn.STDEV.P(E9:E13)</f>
        <v>0.57021020619981688</v>
      </c>
      <c r="F15" s="16"/>
      <c r="G15" s="15">
        <f>_xlfn.STDEV.P(G9:G13)</f>
        <v>3.7374865966962507</v>
      </c>
      <c r="H15" s="16"/>
      <c r="I15" s="15">
        <f>_xlfn.STDEV.P(I9:I13)</f>
        <v>1.1600660305115602</v>
      </c>
      <c r="J15" s="16"/>
    </row>
    <row r="16" spans="1:18" ht="14.4" customHeight="1" x14ac:dyDescent="0.3">
      <c r="A16" s="78" t="s">
        <v>12</v>
      </c>
      <c r="B16" s="7">
        <v>1</v>
      </c>
      <c r="C16" s="51">
        <v>2.4395774090752602</v>
      </c>
      <c r="D16" s="83" t="s">
        <v>79</v>
      </c>
      <c r="E16" s="51">
        <v>0.77377162717846204</v>
      </c>
      <c r="F16" s="83" t="s">
        <v>57</v>
      </c>
      <c r="G16" s="51">
        <v>2.7566812265160299</v>
      </c>
      <c r="H16" s="83" t="s">
        <v>62</v>
      </c>
      <c r="I16" s="51">
        <v>0.930940963122318</v>
      </c>
      <c r="J16" s="83" t="s">
        <v>63</v>
      </c>
    </row>
    <row r="17" spans="1:10" x14ac:dyDescent="0.3">
      <c r="A17" s="9"/>
      <c r="B17" s="7">
        <v>1</v>
      </c>
      <c r="C17" s="51">
        <v>5.6372299999999997</v>
      </c>
      <c r="D17" s="83"/>
      <c r="E17" s="51">
        <v>2.2120546326840298</v>
      </c>
      <c r="F17" s="83"/>
      <c r="G17" s="51">
        <v>3.7654350607751499</v>
      </c>
      <c r="H17" s="83"/>
      <c r="I17" s="51">
        <v>4.45481427143811</v>
      </c>
      <c r="J17" s="83"/>
    </row>
    <row r="18" spans="1:10" x14ac:dyDescent="0.3">
      <c r="A18" s="9"/>
      <c r="B18" s="7">
        <v>1</v>
      </c>
      <c r="C18" s="51">
        <v>2.2341146178403699</v>
      </c>
      <c r="D18" s="83"/>
      <c r="E18" s="51">
        <v>1.11250856069114</v>
      </c>
      <c r="F18" s="83"/>
      <c r="G18" s="51">
        <v>0.94027212541942795</v>
      </c>
      <c r="H18" s="83"/>
      <c r="I18" s="51">
        <v>1.1162247670938601</v>
      </c>
      <c r="J18" s="83"/>
    </row>
    <row r="19" spans="1:10" x14ac:dyDescent="0.3">
      <c r="A19" s="9"/>
      <c r="B19" s="7"/>
      <c r="C19" s="8"/>
      <c r="D19" s="1" t="s">
        <v>40</v>
      </c>
      <c r="E19" s="8"/>
      <c r="F19" s="1" t="s">
        <v>40</v>
      </c>
      <c r="G19" s="8"/>
      <c r="H19" s="1" t="s">
        <v>40</v>
      </c>
      <c r="I19" s="8"/>
      <c r="J19" s="1" t="s">
        <v>40</v>
      </c>
    </row>
    <row r="20" spans="1:10" x14ac:dyDescent="0.3">
      <c r="A20" s="9"/>
      <c r="B20" s="7"/>
      <c r="C20" s="8"/>
      <c r="D20" s="1"/>
      <c r="E20" s="8"/>
      <c r="F20" s="1"/>
      <c r="G20" s="8"/>
      <c r="H20" s="1"/>
      <c r="I20" s="8"/>
      <c r="J20" s="1"/>
    </row>
    <row r="21" spans="1:10" x14ac:dyDescent="0.3">
      <c r="A21" s="10" t="s">
        <v>9</v>
      </c>
      <c r="B21" s="14">
        <f>AVERAGE(B16:B18)</f>
        <v>1</v>
      </c>
      <c r="C21" s="15">
        <f>AVERAGE(C16:C20)</f>
        <v>3.4369740089718768</v>
      </c>
      <c r="D21" s="16"/>
      <c r="E21" s="15">
        <f>AVERAGE(E16:E20)</f>
        <v>1.3661116068512105</v>
      </c>
      <c r="F21" s="16"/>
      <c r="G21" s="15">
        <f>AVERAGE(G16:G20)</f>
        <v>2.4874628042368694</v>
      </c>
      <c r="H21" s="16"/>
      <c r="I21" s="15">
        <f>AVERAGE(I16:I20)</f>
        <v>2.167326667218096</v>
      </c>
      <c r="J21" s="16"/>
    </row>
    <row r="22" spans="1:10" x14ac:dyDescent="0.3">
      <c r="A22" s="10" t="s">
        <v>10</v>
      </c>
      <c r="B22" s="14">
        <f>_xlfn.STDEV.P(B16:B18)</f>
        <v>0</v>
      </c>
      <c r="C22" s="15">
        <f>_xlfn.STDEV.P(C16:C20)</f>
        <v>1.5580754280386788</v>
      </c>
      <c r="D22" s="16"/>
      <c r="E22" s="15">
        <f>_xlfn.STDEV.P(E16:E20)</f>
        <v>0.61394917256929482</v>
      </c>
      <c r="F22" s="16"/>
      <c r="G22" s="15">
        <f>_xlfn.STDEV.P(G16:G20)</f>
        <v>1.1689725750982642</v>
      </c>
      <c r="H22" s="16"/>
      <c r="I22" s="15">
        <f>_xlfn.STDEV.P(I16:I20)</f>
        <v>1.6192657135460515</v>
      </c>
      <c r="J22" s="16"/>
    </row>
    <row r="23" spans="1:10" ht="14.4" customHeight="1" x14ac:dyDescent="0.3">
      <c r="A23" s="6" t="s">
        <v>13</v>
      </c>
      <c r="B23" s="7">
        <v>1</v>
      </c>
      <c r="C23" s="51">
        <v>0.35288586100513503</v>
      </c>
      <c r="D23" s="83" t="s">
        <v>80</v>
      </c>
      <c r="E23" s="51">
        <v>1.0730498834837401</v>
      </c>
      <c r="F23" s="83" t="s">
        <v>81</v>
      </c>
      <c r="G23" s="51">
        <v>0.39458197786253002</v>
      </c>
      <c r="H23" s="83" t="s">
        <v>64</v>
      </c>
      <c r="I23" s="51">
        <v>1.1061970743738401</v>
      </c>
      <c r="J23" s="83" t="s">
        <v>67</v>
      </c>
    </row>
    <row r="24" spans="1:10" x14ac:dyDescent="0.3">
      <c r="A24" s="9"/>
      <c r="B24" s="7">
        <v>1</v>
      </c>
      <c r="C24" s="51">
        <v>0.35266151901595899</v>
      </c>
      <c r="D24" s="83"/>
      <c r="E24" s="51">
        <v>1.5186634670635599</v>
      </c>
      <c r="F24" s="83"/>
      <c r="G24" s="51">
        <v>0.24271655646683299</v>
      </c>
      <c r="H24" s="83"/>
      <c r="I24" s="51">
        <v>1.39823453919778</v>
      </c>
      <c r="J24" s="83"/>
    </row>
    <row r="25" spans="1:10" x14ac:dyDescent="0.3">
      <c r="A25" s="9"/>
      <c r="B25" s="7">
        <v>1</v>
      </c>
      <c r="C25" s="51">
        <v>0.31149220769074398</v>
      </c>
      <c r="D25" s="83"/>
      <c r="E25" s="51">
        <v>0.85178771363587102</v>
      </c>
      <c r="F25" s="83"/>
      <c r="G25" s="51">
        <v>0.37848063804103299</v>
      </c>
      <c r="H25" s="83"/>
      <c r="I25" s="51">
        <v>0.98582583626477405</v>
      </c>
      <c r="J25" s="83"/>
    </row>
    <row r="26" spans="1:10" x14ac:dyDescent="0.3">
      <c r="A26" s="9"/>
      <c r="B26" s="7"/>
      <c r="C26" s="8"/>
      <c r="D26" s="1" t="s">
        <v>42</v>
      </c>
      <c r="E26" s="8"/>
      <c r="F26" s="1" t="s">
        <v>40</v>
      </c>
      <c r="G26" s="8"/>
      <c r="H26" s="1" t="s">
        <v>39</v>
      </c>
      <c r="I26" s="8"/>
      <c r="J26" s="1" t="s">
        <v>40</v>
      </c>
    </row>
    <row r="27" spans="1:10" x14ac:dyDescent="0.3">
      <c r="A27" s="9"/>
      <c r="B27" s="7"/>
      <c r="C27" s="8"/>
      <c r="D27" s="1"/>
      <c r="E27" s="8"/>
      <c r="F27" s="1"/>
      <c r="G27" s="8"/>
      <c r="H27" s="1"/>
      <c r="I27" s="8"/>
      <c r="J27" s="1"/>
    </row>
    <row r="28" spans="1:10" x14ac:dyDescent="0.3">
      <c r="A28" s="10" t="s">
        <v>9</v>
      </c>
      <c r="B28" s="14">
        <f>AVERAGE(B23:B25)</f>
        <v>1</v>
      </c>
      <c r="C28" s="15">
        <f>AVERAGE(C23:C27)</f>
        <v>0.33901319590394602</v>
      </c>
      <c r="D28" s="16"/>
      <c r="E28" s="15">
        <f>AVERAGE(E23:E27)</f>
        <v>1.1478336880610571</v>
      </c>
      <c r="F28" s="16"/>
      <c r="G28" s="15">
        <f>AVERAGE(G23:G27)</f>
        <v>0.33859305745679863</v>
      </c>
      <c r="H28" s="16"/>
      <c r="I28" s="15">
        <f>AVERAGE(I23:I27)</f>
        <v>1.1634191499454647</v>
      </c>
      <c r="J28" s="16"/>
    </row>
    <row r="29" spans="1:10" x14ac:dyDescent="0.3">
      <c r="A29" s="10" t="s">
        <v>10</v>
      </c>
      <c r="B29" s="14">
        <f>_xlfn.STDEV.P(B23:B25)</f>
        <v>0</v>
      </c>
      <c r="C29" s="15">
        <f>_xlfn.STDEV.P(C23:C27)</f>
        <v>1.9460492910945329E-2</v>
      </c>
      <c r="D29" s="16"/>
      <c r="E29" s="15">
        <f>_xlfn.STDEV.P(E23:E27)</f>
        <v>0.27733887898830012</v>
      </c>
      <c r="F29" s="16"/>
      <c r="G29" s="15">
        <f>_xlfn.STDEV.P(G23:G27)</f>
        <v>6.8112851785699702E-2</v>
      </c>
      <c r="H29" s="16"/>
      <c r="I29" s="15">
        <f>_xlfn.STDEV.P(I23:I27)</f>
        <v>0.17315890392596936</v>
      </c>
      <c r="J29" s="16"/>
    </row>
    <row r="30" spans="1:10" ht="14.4" customHeight="1" x14ac:dyDescent="0.3">
      <c r="A30" s="6" t="s">
        <v>14</v>
      </c>
      <c r="B30" s="7">
        <v>1</v>
      </c>
      <c r="C30" s="51">
        <v>3.6254179634082702</v>
      </c>
      <c r="D30" s="83" t="s">
        <v>58</v>
      </c>
      <c r="E30" s="51">
        <v>0.79801410702375397</v>
      </c>
      <c r="F30" s="83" t="s">
        <v>59</v>
      </c>
      <c r="G30" s="51">
        <v>25.714164812154401</v>
      </c>
      <c r="H30" s="83" t="s">
        <v>65</v>
      </c>
      <c r="I30" s="51">
        <v>1.61853298364468</v>
      </c>
      <c r="J30" s="83" t="s">
        <v>66</v>
      </c>
    </row>
    <row r="31" spans="1:10" x14ac:dyDescent="0.3">
      <c r="B31" s="7">
        <v>1</v>
      </c>
      <c r="C31" s="51">
        <v>11.220759185618901</v>
      </c>
      <c r="D31" s="83"/>
      <c r="E31" s="51">
        <v>2.1267083570895</v>
      </c>
      <c r="F31" s="83"/>
      <c r="G31" s="51">
        <v>5.4453543028135698</v>
      </c>
      <c r="H31" s="83"/>
      <c r="I31" s="51">
        <v>1.66123950425869</v>
      </c>
      <c r="J31" s="83"/>
    </row>
    <row r="32" spans="1:10" x14ac:dyDescent="0.3">
      <c r="B32" s="7">
        <v>1</v>
      </c>
      <c r="C32" s="51">
        <v>6.6135040231134798</v>
      </c>
      <c r="D32" s="83"/>
      <c r="E32" s="51">
        <v>1.4837828221557501</v>
      </c>
      <c r="F32" s="83"/>
      <c r="G32" s="51">
        <v>14.9956960670222</v>
      </c>
      <c r="H32" s="83"/>
      <c r="I32" s="51">
        <v>1.6302776714994101</v>
      </c>
      <c r="J32" s="83"/>
    </row>
    <row r="33" spans="1:10" x14ac:dyDescent="0.3">
      <c r="B33" s="7"/>
      <c r="C33" s="8"/>
      <c r="D33" s="1" t="s">
        <v>40</v>
      </c>
      <c r="E33" s="8"/>
      <c r="F33" s="1" t="s">
        <v>40</v>
      </c>
      <c r="G33" s="8"/>
      <c r="H33" s="1" t="s">
        <v>40</v>
      </c>
      <c r="I33" s="8"/>
      <c r="J33" s="1" t="s">
        <v>42</v>
      </c>
    </row>
    <row r="34" spans="1:10" x14ac:dyDescent="0.3">
      <c r="B34" s="7"/>
      <c r="C34" s="8"/>
      <c r="D34" s="1"/>
      <c r="E34" s="8"/>
      <c r="F34" s="1"/>
      <c r="G34" s="8"/>
      <c r="H34" s="1"/>
      <c r="I34" s="8"/>
      <c r="J34" s="1"/>
    </row>
    <row r="35" spans="1:10" x14ac:dyDescent="0.3">
      <c r="A35" s="10" t="s">
        <v>9</v>
      </c>
      <c r="B35" s="21">
        <f>AVERAGE(B30:B32)</f>
        <v>1</v>
      </c>
      <c r="C35" s="22">
        <f>AVERAGE(C30:C34)</f>
        <v>7.1532270573802164</v>
      </c>
      <c r="D35" s="23"/>
      <c r="E35" s="22">
        <f>AVERAGE(E30:E34)</f>
        <v>1.469501762089668</v>
      </c>
      <c r="F35" s="23"/>
      <c r="G35" s="22">
        <f>AVERAGE(G30:G34)</f>
        <v>15.385071727330057</v>
      </c>
      <c r="H35" s="23"/>
      <c r="I35" s="22">
        <f>AVERAGE(I30:I34)</f>
        <v>1.6366833864675934</v>
      </c>
      <c r="J35" s="23"/>
    </row>
    <row r="36" spans="1:10" x14ac:dyDescent="0.3">
      <c r="A36" s="10" t="s">
        <v>10</v>
      </c>
      <c r="B36" s="21">
        <f>_xlfn.STDEV.P(B30:B32)</f>
        <v>0</v>
      </c>
      <c r="C36" s="22">
        <f>_xlfn.STDEV.P(C30:C34)</f>
        <v>3.1241828569768031</v>
      </c>
      <c r="D36" s="23"/>
      <c r="E36" s="22">
        <f>_xlfn.STDEV.P(E30:E34)</f>
        <v>0.54253114444973083</v>
      </c>
      <c r="F36" s="23"/>
      <c r="G36" s="22">
        <f>_xlfn.STDEV.P(G30:G34)</f>
        <v>8.279286600487648</v>
      </c>
      <c r="H36" s="23"/>
      <c r="I36" s="22">
        <f>_xlfn.STDEV.P(I30:I34)</f>
        <v>1.8013635833795869E-2</v>
      </c>
      <c r="J36" s="23"/>
    </row>
  </sheetData>
  <mergeCells count="20">
    <mergeCell ref="D30:D32"/>
    <mergeCell ref="F30:F32"/>
    <mergeCell ref="H30:H32"/>
    <mergeCell ref="J30:J32"/>
    <mergeCell ref="D16:D18"/>
    <mergeCell ref="F16:F18"/>
    <mergeCell ref="H16:H18"/>
    <mergeCell ref="J16:J18"/>
    <mergeCell ref="D23:D25"/>
    <mergeCell ref="F23:F25"/>
    <mergeCell ref="H23:H25"/>
    <mergeCell ref="J23:J25"/>
    <mergeCell ref="D2:D4"/>
    <mergeCell ref="F2:F4"/>
    <mergeCell ref="H2:H4"/>
    <mergeCell ref="J2:J4"/>
    <mergeCell ref="D9:D11"/>
    <mergeCell ref="F9:F11"/>
    <mergeCell ref="H9:H11"/>
    <mergeCell ref="J9:J11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7789-D758-4C06-A6D9-D1E8591C7355}">
  <dimension ref="B2:R50"/>
  <sheetViews>
    <sheetView tabSelected="1" topLeftCell="A5" workbookViewId="0">
      <selection activeCell="P20" sqref="P20"/>
    </sheetView>
  </sheetViews>
  <sheetFormatPr defaultRowHeight="14.4" x14ac:dyDescent="0.3"/>
  <cols>
    <col min="2" max="2" width="13.21875" customWidth="1"/>
    <col min="4" max="4" width="9.88671875" customWidth="1"/>
    <col min="5" max="5" width="9.33203125" customWidth="1"/>
    <col min="8" max="8" width="13.44140625" customWidth="1"/>
    <col min="11" max="11" width="8.88671875" style="44"/>
    <col min="14" max="14" width="13" customWidth="1"/>
  </cols>
  <sheetData>
    <row r="2" spans="2:18" x14ac:dyDescent="0.3">
      <c r="C2" s="84" t="s">
        <v>155</v>
      </c>
      <c r="D2" s="84"/>
      <c r="E2" s="84"/>
      <c r="F2" s="84"/>
      <c r="I2" s="84" t="s">
        <v>156</v>
      </c>
      <c r="J2" s="84"/>
      <c r="K2" s="84"/>
      <c r="L2" s="84"/>
      <c r="O2" s="84" t="s">
        <v>157</v>
      </c>
      <c r="P2" s="84"/>
      <c r="Q2" s="84"/>
      <c r="R2" s="84"/>
    </row>
    <row r="3" spans="2:18" ht="16.2" customHeight="1" x14ac:dyDescent="0.3">
      <c r="C3" s="2" t="s">
        <v>2</v>
      </c>
      <c r="D3" s="5" t="s">
        <v>5</v>
      </c>
      <c r="E3" s="5" t="s">
        <v>6</v>
      </c>
      <c r="F3" s="5" t="s">
        <v>154</v>
      </c>
      <c r="I3" s="2" t="s">
        <v>2</v>
      </c>
      <c r="J3" s="5" t="s">
        <v>6</v>
      </c>
      <c r="K3" s="5" t="s">
        <v>5</v>
      </c>
      <c r="L3" s="5" t="s">
        <v>154</v>
      </c>
      <c r="O3" s="2" t="s">
        <v>2</v>
      </c>
      <c r="P3" s="5" t="s">
        <v>6</v>
      </c>
      <c r="Q3" s="5" t="s">
        <v>5</v>
      </c>
      <c r="R3" s="5" t="s">
        <v>154</v>
      </c>
    </row>
    <row r="4" spans="2:18" x14ac:dyDescent="0.3">
      <c r="B4" s="82" t="s">
        <v>158</v>
      </c>
      <c r="C4" s="79">
        <v>1</v>
      </c>
      <c r="D4" s="8">
        <v>5.2125784201494199</v>
      </c>
      <c r="E4" s="8">
        <v>11.8711185517688</v>
      </c>
      <c r="F4" s="8">
        <v>0.26</v>
      </c>
      <c r="H4" s="6" t="s">
        <v>158</v>
      </c>
      <c r="I4" s="80">
        <v>1</v>
      </c>
      <c r="J4" s="33">
        <v>0.77228611129563796</v>
      </c>
      <c r="K4" s="33">
        <v>0.25247189691660499</v>
      </c>
      <c r="L4" s="33">
        <v>0.88174524369330798</v>
      </c>
      <c r="N4" s="6" t="s">
        <v>158</v>
      </c>
      <c r="O4" s="80">
        <v>1</v>
      </c>
      <c r="P4" s="81">
        <v>0.437024433046385</v>
      </c>
      <c r="Q4" s="81">
        <v>0.58475260816376995</v>
      </c>
      <c r="R4" s="8">
        <v>1.60744640600966</v>
      </c>
    </row>
    <row r="5" spans="2:18" x14ac:dyDescent="0.3">
      <c r="B5" s="9"/>
      <c r="C5" s="79">
        <v>1</v>
      </c>
      <c r="D5" s="8">
        <v>4.1078489562069498</v>
      </c>
      <c r="E5" s="8">
        <v>8.5563722549626906</v>
      </c>
      <c r="F5" s="8">
        <v>0.36099999999999999</v>
      </c>
      <c r="H5" s="9"/>
      <c r="I5" s="80">
        <v>1</v>
      </c>
      <c r="J5" s="33">
        <v>2.9628889548402499</v>
      </c>
      <c r="K5" s="33">
        <v>0.63636297644240403</v>
      </c>
      <c r="L5" s="33">
        <v>0.58461348648300804</v>
      </c>
      <c r="N5" s="9"/>
      <c r="O5" s="80">
        <v>1</v>
      </c>
      <c r="P5" s="81">
        <v>0.493007931397132</v>
      </c>
      <c r="Q5" s="81">
        <v>0.45347922224044701</v>
      </c>
      <c r="R5" s="8">
        <v>0.59101941371316902</v>
      </c>
    </row>
    <row r="6" spans="2:18" x14ac:dyDescent="0.3">
      <c r="B6" s="9"/>
      <c r="C6" s="79">
        <v>1</v>
      </c>
      <c r="D6" s="8">
        <v>3.2071008061142501</v>
      </c>
      <c r="E6" s="8">
        <v>2.8232805997802402</v>
      </c>
      <c r="F6" s="8">
        <v>0.80500000000000005</v>
      </c>
      <c r="H6" s="9"/>
      <c r="I6" s="80">
        <v>1</v>
      </c>
      <c r="J6" s="33">
        <v>2.5859999999999999</v>
      </c>
      <c r="K6" s="33">
        <v>0.48799999999999999</v>
      </c>
      <c r="L6" s="33">
        <v>0.13680000434180001</v>
      </c>
      <c r="N6" s="9"/>
      <c r="O6" s="80">
        <v>1</v>
      </c>
      <c r="P6" s="81">
        <v>0.61981076310218597</v>
      </c>
      <c r="Q6" s="81">
        <v>0.42855900109976702</v>
      </c>
      <c r="R6" s="8">
        <v>0.69385110345367995</v>
      </c>
    </row>
    <row r="7" spans="2:18" x14ac:dyDescent="0.3">
      <c r="B7" s="9"/>
      <c r="C7" s="7"/>
      <c r="D7" s="51"/>
      <c r="E7" s="51"/>
      <c r="H7" s="9"/>
      <c r="I7" s="32"/>
      <c r="J7" s="33"/>
      <c r="K7" s="33"/>
      <c r="N7" s="9"/>
      <c r="O7" s="32"/>
      <c r="P7" s="33"/>
      <c r="Q7" s="33"/>
    </row>
    <row r="8" spans="2:18" ht="16.2" x14ac:dyDescent="0.3">
      <c r="B8" s="9"/>
      <c r="C8" s="2" t="s">
        <v>2</v>
      </c>
      <c r="D8" s="5" t="s">
        <v>5</v>
      </c>
      <c r="E8" s="5" t="s">
        <v>6</v>
      </c>
      <c r="F8" s="5" t="s">
        <v>154</v>
      </c>
      <c r="H8" s="9"/>
      <c r="I8" s="2" t="s">
        <v>2</v>
      </c>
      <c r="J8" s="5" t="s">
        <v>6</v>
      </c>
      <c r="K8" s="5" t="s">
        <v>5</v>
      </c>
      <c r="L8" s="5" t="s">
        <v>154</v>
      </c>
      <c r="N8" s="9"/>
      <c r="O8" s="2" t="s">
        <v>2</v>
      </c>
      <c r="P8" s="5" t="s">
        <v>6</v>
      </c>
      <c r="Q8" s="5" t="s">
        <v>5</v>
      </c>
      <c r="R8" s="5" t="s">
        <v>154</v>
      </c>
    </row>
    <row r="9" spans="2:18" x14ac:dyDescent="0.3">
      <c r="B9" s="82" t="s">
        <v>159</v>
      </c>
      <c r="C9" s="79">
        <v>1</v>
      </c>
      <c r="D9" s="8">
        <v>2.4395774090752602</v>
      </c>
      <c r="E9" s="8">
        <v>2.7566812265160299</v>
      </c>
      <c r="F9" s="8">
        <v>0.25900000000000001</v>
      </c>
      <c r="H9" s="6" t="s">
        <v>159</v>
      </c>
      <c r="I9" s="80">
        <v>1</v>
      </c>
      <c r="J9" s="33">
        <v>1.7066107159357999</v>
      </c>
      <c r="K9" s="33">
        <v>1.0957797017073601</v>
      </c>
      <c r="L9" s="33">
        <v>0.87104442192245302</v>
      </c>
      <c r="N9" s="6" t="s">
        <v>159</v>
      </c>
      <c r="O9" s="80">
        <v>1</v>
      </c>
      <c r="P9" s="8">
        <v>3.0721023867325301</v>
      </c>
      <c r="Q9" s="81">
        <v>1.30218709167751</v>
      </c>
      <c r="R9" s="8">
        <v>1.07189639646572</v>
      </c>
    </row>
    <row r="10" spans="2:18" ht="14.4" customHeight="1" x14ac:dyDescent="0.3">
      <c r="B10" s="9"/>
      <c r="C10" s="79">
        <v>1</v>
      </c>
      <c r="D10" s="8">
        <v>5.6372299999999997</v>
      </c>
      <c r="E10" s="8">
        <v>3.7654350607751499</v>
      </c>
      <c r="F10" s="8">
        <v>0.68400000000000005</v>
      </c>
      <c r="H10" s="9"/>
      <c r="I10" s="80">
        <v>1</v>
      </c>
      <c r="J10" s="33">
        <v>1.61461070469003</v>
      </c>
      <c r="K10" s="33">
        <v>2.1113413211360101</v>
      </c>
      <c r="L10" s="33">
        <v>0.735284655275937</v>
      </c>
      <c r="N10" s="9"/>
      <c r="O10" s="80">
        <v>1</v>
      </c>
      <c r="P10" s="8">
        <v>2.0830607757831401</v>
      </c>
      <c r="Q10" s="81">
        <v>1.1377390673813399</v>
      </c>
      <c r="R10" s="8">
        <v>0.54610015936337297</v>
      </c>
    </row>
    <row r="11" spans="2:18" x14ac:dyDescent="0.3">
      <c r="B11" s="9"/>
      <c r="C11" s="79">
        <v>1</v>
      </c>
      <c r="D11" s="8">
        <v>2.2341146178403699</v>
      </c>
      <c r="E11" s="8">
        <v>0.94027212541942795</v>
      </c>
      <c r="F11" s="8">
        <v>0.66100000000000003</v>
      </c>
      <c r="H11" s="9"/>
      <c r="I11" s="80">
        <v>1</v>
      </c>
      <c r="J11" s="33">
        <v>2.0619999999999998</v>
      </c>
      <c r="K11" s="33">
        <v>1.085</v>
      </c>
      <c r="L11" s="33">
        <v>0.96164413948815397</v>
      </c>
      <c r="N11" s="9"/>
      <c r="O11" s="80">
        <v>1</v>
      </c>
      <c r="P11" s="8">
        <v>1.98674458624154</v>
      </c>
      <c r="Q11" s="81">
        <v>0.89243518710536796</v>
      </c>
      <c r="R11" s="8">
        <v>0.85035855774882596</v>
      </c>
    </row>
    <row r="12" spans="2:18" x14ac:dyDescent="0.3">
      <c r="B12" s="9"/>
      <c r="C12" s="79"/>
      <c r="D12" s="8"/>
      <c r="E12" s="8"/>
      <c r="F12" s="8"/>
      <c r="H12" s="9"/>
      <c r="I12" s="80"/>
      <c r="J12" s="33"/>
      <c r="K12" s="33"/>
      <c r="L12" s="33"/>
      <c r="N12" s="9"/>
      <c r="O12" s="80"/>
      <c r="P12" s="8"/>
      <c r="Q12" s="81"/>
      <c r="R12" s="8"/>
    </row>
    <row r="13" spans="2:18" x14ac:dyDescent="0.3">
      <c r="D13" s="44" t="s">
        <v>158</v>
      </c>
      <c r="J13" t="s">
        <v>159</v>
      </c>
    </row>
    <row r="14" spans="2:18" x14ac:dyDescent="0.3">
      <c r="C14" t="s">
        <v>160</v>
      </c>
      <c r="D14" t="s">
        <v>161</v>
      </c>
      <c r="E14" t="s">
        <v>162</v>
      </c>
      <c r="I14" t="s">
        <v>160</v>
      </c>
      <c r="J14" t="s">
        <v>161</v>
      </c>
      <c r="K14" s="44" t="s">
        <v>162</v>
      </c>
    </row>
    <row r="15" spans="2:18" x14ac:dyDescent="0.3">
      <c r="C15" s="5" t="s">
        <v>155</v>
      </c>
      <c r="D15" s="5" t="s">
        <v>2</v>
      </c>
      <c r="E15" s="80">
        <v>1</v>
      </c>
      <c r="G15" s="8"/>
      <c r="H15" s="8"/>
      <c r="I15" s="5" t="s">
        <v>155</v>
      </c>
      <c r="J15" s="5" t="s">
        <v>2</v>
      </c>
      <c r="K15" s="98">
        <v>1</v>
      </c>
    </row>
    <row r="16" spans="2:18" x14ac:dyDescent="0.3">
      <c r="C16" s="5" t="s">
        <v>155</v>
      </c>
      <c r="D16" s="5" t="s">
        <v>2</v>
      </c>
      <c r="E16" s="80">
        <v>1</v>
      </c>
      <c r="G16" s="8"/>
      <c r="H16" s="8"/>
      <c r="I16" s="5" t="s">
        <v>155</v>
      </c>
      <c r="J16" s="5" t="s">
        <v>2</v>
      </c>
      <c r="K16" s="98">
        <v>1</v>
      </c>
    </row>
    <row r="17" spans="3:11" x14ac:dyDescent="0.3">
      <c r="C17" s="5" t="s">
        <v>155</v>
      </c>
      <c r="D17" s="5" t="s">
        <v>2</v>
      </c>
      <c r="E17" s="80">
        <v>1</v>
      </c>
      <c r="I17" s="5" t="s">
        <v>155</v>
      </c>
      <c r="J17" s="5" t="s">
        <v>2</v>
      </c>
      <c r="K17" s="98">
        <v>1</v>
      </c>
    </row>
    <row r="18" spans="3:11" x14ac:dyDescent="0.3">
      <c r="C18" s="5" t="s">
        <v>155</v>
      </c>
      <c r="D18" s="5" t="s">
        <v>5</v>
      </c>
      <c r="E18" s="97">
        <v>5.2125784201494199</v>
      </c>
      <c r="I18" s="5" t="s">
        <v>155</v>
      </c>
      <c r="J18" s="5" t="s">
        <v>5</v>
      </c>
      <c r="K18" s="97">
        <v>2.4395774090752602</v>
      </c>
    </row>
    <row r="19" spans="3:11" x14ac:dyDescent="0.3">
      <c r="C19" s="5" t="s">
        <v>155</v>
      </c>
      <c r="D19" s="5" t="s">
        <v>5</v>
      </c>
      <c r="E19" s="97">
        <v>4.1078489562069498</v>
      </c>
      <c r="I19" s="5" t="s">
        <v>155</v>
      </c>
      <c r="J19" s="5" t="s">
        <v>5</v>
      </c>
      <c r="K19" s="97">
        <v>5.6372299999999997</v>
      </c>
    </row>
    <row r="20" spans="3:11" x14ac:dyDescent="0.3">
      <c r="C20" s="5" t="s">
        <v>155</v>
      </c>
      <c r="D20" s="5" t="s">
        <v>5</v>
      </c>
      <c r="E20" s="97">
        <v>3.2071008061142501</v>
      </c>
      <c r="I20" s="5" t="s">
        <v>155</v>
      </c>
      <c r="J20" s="5" t="s">
        <v>5</v>
      </c>
      <c r="K20" s="97">
        <v>2.2341146178403699</v>
      </c>
    </row>
    <row r="21" spans="3:11" x14ac:dyDescent="0.3">
      <c r="C21" s="5" t="s">
        <v>155</v>
      </c>
      <c r="D21" s="5" t="s">
        <v>6</v>
      </c>
      <c r="E21" s="97">
        <v>11.8711185517688</v>
      </c>
      <c r="I21" s="5" t="s">
        <v>155</v>
      </c>
      <c r="J21" s="5" t="s">
        <v>6</v>
      </c>
      <c r="K21" s="97">
        <v>2.7566812265160299</v>
      </c>
    </row>
    <row r="22" spans="3:11" x14ac:dyDescent="0.3">
      <c r="C22" s="5" t="s">
        <v>155</v>
      </c>
      <c r="D22" s="5" t="s">
        <v>6</v>
      </c>
      <c r="E22" s="97">
        <v>8.5563722549626906</v>
      </c>
      <c r="I22" s="5" t="s">
        <v>155</v>
      </c>
      <c r="J22" s="5" t="s">
        <v>6</v>
      </c>
      <c r="K22" s="97">
        <v>3.7654350607751499</v>
      </c>
    </row>
    <row r="23" spans="3:11" x14ac:dyDescent="0.3">
      <c r="C23" s="5" t="s">
        <v>155</v>
      </c>
      <c r="D23" s="5" t="s">
        <v>6</v>
      </c>
      <c r="E23" s="97">
        <v>2.8232805997802402</v>
      </c>
      <c r="I23" s="5" t="s">
        <v>155</v>
      </c>
      <c r="J23" s="5" t="s">
        <v>6</v>
      </c>
      <c r="K23" s="97">
        <v>0.94027212541942795</v>
      </c>
    </row>
    <row r="24" spans="3:11" x14ac:dyDescent="0.3">
      <c r="C24" s="5" t="s">
        <v>155</v>
      </c>
      <c r="D24" s="5" t="s">
        <v>163</v>
      </c>
      <c r="E24" s="97">
        <v>0.26</v>
      </c>
      <c r="I24" s="5" t="s">
        <v>155</v>
      </c>
      <c r="J24" s="5" t="s">
        <v>163</v>
      </c>
      <c r="K24" s="97">
        <v>0.25900000000000001</v>
      </c>
    </row>
    <row r="25" spans="3:11" x14ac:dyDescent="0.3">
      <c r="C25" s="5" t="s">
        <v>155</v>
      </c>
      <c r="D25" s="5" t="s">
        <v>163</v>
      </c>
      <c r="E25" s="97">
        <v>0.36099999999999999</v>
      </c>
      <c r="I25" s="5" t="s">
        <v>155</v>
      </c>
      <c r="J25" s="5" t="s">
        <v>163</v>
      </c>
      <c r="K25" s="97">
        <v>0.68400000000000005</v>
      </c>
    </row>
    <row r="26" spans="3:11" x14ac:dyDescent="0.3">
      <c r="C26" s="5" t="s">
        <v>155</v>
      </c>
      <c r="D26" s="5" t="s">
        <v>163</v>
      </c>
      <c r="E26" s="97">
        <v>0.80500000000000005</v>
      </c>
      <c r="I26" s="5" t="s">
        <v>155</v>
      </c>
      <c r="J26" s="5" t="s">
        <v>163</v>
      </c>
      <c r="K26" s="97">
        <v>0.66100000000000003</v>
      </c>
    </row>
    <row r="27" spans="3:11" x14ac:dyDescent="0.3">
      <c r="C27" s="5" t="s">
        <v>156</v>
      </c>
      <c r="D27" s="5" t="s">
        <v>2</v>
      </c>
      <c r="E27" s="80">
        <v>1</v>
      </c>
      <c r="I27" s="5" t="s">
        <v>156</v>
      </c>
      <c r="J27" s="5" t="s">
        <v>2</v>
      </c>
      <c r="K27" s="80">
        <v>1</v>
      </c>
    </row>
    <row r="28" spans="3:11" x14ac:dyDescent="0.3">
      <c r="C28" s="5" t="s">
        <v>156</v>
      </c>
      <c r="D28" s="5" t="s">
        <v>2</v>
      </c>
      <c r="E28" s="80">
        <v>1</v>
      </c>
      <c r="I28" s="5" t="s">
        <v>156</v>
      </c>
      <c r="J28" s="5" t="s">
        <v>2</v>
      </c>
      <c r="K28" s="80">
        <v>1</v>
      </c>
    </row>
    <row r="29" spans="3:11" x14ac:dyDescent="0.3">
      <c r="C29" s="5" t="s">
        <v>156</v>
      </c>
      <c r="D29" s="5" t="s">
        <v>2</v>
      </c>
      <c r="E29" s="80">
        <v>1</v>
      </c>
      <c r="I29" s="5" t="s">
        <v>156</v>
      </c>
      <c r="J29" s="5" t="s">
        <v>2</v>
      </c>
      <c r="K29" s="80">
        <v>1</v>
      </c>
    </row>
    <row r="30" spans="3:11" x14ac:dyDescent="0.3">
      <c r="C30" s="5" t="s">
        <v>156</v>
      </c>
      <c r="D30" s="5" t="s">
        <v>5</v>
      </c>
      <c r="E30" s="33">
        <v>0.25247189691660499</v>
      </c>
      <c r="I30" s="5" t="s">
        <v>156</v>
      </c>
      <c r="J30" s="5" t="s">
        <v>5</v>
      </c>
      <c r="K30" s="33">
        <v>1.0957797017073601</v>
      </c>
    </row>
    <row r="31" spans="3:11" x14ac:dyDescent="0.3">
      <c r="C31" s="5" t="s">
        <v>156</v>
      </c>
      <c r="D31" s="5" t="s">
        <v>5</v>
      </c>
      <c r="E31" s="33">
        <v>0.63636297644240403</v>
      </c>
      <c r="I31" s="5" t="s">
        <v>156</v>
      </c>
      <c r="J31" s="5" t="s">
        <v>5</v>
      </c>
      <c r="K31" s="33">
        <v>2.1113413211360101</v>
      </c>
    </row>
    <row r="32" spans="3:11" x14ac:dyDescent="0.3">
      <c r="C32" s="5" t="s">
        <v>156</v>
      </c>
      <c r="D32" s="5" t="s">
        <v>5</v>
      </c>
      <c r="E32" s="33">
        <v>0.48799999999999999</v>
      </c>
      <c r="I32" s="5" t="s">
        <v>156</v>
      </c>
      <c r="J32" s="5" t="s">
        <v>5</v>
      </c>
      <c r="K32" s="33">
        <v>1.085</v>
      </c>
    </row>
    <row r="33" spans="3:11" x14ac:dyDescent="0.3">
      <c r="C33" s="5" t="s">
        <v>156</v>
      </c>
      <c r="D33" s="5" t="s">
        <v>6</v>
      </c>
      <c r="E33" s="33">
        <v>0.77228611129563796</v>
      </c>
      <c r="I33" s="5" t="s">
        <v>156</v>
      </c>
      <c r="J33" s="5" t="s">
        <v>6</v>
      </c>
      <c r="K33" s="33">
        <v>1.7066107159357999</v>
      </c>
    </row>
    <row r="34" spans="3:11" x14ac:dyDescent="0.3">
      <c r="C34" s="5" t="s">
        <v>156</v>
      </c>
      <c r="D34" s="5" t="s">
        <v>6</v>
      </c>
      <c r="E34" s="33">
        <v>2.9628889548402499</v>
      </c>
      <c r="I34" s="5" t="s">
        <v>156</v>
      </c>
      <c r="J34" s="5" t="s">
        <v>6</v>
      </c>
      <c r="K34" s="33">
        <v>1.61461070469003</v>
      </c>
    </row>
    <row r="35" spans="3:11" x14ac:dyDescent="0.3">
      <c r="C35" s="5" t="s">
        <v>156</v>
      </c>
      <c r="D35" s="5" t="s">
        <v>6</v>
      </c>
      <c r="E35" s="33">
        <v>2.5859999999999999</v>
      </c>
      <c r="I35" s="5" t="s">
        <v>156</v>
      </c>
      <c r="J35" s="5" t="s">
        <v>6</v>
      </c>
      <c r="K35" s="33">
        <v>2.0619999999999998</v>
      </c>
    </row>
    <row r="36" spans="3:11" x14ac:dyDescent="0.3">
      <c r="C36" s="5" t="s">
        <v>156</v>
      </c>
      <c r="D36" s="5" t="s">
        <v>163</v>
      </c>
      <c r="E36" s="33">
        <v>0.88174524369330798</v>
      </c>
      <c r="I36" s="5" t="s">
        <v>156</v>
      </c>
      <c r="J36" s="5" t="s">
        <v>163</v>
      </c>
      <c r="K36" s="33">
        <v>0.87104442192245302</v>
      </c>
    </row>
    <row r="37" spans="3:11" x14ac:dyDescent="0.3">
      <c r="C37" s="5" t="s">
        <v>156</v>
      </c>
      <c r="D37" s="5" t="s">
        <v>163</v>
      </c>
      <c r="E37" s="33">
        <v>0.58461348648300804</v>
      </c>
      <c r="I37" s="5" t="s">
        <v>156</v>
      </c>
      <c r="J37" s="5" t="s">
        <v>163</v>
      </c>
      <c r="K37" s="33">
        <v>0.735284655275937</v>
      </c>
    </row>
    <row r="38" spans="3:11" x14ac:dyDescent="0.3">
      <c r="C38" s="5" t="s">
        <v>156</v>
      </c>
      <c r="D38" s="5" t="s">
        <v>163</v>
      </c>
      <c r="E38" s="33">
        <v>0.13680000434180001</v>
      </c>
      <c r="I38" s="5" t="s">
        <v>156</v>
      </c>
      <c r="J38" s="5" t="s">
        <v>163</v>
      </c>
      <c r="K38" s="33">
        <v>0.96164413948815397</v>
      </c>
    </row>
    <row r="39" spans="3:11" x14ac:dyDescent="0.3">
      <c r="C39" s="5" t="s">
        <v>157</v>
      </c>
      <c r="D39" s="5" t="s">
        <v>2</v>
      </c>
      <c r="E39" s="80">
        <v>1</v>
      </c>
      <c r="I39" s="5" t="s">
        <v>157</v>
      </c>
      <c r="J39" s="5" t="s">
        <v>2</v>
      </c>
      <c r="K39" s="80">
        <v>1</v>
      </c>
    </row>
    <row r="40" spans="3:11" x14ac:dyDescent="0.3">
      <c r="C40" s="5" t="s">
        <v>157</v>
      </c>
      <c r="D40" s="5" t="s">
        <v>2</v>
      </c>
      <c r="E40" s="80">
        <v>1</v>
      </c>
      <c r="I40" s="5" t="s">
        <v>157</v>
      </c>
      <c r="J40" s="5" t="s">
        <v>2</v>
      </c>
      <c r="K40" s="80">
        <v>1</v>
      </c>
    </row>
    <row r="41" spans="3:11" x14ac:dyDescent="0.3">
      <c r="C41" s="5" t="s">
        <v>157</v>
      </c>
      <c r="D41" s="5" t="s">
        <v>2</v>
      </c>
      <c r="E41" s="80">
        <v>1</v>
      </c>
      <c r="I41" s="5" t="s">
        <v>157</v>
      </c>
      <c r="J41" s="5" t="s">
        <v>2</v>
      </c>
      <c r="K41" s="80">
        <v>1</v>
      </c>
    </row>
    <row r="42" spans="3:11" x14ac:dyDescent="0.3">
      <c r="C42" s="5" t="s">
        <v>157</v>
      </c>
      <c r="D42" s="5" t="s">
        <v>5</v>
      </c>
      <c r="E42" s="33">
        <v>0.58475260816376995</v>
      </c>
      <c r="I42" s="5" t="s">
        <v>157</v>
      </c>
      <c r="J42" s="5" t="s">
        <v>5</v>
      </c>
      <c r="K42" s="33">
        <v>1.30218709167751</v>
      </c>
    </row>
    <row r="43" spans="3:11" x14ac:dyDescent="0.3">
      <c r="C43" s="5" t="s">
        <v>157</v>
      </c>
      <c r="D43" s="5" t="s">
        <v>5</v>
      </c>
      <c r="E43" s="33">
        <v>0.45347922224044701</v>
      </c>
      <c r="I43" s="5" t="s">
        <v>157</v>
      </c>
      <c r="J43" s="5" t="s">
        <v>5</v>
      </c>
      <c r="K43" s="33">
        <v>1.1377390673813399</v>
      </c>
    </row>
    <row r="44" spans="3:11" x14ac:dyDescent="0.3">
      <c r="C44" s="5" t="s">
        <v>157</v>
      </c>
      <c r="D44" s="5" t="s">
        <v>5</v>
      </c>
      <c r="E44" s="33">
        <v>0.42855900109976702</v>
      </c>
      <c r="I44" s="5" t="s">
        <v>157</v>
      </c>
      <c r="J44" s="5" t="s">
        <v>5</v>
      </c>
      <c r="K44" s="33">
        <v>0.89243518710536796</v>
      </c>
    </row>
    <row r="45" spans="3:11" x14ac:dyDescent="0.3">
      <c r="C45" s="5" t="s">
        <v>157</v>
      </c>
      <c r="D45" s="5" t="s">
        <v>6</v>
      </c>
      <c r="E45" s="33">
        <v>0.437024433046385</v>
      </c>
      <c r="I45" s="5" t="s">
        <v>157</v>
      </c>
      <c r="J45" s="5" t="s">
        <v>6</v>
      </c>
      <c r="K45" s="97">
        <v>3.0721023867325301</v>
      </c>
    </row>
    <row r="46" spans="3:11" x14ac:dyDescent="0.3">
      <c r="C46" s="5" t="s">
        <v>157</v>
      </c>
      <c r="D46" s="5" t="s">
        <v>6</v>
      </c>
      <c r="E46" s="33">
        <v>0.493007931397132</v>
      </c>
      <c r="I46" s="5" t="s">
        <v>157</v>
      </c>
      <c r="J46" s="5" t="s">
        <v>6</v>
      </c>
      <c r="K46" s="97">
        <v>2.0830607757831401</v>
      </c>
    </row>
    <row r="47" spans="3:11" x14ac:dyDescent="0.3">
      <c r="C47" s="5" t="s">
        <v>157</v>
      </c>
      <c r="D47" s="5" t="s">
        <v>6</v>
      </c>
      <c r="E47" s="33">
        <v>0.61981076310218597</v>
      </c>
      <c r="I47" s="5" t="s">
        <v>157</v>
      </c>
      <c r="J47" s="5" t="s">
        <v>6</v>
      </c>
      <c r="K47" s="97">
        <v>1.98674458624154</v>
      </c>
    </row>
    <row r="48" spans="3:11" x14ac:dyDescent="0.3">
      <c r="C48" s="5" t="s">
        <v>157</v>
      </c>
      <c r="D48" s="5" t="s">
        <v>163</v>
      </c>
      <c r="E48" s="97">
        <v>1.60744640600966</v>
      </c>
      <c r="I48" s="5" t="s">
        <v>157</v>
      </c>
      <c r="J48" s="5" t="s">
        <v>163</v>
      </c>
      <c r="K48" s="97">
        <v>1.07189639646572</v>
      </c>
    </row>
    <row r="49" spans="3:11" x14ac:dyDescent="0.3">
      <c r="C49" s="5" t="s">
        <v>157</v>
      </c>
      <c r="D49" s="5" t="s">
        <v>163</v>
      </c>
      <c r="E49" s="97">
        <v>0.59101941371316902</v>
      </c>
      <c r="I49" s="5" t="s">
        <v>157</v>
      </c>
      <c r="J49" s="5" t="s">
        <v>163</v>
      </c>
      <c r="K49" s="97">
        <v>0.54610015936337297</v>
      </c>
    </row>
    <row r="50" spans="3:11" x14ac:dyDescent="0.3">
      <c r="C50" s="5" t="s">
        <v>157</v>
      </c>
      <c r="D50" s="5" t="s">
        <v>163</v>
      </c>
      <c r="E50" s="97">
        <v>0.69385110345367995</v>
      </c>
      <c r="I50" s="5" t="s">
        <v>157</v>
      </c>
      <c r="J50" s="5" t="s">
        <v>163</v>
      </c>
      <c r="K50" s="97">
        <v>0.85035855774882596</v>
      </c>
    </row>
  </sheetData>
  <mergeCells count="3">
    <mergeCell ref="O2:R2"/>
    <mergeCell ref="I2:L2"/>
    <mergeCell ref="C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7"/>
  <sheetViews>
    <sheetView workbookViewId="0">
      <selection activeCell="A2" sqref="A2:K17"/>
    </sheetView>
  </sheetViews>
  <sheetFormatPr defaultColWidth="11.5546875" defaultRowHeight="14.4" x14ac:dyDescent="0.3"/>
  <sheetData>
    <row r="1" spans="1:23" x14ac:dyDescent="0.3">
      <c r="A1" s="2"/>
      <c r="B1" s="85" t="s">
        <v>15</v>
      </c>
      <c r="C1" s="85"/>
      <c r="D1" s="85"/>
      <c r="E1" s="85"/>
      <c r="F1" s="85"/>
      <c r="G1" s="85"/>
      <c r="H1" s="85"/>
      <c r="I1" s="85"/>
      <c r="J1" s="85"/>
      <c r="K1" s="85"/>
      <c r="M1" s="3" t="s">
        <v>1</v>
      </c>
      <c r="R1" s="85" t="s">
        <v>15</v>
      </c>
      <c r="S1" s="85"/>
      <c r="T1" s="85"/>
      <c r="U1" s="85"/>
      <c r="V1" s="85"/>
      <c r="W1" s="85"/>
    </row>
    <row r="2" spans="1:23" ht="15" x14ac:dyDescent="0.3">
      <c r="A2" s="4"/>
      <c r="B2" s="2" t="s">
        <v>2</v>
      </c>
      <c r="C2" s="5" t="s">
        <v>3</v>
      </c>
      <c r="D2" s="5"/>
      <c r="E2" s="5" t="s">
        <v>4</v>
      </c>
      <c r="F2" s="5"/>
      <c r="G2" s="5" t="s">
        <v>5</v>
      </c>
      <c r="H2" s="5"/>
      <c r="I2" s="5" t="s">
        <v>6</v>
      </c>
      <c r="J2" s="5"/>
      <c r="K2" s="5" t="s">
        <v>7</v>
      </c>
      <c r="R2" s="5" t="s">
        <v>2</v>
      </c>
      <c r="S2" s="5" t="s">
        <v>3</v>
      </c>
      <c r="T2" s="5" t="s">
        <v>4</v>
      </c>
      <c r="U2" s="5" t="s">
        <v>5</v>
      </c>
      <c r="V2" s="5" t="s">
        <v>6</v>
      </c>
      <c r="W2" s="5" t="s">
        <v>7</v>
      </c>
    </row>
    <row r="3" spans="1:23" x14ac:dyDescent="0.3">
      <c r="A3" s="6" t="s">
        <v>8</v>
      </c>
      <c r="B3" s="7">
        <v>1</v>
      </c>
      <c r="C3" s="8">
        <v>0.927295272687088</v>
      </c>
      <c r="D3" s="83" t="s">
        <v>16</v>
      </c>
      <c r="E3" s="8">
        <v>1.2477779422166799</v>
      </c>
      <c r="F3" s="83" t="s">
        <v>17</v>
      </c>
      <c r="G3" s="8">
        <v>1.96952136195675</v>
      </c>
      <c r="H3" s="86" t="s">
        <v>18</v>
      </c>
      <c r="I3" s="8">
        <v>2.1213631018997501</v>
      </c>
      <c r="J3" s="83" t="s">
        <v>19</v>
      </c>
      <c r="K3" s="8">
        <v>1.3658544832588799</v>
      </c>
      <c r="L3" s="89" t="s">
        <v>20</v>
      </c>
      <c r="M3" s="90" t="s">
        <v>21</v>
      </c>
      <c r="Q3" s="6" t="s">
        <v>8</v>
      </c>
      <c r="R3" s="30">
        <v>1</v>
      </c>
      <c r="S3" s="23">
        <f>C6</f>
        <v>0.85188398309682667</v>
      </c>
      <c r="T3" s="23">
        <f>E6</f>
        <v>0.89376749261520272</v>
      </c>
      <c r="U3" s="23">
        <f>G6</f>
        <v>1.8816808167367398</v>
      </c>
      <c r="V3" s="23">
        <f>I6</f>
        <v>1.81632637894775</v>
      </c>
      <c r="W3" s="23">
        <f>K6</f>
        <v>1.1339475959511347</v>
      </c>
    </row>
    <row r="4" spans="1:23" x14ac:dyDescent="0.3">
      <c r="A4" s="9"/>
      <c r="B4" s="7">
        <v>1</v>
      </c>
      <c r="C4" s="8">
        <v>0.80058938461796803</v>
      </c>
      <c r="D4" s="83"/>
      <c r="E4" s="8">
        <v>0.81296581813051605</v>
      </c>
      <c r="F4" s="83"/>
      <c r="G4" s="8">
        <v>2.1593814795211501</v>
      </c>
      <c r="H4" s="87"/>
      <c r="I4" s="8">
        <v>1.3147042594893801</v>
      </c>
      <c r="J4" s="83"/>
      <c r="K4" s="8">
        <v>1.0662766352263</v>
      </c>
      <c r="L4" s="89"/>
      <c r="M4" s="90"/>
      <c r="Q4" s="6" t="s">
        <v>11</v>
      </c>
      <c r="R4">
        <v>1</v>
      </c>
      <c r="S4" s="23">
        <f>C11</f>
        <v>0.9428681464074633</v>
      </c>
      <c r="T4" s="23">
        <f>E11</f>
        <v>0.96410564105883623</v>
      </c>
      <c r="U4" s="23">
        <f>G11</f>
        <v>0.4889302771679947</v>
      </c>
      <c r="V4" s="23">
        <f>I11</f>
        <v>0.51661437584856762</v>
      </c>
      <c r="W4" s="23">
        <f>K11</f>
        <v>1.2643737170573899</v>
      </c>
    </row>
    <row r="5" spans="1:23" x14ac:dyDescent="0.3">
      <c r="A5" s="9"/>
      <c r="B5" s="7">
        <v>1</v>
      </c>
      <c r="C5" s="8">
        <v>0.82776729198542398</v>
      </c>
      <c r="D5" s="83"/>
      <c r="E5" s="8">
        <v>0.62055871749841196</v>
      </c>
      <c r="F5" s="83"/>
      <c r="G5" s="8">
        <v>1.51613960873232</v>
      </c>
      <c r="H5" s="88"/>
      <c r="I5" s="8">
        <v>2.0129117754541199</v>
      </c>
      <c r="J5" s="83"/>
      <c r="K5" s="8">
        <v>0.96971166936822395</v>
      </c>
      <c r="L5" s="89"/>
      <c r="M5" s="90"/>
      <c r="Q5" s="6" t="s">
        <v>12</v>
      </c>
      <c r="R5">
        <v>1</v>
      </c>
      <c r="S5" s="23">
        <f>C16</f>
        <v>1.1363819106344695</v>
      </c>
      <c r="T5" s="23">
        <f>E16</f>
        <v>0.82278503785930635</v>
      </c>
      <c r="U5" s="23">
        <f>G16</f>
        <v>1.1107871153880726</v>
      </c>
      <c r="V5" s="23">
        <f>I16</f>
        <v>2.3806359162524036</v>
      </c>
      <c r="W5" s="23">
        <f>K16</f>
        <v>1.2513874246589276</v>
      </c>
    </row>
    <row r="6" spans="1:23" x14ac:dyDescent="0.3">
      <c r="A6" s="10" t="s">
        <v>9</v>
      </c>
      <c r="B6" s="11">
        <f>AVERAGE(B3:B5)</f>
        <v>1</v>
      </c>
      <c r="C6" s="12">
        <f t="shared" ref="C6:K6" si="0">AVERAGE(C3:C5)</f>
        <v>0.85188398309682667</v>
      </c>
      <c r="D6" s="43" t="s">
        <v>40</v>
      </c>
      <c r="E6" s="12">
        <f t="shared" si="0"/>
        <v>0.89376749261520272</v>
      </c>
      <c r="F6" s="43" t="s">
        <v>40</v>
      </c>
      <c r="G6" s="26">
        <f t="shared" si="0"/>
        <v>1.8816808167367398</v>
      </c>
      <c r="H6" s="43" t="s">
        <v>41</v>
      </c>
      <c r="I6" s="26">
        <f t="shared" si="0"/>
        <v>1.81632637894775</v>
      </c>
      <c r="J6" s="43" t="s">
        <v>40</v>
      </c>
      <c r="K6" s="12">
        <f t="shared" si="0"/>
        <v>1.1339475959511347</v>
      </c>
      <c r="L6" s="44" t="s">
        <v>40</v>
      </c>
      <c r="M6" s="44" t="s">
        <v>40</v>
      </c>
      <c r="Q6" s="6" t="s">
        <v>13</v>
      </c>
      <c r="R6">
        <v>1</v>
      </c>
      <c r="S6" s="23">
        <f>C21</f>
        <v>1.2422219213387333</v>
      </c>
      <c r="T6" s="23">
        <f>E21</f>
        <v>1.1939975747301166</v>
      </c>
      <c r="U6" s="23">
        <f>G21</f>
        <v>0.646953145735782</v>
      </c>
      <c r="V6" s="23">
        <f>I21</f>
        <v>0.62276387153154467</v>
      </c>
      <c r="W6" s="23">
        <f>K21</f>
        <v>1.0010438041424861</v>
      </c>
    </row>
    <row r="7" spans="1:23" x14ac:dyDescent="0.3">
      <c r="A7" s="10" t="s">
        <v>10</v>
      </c>
      <c r="B7" s="14">
        <f>_xlfn.STDEV.P(B3:B5)</f>
        <v>0</v>
      </c>
      <c r="C7" s="12">
        <f t="shared" ref="C7:K7" si="1">_xlfn.STDEV.P(C3:C5)</f>
        <v>5.4465931923654176E-2</v>
      </c>
      <c r="D7" s="43"/>
      <c r="E7" s="12">
        <f t="shared" si="1"/>
        <v>0.2623581164663969</v>
      </c>
      <c r="F7" s="43"/>
      <c r="G7" s="27">
        <f t="shared" si="1"/>
        <v>0.26984810186768821</v>
      </c>
      <c r="H7" s="43"/>
      <c r="I7" s="27">
        <f t="shared" si="1"/>
        <v>0.35745301378818478</v>
      </c>
      <c r="J7" s="43"/>
      <c r="K7" s="12">
        <f t="shared" si="1"/>
        <v>0.16865507491794787</v>
      </c>
      <c r="L7" s="44"/>
      <c r="M7" s="44"/>
      <c r="Q7" s="6" t="s">
        <v>14</v>
      </c>
      <c r="R7">
        <v>1</v>
      </c>
      <c r="S7" s="23">
        <f>C26</f>
        <v>1.2908249390264499</v>
      </c>
      <c r="T7" s="23">
        <f>E26</f>
        <v>0.9422806839422927</v>
      </c>
      <c r="U7" s="23">
        <f>G26</f>
        <v>0.57592502260226064</v>
      </c>
      <c r="V7" s="23">
        <f>I26</f>
        <v>1.2676764715751467</v>
      </c>
      <c r="W7" s="23">
        <f>K26</f>
        <v>0.77393914362303506</v>
      </c>
    </row>
    <row r="8" spans="1:23" x14ac:dyDescent="0.3">
      <c r="A8" s="6" t="s">
        <v>11</v>
      </c>
      <c r="B8" s="7">
        <v>1</v>
      </c>
      <c r="C8" s="8">
        <v>1.4017704566731699</v>
      </c>
      <c r="D8" s="83" t="s">
        <v>22</v>
      </c>
      <c r="E8" s="8">
        <v>1.60744640600966</v>
      </c>
      <c r="F8" s="83" t="s">
        <v>23</v>
      </c>
      <c r="G8" s="8">
        <v>0.58475260816376995</v>
      </c>
      <c r="H8" s="86" t="s">
        <v>24</v>
      </c>
      <c r="I8" s="8">
        <v>0.437024433046385</v>
      </c>
      <c r="J8" s="86" t="s">
        <v>25</v>
      </c>
      <c r="K8" s="8">
        <v>1.32955070057005</v>
      </c>
      <c r="L8" s="91" t="s">
        <v>26</v>
      </c>
      <c r="M8" s="90" t="s">
        <v>27</v>
      </c>
    </row>
    <row r="9" spans="1:23" x14ac:dyDescent="0.3">
      <c r="A9" s="9"/>
      <c r="B9" s="7">
        <v>1</v>
      </c>
      <c r="C9" s="8">
        <v>0.59715926130908803</v>
      </c>
      <c r="D9" s="83"/>
      <c r="E9" s="8">
        <v>0.59101941371316902</v>
      </c>
      <c r="F9" s="83"/>
      <c r="G9" s="8">
        <v>0.45347922224044701</v>
      </c>
      <c r="H9" s="87"/>
      <c r="I9" s="8">
        <v>0.493007931397132</v>
      </c>
      <c r="J9" s="87"/>
      <c r="K9" s="8">
        <v>1.19300104567975</v>
      </c>
      <c r="L9" s="92"/>
      <c r="M9" s="90"/>
    </row>
    <row r="10" spans="1:23" x14ac:dyDescent="0.3">
      <c r="A10" s="9"/>
      <c r="B10" s="7">
        <v>1</v>
      </c>
      <c r="C10" s="8">
        <v>0.82967472124013197</v>
      </c>
      <c r="D10" s="83"/>
      <c r="E10" s="8">
        <v>0.69385110345367995</v>
      </c>
      <c r="F10" s="83"/>
      <c r="G10" s="8">
        <v>0.42855900109976702</v>
      </c>
      <c r="H10" s="88"/>
      <c r="I10" s="8">
        <v>0.61981076310218597</v>
      </c>
      <c r="J10" s="88"/>
      <c r="K10" s="8">
        <v>1.2705694049223699</v>
      </c>
      <c r="L10" s="93"/>
      <c r="M10" s="90"/>
    </row>
    <row r="11" spans="1:23" x14ac:dyDescent="0.3">
      <c r="A11" s="10" t="s">
        <v>9</v>
      </c>
      <c r="B11" s="14">
        <f>AVERAGE(B8:B10)</f>
        <v>1</v>
      </c>
      <c r="C11" s="15">
        <f t="shared" ref="C11:K11" si="2">AVERAGE(C8:C10)</f>
        <v>0.9428681464074633</v>
      </c>
      <c r="D11" s="43" t="s">
        <v>40</v>
      </c>
      <c r="E11" s="15">
        <f t="shared" si="2"/>
        <v>0.96410564105883623</v>
      </c>
      <c r="F11" s="43" t="s">
        <v>40</v>
      </c>
      <c r="G11" s="17">
        <f t="shared" si="2"/>
        <v>0.4889302771679947</v>
      </c>
      <c r="H11" s="43" t="s">
        <v>39</v>
      </c>
      <c r="I11" s="17">
        <f t="shared" si="2"/>
        <v>0.51661437584856762</v>
      </c>
      <c r="J11" s="43" t="s">
        <v>41</v>
      </c>
      <c r="K11" s="15">
        <f t="shared" si="2"/>
        <v>1.2643737170573899</v>
      </c>
      <c r="L11" s="44" t="s">
        <v>41</v>
      </c>
      <c r="M11" s="44" t="s">
        <v>40</v>
      </c>
    </row>
    <row r="12" spans="1:23" x14ac:dyDescent="0.3">
      <c r="A12" s="10" t="s">
        <v>10</v>
      </c>
      <c r="B12" s="14">
        <f>_xlfn.STDEV.P(B8:B10)</f>
        <v>0</v>
      </c>
      <c r="C12" s="15">
        <f t="shared" ref="C12:K12" si="3">_xlfn.STDEV.P(C8:C10)</f>
        <v>0.33809205605587983</v>
      </c>
      <c r="D12" s="43"/>
      <c r="E12" s="15">
        <f t="shared" si="3"/>
        <v>0.45684358664598823</v>
      </c>
      <c r="F12" s="43"/>
      <c r="G12" s="18">
        <f t="shared" si="3"/>
        <v>6.8516147456994858E-2</v>
      </c>
      <c r="H12" s="43"/>
      <c r="I12" s="18">
        <f t="shared" si="3"/>
        <v>7.6466370728340893E-2</v>
      </c>
      <c r="J12" s="43"/>
      <c r="K12" s="15">
        <f t="shared" si="3"/>
        <v>5.5918047019754447E-2</v>
      </c>
      <c r="L12" s="44"/>
    </row>
    <row r="13" spans="1:23" x14ac:dyDescent="0.3">
      <c r="A13" s="6" t="s">
        <v>12</v>
      </c>
      <c r="B13" s="7">
        <v>1</v>
      </c>
      <c r="C13" s="8">
        <v>1.1655885405953399</v>
      </c>
      <c r="D13" s="83" t="s">
        <v>28</v>
      </c>
      <c r="E13" s="8">
        <v>1.07189639646572</v>
      </c>
      <c r="F13" s="83" t="s">
        <v>29</v>
      </c>
      <c r="G13" s="8">
        <v>1.30218709167751</v>
      </c>
      <c r="H13" s="83" t="s">
        <v>30</v>
      </c>
      <c r="I13" s="8">
        <v>3.0721023867325301</v>
      </c>
      <c r="J13" s="83" t="s">
        <v>104</v>
      </c>
      <c r="K13" s="8">
        <v>1.39694588128522</v>
      </c>
      <c r="L13" s="89" t="s">
        <v>31</v>
      </c>
      <c r="M13" s="90" t="s">
        <v>32</v>
      </c>
    </row>
    <row r="14" spans="1:23" x14ac:dyDescent="0.3">
      <c r="A14" s="9"/>
      <c r="B14" s="7">
        <v>1</v>
      </c>
      <c r="C14" s="8">
        <v>0.93458737408873904</v>
      </c>
      <c r="D14" s="83"/>
      <c r="E14" s="8">
        <v>0.54610015936337297</v>
      </c>
      <c r="F14" s="83"/>
      <c r="G14" s="8">
        <v>1.1377390673813399</v>
      </c>
      <c r="H14" s="83"/>
      <c r="I14" s="8">
        <v>2.0830607757831401</v>
      </c>
      <c r="J14" s="83"/>
      <c r="K14" s="8">
        <v>1.39376183729615</v>
      </c>
      <c r="L14" s="89"/>
      <c r="M14" s="90"/>
    </row>
    <row r="15" spans="1:23" x14ac:dyDescent="0.3">
      <c r="A15" s="9"/>
      <c r="B15" s="7">
        <v>1</v>
      </c>
      <c r="C15" s="8">
        <v>1.30896981721933</v>
      </c>
      <c r="D15" s="83"/>
      <c r="E15" s="8">
        <v>0.85035855774882596</v>
      </c>
      <c r="F15" s="83"/>
      <c r="G15" s="8">
        <v>0.89243518710536796</v>
      </c>
      <c r="H15" s="83"/>
      <c r="I15" s="8">
        <v>1.98674458624154</v>
      </c>
      <c r="J15" s="83"/>
      <c r="K15" s="8">
        <v>0.96345455539541303</v>
      </c>
      <c r="L15" s="89"/>
      <c r="M15" s="90"/>
    </row>
    <row r="16" spans="1:23" x14ac:dyDescent="0.3">
      <c r="A16" s="10" t="s">
        <v>9</v>
      </c>
      <c r="B16" s="14">
        <f>AVERAGE(B13:B15)</f>
        <v>1</v>
      </c>
      <c r="C16" s="15">
        <f t="shared" ref="C16:K16" si="4">AVERAGE(C13:C15)</f>
        <v>1.1363819106344695</v>
      </c>
      <c r="D16" s="43" t="s">
        <v>40</v>
      </c>
      <c r="E16" s="15">
        <f t="shared" si="4"/>
        <v>0.82278503785930635</v>
      </c>
      <c r="F16" s="43" t="s">
        <v>40</v>
      </c>
      <c r="G16" s="15">
        <f t="shared" si="4"/>
        <v>1.1107871153880726</v>
      </c>
      <c r="H16" s="43" t="s">
        <v>40</v>
      </c>
      <c r="I16" s="19">
        <f t="shared" si="4"/>
        <v>2.3806359162524036</v>
      </c>
      <c r="J16" s="43" t="s">
        <v>41</v>
      </c>
      <c r="K16" s="15">
        <f t="shared" si="4"/>
        <v>1.2513874246589276</v>
      </c>
      <c r="L16" s="44" t="s">
        <v>40</v>
      </c>
      <c r="M16" s="44" t="s">
        <v>40</v>
      </c>
    </row>
    <row r="17" spans="1:13" x14ac:dyDescent="0.3">
      <c r="A17" s="10" t="s">
        <v>10</v>
      </c>
      <c r="B17" s="14">
        <f>_xlfn.STDEV.P(B13:B15)</f>
        <v>0</v>
      </c>
      <c r="C17" s="15">
        <f t="shared" ref="C17:K17" si="5">_xlfn.STDEV.P(C13:C15)</f>
        <v>0.15422996651399373</v>
      </c>
      <c r="D17" s="16"/>
      <c r="E17" s="15">
        <f t="shared" si="5"/>
        <v>0.21553908382946885</v>
      </c>
      <c r="F17" s="16"/>
      <c r="G17" s="15">
        <f t="shared" si="5"/>
        <v>0.16836262770640847</v>
      </c>
      <c r="H17" s="16"/>
      <c r="I17" s="20">
        <f t="shared" si="5"/>
        <v>0.49051918884697066</v>
      </c>
      <c r="J17" s="16"/>
      <c r="K17" s="15">
        <f t="shared" si="5"/>
        <v>0.20360343388684427</v>
      </c>
    </row>
    <row r="18" spans="1:13" x14ac:dyDescent="0.3">
      <c r="A18" s="6" t="s">
        <v>13</v>
      </c>
      <c r="B18" s="7">
        <v>1</v>
      </c>
      <c r="C18" s="8">
        <v>1.0419836389744099</v>
      </c>
      <c r="D18" s="83" t="s">
        <v>33</v>
      </c>
      <c r="E18" s="8">
        <v>1.0457765716071401</v>
      </c>
      <c r="F18" s="83" t="s">
        <v>34</v>
      </c>
      <c r="G18" s="28">
        <v>0.61332019785104896</v>
      </c>
      <c r="H18" s="86" t="s">
        <v>35</v>
      </c>
      <c r="I18" s="8">
        <v>0.63487595326824597</v>
      </c>
      <c r="J18" s="86" t="s">
        <v>36</v>
      </c>
      <c r="K18" s="8">
        <v>0.764615429459783</v>
      </c>
      <c r="L18" s="89" t="s">
        <v>37</v>
      </c>
      <c r="M18" s="90" t="s">
        <v>38</v>
      </c>
    </row>
    <row r="19" spans="1:13" x14ac:dyDescent="0.3">
      <c r="A19" s="9"/>
      <c r="B19" s="7">
        <v>1</v>
      </c>
      <c r="C19" s="8">
        <v>1.2108549759043601</v>
      </c>
      <c r="D19" s="83"/>
      <c r="E19" s="8">
        <v>1.0009959408378799</v>
      </c>
      <c r="F19" s="83"/>
      <c r="G19" s="28">
        <v>0.72583519253423701</v>
      </c>
      <c r="H19" s="87"/>
      <c r="I19" s="8">
        <v>0.61367601406778605</v>
      </c>
      <c r="J19" s="87"/>
      <c r="K19" s="8">
        <v>0.94965304909191495</v>
      </c>
      <c r="L19" s="89"/>
      <c r="M19" s="90"/>
    </row>
    <row r="20" spans="1:13" x14ac:dyDescent="0.3">
      <c r="A20" s="9"/>
      <c r="B20" s="7">
        <v>1</v>
      </c>
      <c r="C20" s="8">
        <v>1.47382714913743</v>
      </c>
      <c r="D20" s="83"/>
      <c r="E20" s="8">
        <v>1.53522021174533</v>
      </c>
      <c r="F20" s="83"/>
      <c r="G20" s="29">
        <v>0.60170404682206002</v>
      </c>
      <c r="H20" s="88"/>
      <c r="I20" s="8">
        <v>0.61973964725860198</v>
      </c>
      <c r="J20" s="88"/>
      <c r="K20" s="8">
        <v>1.28886293387576</v>
      </c>
      <c r="L20" s="89"/>
      <c r="M20" s="90"/>
    </row>
    <row r="21" spans="1:13" x14ac:dyDescent="0.3">
      <c r="A21" s="10" t="s">
        <v>9</v>
      </c>
      <c r="B21" s="14">
        <f>AVERAGE(B18:B20)</f>
        <v>1</v>
      </c>
      <c r="C21" s="15">
        <f t="shared" ref="C21:K21" si="6">AVERAGE(C18:C20)</f>
        <v>1.2422219213387333</v>
      </c>
      <c r="D21" s="43" t="s">
        <v>40</v>
      </c>
      <c r="E21" s="15">
        <f t="shared" si="6"/>
        <v>1.1939975747301166</v>
      </c>
      <c r="F21" s="43" t="s">
        <v>40</v>
      </c>
      <c r="G21" s="17">
        <f t="shared" si="6"/>
        <v>0.646953145735782</v>
      </c>
      <c r="H21" s="43" t="s">
        <v>41</v>
      </c>
      <c r="I21" s="17">
        <f t="shared" si="6"/>
        <v>0.62276387153154467</v>
      </c>
      <c r="J21" s="43" t="s">
        <v>42</v>
      </c>
      <c r="K21" s="15">
        <f t="shared" si="6"/>
        <v>1.0010438041424861</v>
      </c>
      <c r="L21" s="44" t="s">
        <v>40</v>
      </c>
      <c r="M21" s="44" t="s">
        <v>40</v>
      </c>
    </row>
    <row r="22" spans="1:13" x14ac:dyDescent="0.3">
      <c r="A22" s="10" t="s">
        <v>10</v>
      </c>
      <c r="B22" s="14">
        <f>_xlfn.STDEV.P(B18:B20)</f>
        <v>0</v>
      </c>
      <c r="C22" s="15">
        <f t="shared" ref="C22:K22" si="7">_xlfn.STDEV.P(C18:C20)</f>
        <v>0.17768908851679099</v>
      </c>
      <c r="D22" s="16"/>
      <c r="E22" s="15">
        <f t="shared" si="7"/>
        <v>0.24197243952116418</v>
      </c>
      <c r="F22" s="16"/>
      <c r="G22" s="18">
        <f t="shared" si="7"/>
        <v>5.5979262359778105E-2</v>
      </c>
      <c r="H22" s="16"/>
      <c r="I22" s="18">
        <f t="shared" si="7"/>
        <v>8.915110949602784E-3</v>
      </c>
      <c r="J22" s="16"/>
      <c r="K22" s="15">
        <f t="shared" si="7"/>
        <v>0.21708618680161063</v>
      </c>
    </row>
    <row r="23" spans="1:13" x14ac:dyDescent="0.3">
      <c r="A23" s="6" t="s">
        <v>14</v>
      </c>
      <c r="B23" s="7">
        <v>1</v>
      </c>
      <c r="C23" s="8">
        <v>1.41970278604663</v>
      </c>
      <c r="D23" s="83" t="s">
        <v>43</v>
      </c>
      <c r="E23" s="8">
        <v>0.99309000902963396</v>
      </c>
      <c r="F23" s="83" t="s">
        <v>44</v>
      </c>
      <c r="G23" s="8">
        <v>0.67765137618330495</v>
      </c>
      <c r="H23" s="86" t="s">
        <v>45</v>
      </c>
      <c r="I23" s="8">
        <v>1.4469309547636899</v>
      </c>
      <c r="J23" s="83" t="s">
        <v>46</v>
      </c>
      <c r="K23" s="8">
        <v>0.78947183877285998</v>
      </c>
      <c r="L23" s="89" t="s">
        <v>47</v>
      </c>
      <c r="M23" s="90" t="s">
        <v>48</v>
      </c>
    </row>
    <row r="24" spans="1:13" x14ac:dyDescent="0.3">
      <c r="B24" s="7">
        <v>1</v>
      </c>
      <c r="C24" s="8">
        <v>1.38759398031463</v>
      </c>
      <c r="D24" s="83"/>
      <c r="E24" s="8">
        <v>1.0663692604317401</v>
      </c>
      <c r="F24" s="83"/>
      <c r="G24" s="8">
        <v>0.61087503234527996</v>
      </c>
      <c r="H24" s="87"/>
      <c r="I24" s="8">
        <v>1.2656385895812801</v>
      </c>
      <c r="J24" s="83"/>
      <c r="K24" s="8">
        <v>0.94874798907603097</v>
      </c>
      <c r="L24" s="89"/>
      <c r="M24" s="90"/>
    </row>
    <row r="25" spans="1:13" x14ac:dyDescent="0.3">
      <c r="B25" s="7">
        <v>1</v>
      </c>
      <c r="C25" s="8">
        <v>1.0651780507180899</v>
      </c>
      <c r="D25" s="83"/>
      <c r="E25" s="8">
        <v>0.76738278236550395</v>
      </c>
      <c r="F25" s="83"/>
      <c r="G25" s="8">
        <v>0.43924865927819701</v>
      </c>
      <c r="H25" s="88"/>
      <c r="I25" s="46">
        <v>1.09045987038047</v>
      </c>
      <c r="J25" s="83"/>
      <c r="K25" s="8">
        <v>0.58359760302021402</v>
      </c>
      <c r="L25" s="89"/>
      <c r="M25" s="90"/>
    </row>
    <row r="26" spans="1:13" x14ac:dyDescent="0.3">
      <c r="A26" s="10" t="s">
        <v>9</v>
      </c>
      <c r="B26" s="21">
        <f>AVERAGE(B23:B25)</f>
        <v>1</v>
      </c>
      <c r="C26" s="22">
        <f t="shared" ref="C26:K26" si="8">AVERAGE(C23:C25)</f>
        <v>1.2908249390264499</v>
      </c>
      <c r="D26" s="45" t="s">
        <v>40</v>
      </c>
      <c r="E26" s="22">
        <f t="shared" si="8"/>
        <v>0.9422806839422927</v>
      </c>
      <c r="F26" s="45" t="s">
        <v>40</v>
      </c>
      <c r="G26" s="24">
        <f t="shared" si="8"/>
        <v>0.57592502260226064</v>
      </c>
      <c r="H26" s="45" t="s">
        <v>41</v>
      </c>
      <c r="I26" s="22">
        <f t="shared" si="8"/>
        <v>1.2676764715751467</v>
      </c>
      <c r="J26" s="45" t="s">
        <v>40</v>
      </c>
      <c r="K26" s="22">
        <f t="shared" si="8"/>
        <v>0.77393914362303506</v>
      </c>
      <c r="L26" s="44" t="s">
        <v>40</v>
      </c>
      <c r="M26" s="44" t="s">
        <v>40</v>
      </c>
    </row>
    <row r="27" spans="1:13" x14ac:dyDescent="0.3">
      <c r="A27" s="10" t="s">
        <v>10</v>
      </c>
      <c r="B27" s="21">
        <f>_xlfn.STDEV.P(B23:B25)</f>
        <v>0</v>
      </c>
      <c r="C27" s="22">
        <f t="shared" ref="C27:K27" si="9">_xlfn.STDEV.P(C23:C25)</f>
        <v>0.16009399843803906</v>
      </c>
      <c r="D27" s="23"/>
      <c r="E27" s="22">
        <f t="shared" si="9"/>
        <v>0.127238409173452</v>
      </c>
      <c r="F27" s="23"/>
      <c r="G27" s="25">
        <f t="shared" si="9"/>
        <v>0.10041610509180349</v>
      </c>
      <c r="H27" s="23"/>
      <c r="I27" s="22">
        <f t="shared" si="9"/>
        <v>0.14553584489190924</v>
      </c>
      <c r="J27" s="23"/>
      <c r="K27" s="22">
        <f t="shared" si="9"/>
        <v>0.14947608409182805</v>
      </c>
    </row>
  </sheetData>
  <mergeCells count="32">
    <mergeCell ref="R1:W1"/>
    <mergeCell ref="D23:D25"/>
    <mergeCell ref="F23:F25"/>
    <mergeCell ref="H23:H25"/>
    <mergeCell ref="J23:J25"/>
    <mergeCell ref="L23:L25"/>
    <mergeCell ref="M23:M25"/>
    <mergeCell ref="D18:D20"/>
    <mergeCell ref="F18:F20"/>
    <mergeCell ref="H18:H20"/>
    <mergeCell ref="J18:J20"/>
    <mergeCell ref="L18:L20"/>
    <mergeCell ref="M18:M20"/>
    <mergeCell ref="D13:D15"/>
    <mergeCell ref="F13:F15"/>
    <mergeCell ref="H13:H15"/>
    <mergeCell ref="J13:J15"/>
    <mergeCell ref="L13:L15"/>
    <mergeCell ref="M13:M15"/>
    <mergeCell ref="M3:M5"/>
    <mergeCell ref="D8:D10"/>
    <mergeCell ref="F8:F10"/>
    <mergeCell ref="H8:H10"/>
    <mergeCell ref="J8:J10"/>
    <mergeCell ref="L8:L10"/>
    <mergeCell ref="M8:M10"/>
    <mergeCell ref="L3:L5"/>
    <mergeCell ref="B1:K1"/>
    <mergeCell ref="D3:D5"/>
    <mergeCell ref="F3:F5"/>
    <mergeCell ref="H3:H5"/>
    <mergeCell ref="J3:J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1"/>
  <sheetViews>
    <sheetView zoomScaleNormal="100" workbookViewId="0">
      <selection activeCell="C2" sqref="C2:F2"/>
    </sheetView>
  </sheetViews>
  <sheetFormatPr defaultColWidth="11.5546875" defaultRowHeight="14.4" x14ac:dyDescent="0.3"/>
  <cols>
    <col min="1" max="1" width="15.5546875" customWidth="1"/>
    <col min="10" max="10" width="14.6640625" customWidth="1"/>
    <col min="15" max="15" width="13.88671875" customWidth="1"/>
  </cols>
  <sheetData>
    <row r="1" spans="1:33" x14ac:dyDescent="0.3">
      <c r="A1" s="2"/>
      <c r="B1" s="85" t="s">
        <v>89</v>
      </c>
      <c r="C1" s="85"/>
      <c r="D1" s="85"/>
      <c r="E1" s="85"/>
      <c r="F1" s="56"/>
      <c r="K1" s="85" t="s">
        <v>0</v>
      </c>
      <c r="L1" s="85"/>
      <c r="M1" s="85" t="s">
        <v>89</v>
      </c>
      <c r="N1" s="85"/>
      <c r="O1" s="85" t="s">
        <v>15</v>
      </c>
      <c r="P1" s="85"/>
      <c r="S1" s="6" t="s">
        <v>8</v>
      </c>
      <c r="T1" s="6"/>
      <c r="V1" s="6"/>
      <c r="W1" s="6"/>
      <c r="Y1" s="6"/>
      <c r="Z1" s="6"/>
      <c r="AB1" s="6"/>
      <c r="AC1" s="6"/>
      <c r="AE1" s="6"/>
    </row>
    <row r="2" spans="1:33" ht="14.4" customHeight="1" x14ac:dyDescent="0.3">
      <c r="A2" s="4"/>
      <c r="B2" s="2" t="s">
        <v>2</v>
      </c>
      <c r="C2" s="5" t="s">
        <v>6</v>
      </c>
      <c r="D2" s="5"/>
      <c r="E2" s="5" t="s">
        <v>5</v>
      </c>
      <c r="F2" s="5"/>
      <c r="G2" s="60" t="s">
        <v>83</v>
      </c>
      <c r="H2" s="61" t="s">
        <v>88</v>
      </c>
      <c r="K2" s="5" t="s">
        <v>2</v>
      </c>
      <c r="L2" s="5" t="s">
        <v>5</v>
      </c>
      <c r="M2" s="5" t="s">
        <v>2</v>
      </c>
      <c r="N2" s="5" t="s">
        <v>5</v>
      </c>
      <c r="O2" s="5" t="s">
        <v>2</v>
      </c>
      <c r="P2" s="5" t="s">
        <v>5</v>
      </c>
      <c r="S2" s="5" t="s">
        <v>0</v>
      </c>
      <c r="T2" s="5" t="s">
        <v>89</v>
      </c>
      <c r="U2" s="5" t="s">
        <v>15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15" customHeight="1" x14ac:dyDescent="0.3">
      <c r="A3" s="6" t="s">
        <v>8</v>
      </c>
      <c r="B3" s="32">
        <v>1</v>
      </c>
      <c r="C3" s="33">
        <v>0.77328576621947498</v>
      </c>
      <c r="D3" s="95" t="s">
        <v>94</v>
      </c>
      <c r="E3" s="33">
        <v>0.55011371315021396</v>
      </c>
      <c r="F3" s="95" t="s">
        <v>95</v>
      </c>
      <c r="G3" s="60" t="s">
        <v>84</v>
      </c>
      <c r="H3" s="44" t="s">
        <v>92</v>
      </c>
      <c r="J3" s="6" t="s">
        <v>8</v>
      </c>
      <c r="K3" s="30">
        <v>1</v>
      </c>
      <c r="L3" s="13">
        <v>1.9428277109425933</v>
      </c>
      <c r="M3" s="30">
        <v>1</v>
      </c>
      <c r="N3" s="23">
        <f>E8</f>
        <v>0.59750441815159228</v>
      </c>
      <c r="O3" s="30">
        <v>1</v>
      </c>
      <c r="P3" s="23">
        <v>1.8816808167367398</v>
      </c>
      <c r="R3" s="5" t="s">
        <v>2</v>
      </c>
      <c r="S3" s="45">
        <v>1</v>
      </c>
      <c r="T3" s="45">
        <v>1</v>
      </c>
      <c r="U3" s="45">
        <v>1</v>
      </c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1:33" x14ac:dyDescent="0.3">
      <c r="A4" s="9"/>
      <c r="B4" s="32">
        <v>1</v>
      </c>
      <c r="C4" s="33">
        <v>0.79490801590326798</v>
      </c>
      <c r="D4" s="95"/>
      <c r="E4" s="33">
        <v>0.74898922082493002</v>
      </c>
      <c r="F4" s="95"/>
      <c r="G4" s="60" t="s">
        <v>85</v>
      </c>
      <c r="H4" s="44" t="s">
        <v>82</v>
      </c>
      <c r="J4" s="6" t="s">
        <v>11</v>
      </c>
      <c r="K4">
        <v>1</v>
      </c>
      <c r="L4" s="16">
        <v>4.175842727490207</v>
      </c>
      <c r="M4">
        <v>1</v>
      </c>
      <c r="N4" s="23">
        <f>E15</f>
        <v>0.45879515225881001</v>
      </c>
      <c r="O4">
        <v>1</v>
      </c>
      <c r="P4" s="23">
        <v>0.4889302771679947</v>
      </c>
      <c r="R4" s="65" t="s">
        <v>90</v>
      </c>
      <c r="S4" s="43">
        <v>1.9428277109425933</v>
      </c>
      <c r="T4" s="43">
        <v>0.59750441815159228</v>
      </c>
      <c r="U4" s="43">
        <v>1.8816808167367398</v>
      </c>
      <c r="V4" s="16"/>
      <c r="W4" s="13"/>
      <c r="X4" s="13"/>
      <c r="Y4" s="16"/>
      <c r="Z4" s="13"/>
      <c r="AA4" s="13"/>
      <c r="AB4" s="16"/>
      <c r="AC4" s="13"/>
      <c r="AD4" s="13"/>
      <c r="AE4" s="13"/>
      <c r="AF4" s="13"/>
      <c r="AG4" s="13"/>
    </row>
    <row r="5" spans="1:33" x14ac:dyDescent="0.3">
      <c r="A5" s="9"/>
      <c r="B5" s="32"/>
      <c r="C5" s="69"/>
      <c r="D5" s="95"/>
      <c r="E5" s="69"/>
      <c r="F5" s="95"/>
      <c r="G5" s="60" t="s">
        <v>86</v>
      </c>
      <c r="H5" s="44" t="s">
        <v>92</v>
      </c>
      <c r="J5" s="6" t="s">
        <v>12</v>
      </c>
      <c r="K5">
        <v>1</v>
      </c>
      <c r="L5" s="16">
        <v>3.4369740089718768</v>
      </c>
      <c r="M5">
        <v>1</v>
      </c>
      <c r="N5" s="23">
        <f>E22</f>
        <v>1.4308028569772968</v>
      </c>
      <c r="O5">
        <v>1</v>
      </c>
      <c r="P5" s="23">
        <v>1.1107871153880726</v>
      </c>
      <c r="R5" s="65" t="s">
        <v>91</v>
      </c>
      <c r="S5" s="45">
        <v>1.2908842142477768</v>
      </c>
      <c r="T5" s="32">
        <v>0.68016036003572733</v>
      </c>
      <c r="U5" s="45">
        <v>1.81632637894775</v>
      </c>
    </row>
    <row r="6" spans="1:33" ht="15.6" x14ac:dyDescent="0.3">
      <c r="A6" s="9"/>
      <c r="B6" s="32">
        <v>1</v>
      </c>
      <c r="C6" s="69">
        <v>0.47228729798443903</v>
      </c>
      <c r="D6" s="42" t="s">
        <v>40</v>
      </c>
      <c r="E6" s="69">
        <v>0.49341032047963301</v>
      </c>
      <c r="F6" s="71" t="s">
        <v>41</v>
      </c>
      <c r="G6" s="60" t="s">
        <v>87</v>
      </c>
      <c r="H6" s="44" t="s">
        <v>92</v>
      </c>
      <c r="J6" s="6" t="s">
        <v>13</v>
      </c>
      <c r="K6">
        <v>1</v>
      </c>
      <c r="L6" s="16">
        <v>0.33901319590394602</v>
      </c>
      <c r="M6">
        <v>1</v>
      </c>
      <c r="N6" s="23">
        <f>E29</f>
        <v>1.7845061477370601</v>
      </c>
      <c r="O6">
        <v>1</v>
      </c>
      <c r="P6" s="23">
        <v>0.646953145735782</v>
      </c>
      <c r="S6" s="68" t="s">
        <v>11</v>
      </c>
      <c r="T6" s="68"/>
      <c r="U6" s="44"/>
    </row>
    <row r="7" spans="1:33" x14ac:dyDescent="0.3">
      <c r="A7" s="9"/>
      <c r="B7" s="32"/>
      <c r="C7" s="33"/>
      <c r="D7" s="42"/>
      <c r="E7" s="33"/>
      <c r="F7" s="33"/>
      <c r="J7" s="6" t="s">
        <v>14</v>
      </c>
      <c r="K7">
        <v>1</v>
      </c>
      <c r="L7" s="23">
        <v>7.1532270573802164</v>
      </c>
      <c r="M7">
        <v>1</v>
      </c>
      <c r="N7" s="23">
        <f>E36</f>
        <v>0.86875609926245456</v>
      </c>
      <c r="O7">
        <v>1</v>
      </c>
      <c r="P7" s="23">
        <v>0.57592502260226064</v>
      </c>
      <c r="S7" s="5" t="s">
        <v>0</v>
      </c>
      <c r="T7" s="5" t="s">
        <v>89</v>
      </c>
      <c r="U7" s="5" t="s">
        <v>15</v>
      </c>
    </row>
    <row r="8" spans="1:33" x14ac:dyDescent="0.3">
      <c r="A8" s="10" t="s">
        <v>9</v>
      </c>
      <c r="B8" s="36">
        <f>AVERAGE(B3:B5)</f>
        <v>1</v>
      </c>
      <c r="C8" s="36">
        <f>AVERAGE(C3:C7)</f>
        <v>0.68016036003572733</v>
      </c>
      <c r="D8" s="32"/>
      <c r="E8" s="36">
        <f>AVERAGE(E3:E7)</f>
        <v>0.59750441815159228</v>
      </c>
      <c r="F8" s="36"/>
      <c r="R8" s="5" t="s">
        <v>2</v>
      </c>
      <c r="S8" s="45">
        <v>1</v>
      </c>
      <c r="T8" s="45">
        <v>1</v>
      </c>
      <c r="U8" s="45">
        <v>1</v>
      </c>
    </row>
    <row r="9" spans="1:33" x14ac:dyDescent="0.3">
      <c r="A9" s="10" t="s">
        <v>10</v>
      </c>
      <c r="B9" s="36">
        <f>_xlfn.STDEV.P(B3:B5)</f>
        <v>0</v>
      </c>
      <c r="C9" s="36">
        <f>_xlfn.STDEV.P(C3:C7)</f>
        <v>0.14725326904188146</v>
      </c>
      <c r="D9" s="32"/>
      <c r="E9" s="36">
        <f>_xlfn.STDEV.P(E3:E7)</f>
        <v>0.10958878521036017</v>
      </c>
      <c r="F9" s="36"/>
      <c r="R9" s="65" t="s">
        <v>90</v>
      </c>
      <c r="S9" s="43">
        <v>4.175842727490207</v>
      </c>
      <c r="T9" s="43">
        <v>0.45879515225881001</v>
      </c>
      <c r="U9" s="43">
        <v>0.4889302771679947</v>
      </c>
    </row>
    <row r="10" spans="1:33" ht="15" customHeight="1" x14ac:dyDescent="0.3">
      <c r="A10" s="6" t="s">
        <v>11</v>
      </c>
      <c r="B10" s="32">
        <v>1</v>
      </c>
      <c r="C10" s="69">
        <v>0.77228611129563796</v>
      </c>
      <c r="D10" s="95" t="s">
        <v>96</v>
      </c>
      <c r="E10" s="33">
        <v>0.25247189691660499</v>
      </c>
      <c r="F10" s="95" t="s">
        <v>97</v>
      </c>
      <c r="J10" s="9"/>
      <c r="R10" s="65" t="s">
        <v>91</v>
      </c>
      <c r="S10" s="43">
        <v>7.7502571355039098</v>
      </c>
      <c r="T10" s="45">
        <v>2.1071143478513759</v>
      </c>
      <c r="U10" s="45">
        <v>0.51661437584856762</v>
      </c>
    </row>
    <row r="11" spans="1:33" x14ac:dyDescent="0.3">
      <c r="A11" s="9"/>
      <c r="B11" s="32">
        <v>1</v>
      </c>
      <c r="C11" s="69">
        <v>2.9628889548402499</v>
      </c>
      <c r="D11" s="95"/>
      <c r="E11" s="33">
        <v>0.63636297644240403</v>
      </c>
      <c r="F11" s="95"/>
      <c r="J11" s="9"/>
      <c r="S11" s="68" t="s">
        <v>12</v>
      </c>
      <c r="T11" s="68"/>
      <c r="U11" s="44"/>
    </row>
    <row r="12" spans="1:33" x14ac:dyDescent="0.3">
      <c r="A12" s="9"/>
      <c r="B12" s="32"/>
      <c r="C12" s="33"/>
      <c r="D12" s="95"/>
      <c r="E12" s="69"/>
      <c r="F12" s="95"/>
      <c r="S12" s="5" t="s">
        <v>0</v>
      </c>
      <c r="T12" s="5" t="s">
        <v>89</v>
      </c>
      <c r="U12" s="5" t="s">
        <v>15</v>
      </c>
    </row>
    <row r="13" spans="1:33" ht="18" x14ac:dyDescent="0.3">
      <c r="A13" s="9"/>
      <c r="B13" s="32">
        <v>1</v>
      </c>
      <c r="C13" s="33">
        <v>2.5861679774182398</v>
      </c>
      <c r="D13" s="42" t="s">
        <v>40</v>
      </c>
      <c r="E13" s="33">
        <v>0.48755058341742102</v>
      </c>
      <c r="F13" s="72" t="s">
        <v>41</v>
      </c>
      <c r="R13" s="5" t="s">
        <v>2</v>
      </c>
      <c r="S13" s="45">
        <v>1</v>
      </c>
      <c r="T13" s="45">
        <v>1</v>
      </c>
      <c r="U13" s="45">
        <v>1</v>
      </c>
    </row>
    <row r="14" spans="1:33" x14ac:dyDescent="0.3">
      <c r="A14" s="9"/>
      <c r="B14" s="32"/>
      <c r="C14" s="33"/>
      <c r="D14" s="42"/>
      <c r="E14" s="41"/>
      <c r="F14" s="33"/>
      <c r="R14" s="65" t="s">
        <v>90</v>
      </c>
      <c r="S14" s="43">
        <v>3.4369740089718768</v>
      </c>
      <c r="T14" s="43">
        <v>1.4308028569772968</v>
      </c>
      <c r="U14" s="43">
        <v>1.1107871153880726</v>
      </c>
    </row>
    <row r="15" spans="1:33" x14ac:dyDescent="0.3">
      <c r="A15" s="10" t="s">
        <v>9</v>
      </c>
      <c r="B15" s="36">
        <f>AVERAGE(B10:B12)</f>
        <v>1</v>
      </c>
      <c r="C15" s="36">
        <f>AVERAGE(C10:C14)</f>
        <v>2.1071143478513759</v>
      </c>
      <c r="D15" s="32"/>
      <c r="E15" s="36">
        <f>AVERAGE(E10:E14)</f>
        <v>0.45879515225881001</v>
      </c>
      <c r="F15" s="36"/>
      <c r="K15" s="94"/>
      <c r="L15" s="94"/>
      <c r="M15" s="94"/>
      <c r="O15" s="94"/>
      <c r="P15" s="94"/>
      <c r="R15" s="65" t="s">
        <v>91</v>
      </c>
      <c r="S15" s="45">
        <v>2.4874628042368694</v>
      </c>
      <c r="T15" s="32">
        <v>1.79425534826035</v>
      </c>
      <c r="U15" s="43">
        <v>2.3806359162524036</v>
      </c>
    </row>
    <row r="16" spans="1:33" x14ac:dyDescent="0.3">
      <c r="A16" s="10" t="s">
        <v>10</v>
      </c>
      <c r="B16" s="36">
        <f>_xlfn.STDEV.P(B10:B12)</f>
        <v>0</v>
      </c>
      <c r="C16" s="36">
        <f>_xlfn.STDEV.P(C10:C14)</f>
        <v>0.95631392667795867</v>
      </c>
      <c r="D16" s="32"/>
      <c r="E16" s="36">
        <f>_xlfn.STDEV.P(E10:E14)</f>
        <v>0.15803638051771288</v>
      </c>
      <c r="F16" s="36"/>
      <c r="S16" s="68" t="s">
        <v>13</v>
      </c>
      <c r="T16" s="68"/>
      <c r="U16" s="44"/>
    </row>
    <row r="17" spans="1:21" ht="15" customHeight="1" x14ac:dyDescent="0.3">
      <c r="A17" s="6" t="s">
        <v>12</v>
      </c>
      <c r="B17" s="32">
        <v>1</v>
      </c>
      <c r="C17" s="33">
        <v>1.7066107159357999</v>
      </c>
      <c r="D17" s="95" t="s">
        <v>98</v>
      </c>
      <c r="E17" s="33">
        <v>1.0957797017073601</v>
      </c>
      <c r="F17" s="95" t="s">
        <v>99</v>
      </c>
      <c r="S17" s="5" t="s">
        <v>0</v>
      </c>
      <c r="T17" s="5" t="s">
        <v>89</v>
      </c>
      <c r="U17" s="5" t="s">
        <v>15</v>
      </c>
    </row>
    <row r="18" spans="1:21" x14ac:dyDescent="0.3">
      <c r="A18" s="9"/>
      <c r="B18" s="32">
        <v>1</v>
      </c>
      <c r="C18" s="69">
        <v>1.61461070469003</v>
      </c>
      <c r="D18" s="95"/>
      <c r="E18" s="69">
        <v>2.1113413211360101</v>
      </c>
      <c r="F18" s="95"/>
      <c r="R18" s="5" t="s">
        <v>2</v>
      </c>
      <c r="S18" s="45">
        <v>1</v>
      </c>
      <c r="T18" s="45">
        <v>1</v>
      </c>
      <c r="U18" s="45">
        <v>1</v>
      </c>
    </row>
    <row r="19" spans="1:21" x14ac:dyDescent="0.3">
      <c r="A19" s="9"/>
      <c r="B19" s="32"/>
      <c r="C19" s="33"/>
      <c r="D19" s="95"/>
      <c r="E19" s="69"/>
      <c r="F19" s="95"/>
      <c r="R19" s="65" t="s">
        <v>90</v>
      </c>
      <c r="S19" s="43">
        <v>0.33901319590394602</v>
      </c>
      <c r="T19" s="32">
        <v>1.7845061477370601</v>
      </c>
      <c r="U19" s="43">
        <v>0.646953145735782</v>
      </c>
    </row>
    <row r="20" spans="1:21" x14ac:dyDescent="0.3">
      <c r="A20" s="9"/>
      <c r="B20" s="32">
        <v>1</v>
      </c>
      <c r="C20" s="33">
        <v>2.06154462415522</v>
      </c>
      <c r="D20" s="42" t="s">
        <v>41</v>
      </c>
      <c r="E20" s="33">
        <v>1.08528754808852</v>
      </c>
      <c r="F20" s="70" t="s">
        <v>40</v>
      </c>
      <c r="R20" s="65" t="s">
        <v>91</v>
      </c>
      <c r="S20" s="45">
        <v>0.33859305745679863</v>
      </c>
      <c r="T20" s="45">
        <v>0.19912655935802201</v>
      </c>
      <c r="U20" s="45">
        <v>0.62276387153154467</v>
      </c>
    </row>
    <row r="21" spans="1:21" x14ac:dyDescent="0.3">
      <c r="A21" s="9"/>
      <c r="B21" s="32"/>
      <c r="C21" s="69"/>
      <c r="D21" s="42"/>
      <c r="E21" s="33"/>
      <c r="F21" s="33"/>
      <c r="S21" s="68" t="s">
        <v>14</v>
      </c>
      <c r="T21" s="44"/>
      <c r="U21" s="44"/>
    </row>
    <row r="22" spans="1:21" x14ac:dyDescent="0.3">
      <c r="A22" s="10" t="s">
        <v>9</v>
      </c>
      <c r="B22" s="36">
        <f>AVERAGE(B17:B19)</f>
        <v>1</v>
      </c>
      <c r="C22" s="39">
        <f>AVERAGE(C17:C21)</f>
        <v>1.79425534826035</v>
      </c>
      <c r="D22" s="32"/>
      <c r="E22" s="39">
        <f>AVERAGE(E17:E21)</f>
        <v>1.4308028569772968</v>
      </c>
      <c r="F22" s="66"/>
      <c r="S22" s="5" t="s">
        <v>0</v>
      </c>
      <c r="T22" s="5" t="s">
        <v>89</v>
      </c>
      <c r="U22" s="5" t="s">
        <v>15</v>
      </c>
    </row>
    <row r="23" spans="1:21" x14ac:dyDescent="0.3">
      <c r="A23" s="10" t="s">
        <v>10</v>
      </c>
      <c r="B23" s="36">
        <f>_xlfn.STDEV.P(B17:B19)</f>
        <v>0</v>
      </c>
      <c r="C23" s="40">
        <f>_xlfn.STDEV.P(C17:C21)</f>
        <v>0.19269780879848789</v>
      </c>
      <c r="D23" s="32"/>
      <c r="E23" s="40">
        <f>_xlfn.STDEV.P(E17:E21)</f>
        <v>0.48123242632607077</v>
      </c>
      <c r="F23" s="66"/>
      <c r="R23" s="5" t="s">
        <v>2</v>
      </c>
      <c r="S23" s="45">
        <v>1</v>
      </c>
      <c r="T23" s="45">
        <v>1</v>
      </c>
      <c r="U23" s="45">
        <v>1</v>
      </c>
    </row>
    <row r="24" spans="1:21" ht="15" customHeight="1" x14ac:dyDescent="0.3">
      <c r="A24" s="6" t="s">
        <v>13</v>
      </c>
      <c r="B24" s="32">
        <v>1</v>
      </c>
      <c r="C24" s="33">
        <v>0.17354668044379701</v>
      </c>
      <c r="D24" s="95" t="s">
        <v>100</v>
      </c>
      <c r="E24" s="41">
        <v>2.7105488211786999</v>
      </c>
      <c r="F24" s="95" t="s">
        <v>101</v>
      </c>
      <c r="R24" s="65" t="s">
        <v>90</v>
      </c>
      <c r="S24" s="43">
        <v>7.1532270573802164</v>
      </c>
      <c r="T24" s="43">
        <v>0.86875609926245456</v>
      </c>
      <c r="U24" s="43">
        <v>0.57592502260226064</v>
      </c>
    </row>
    <row r="25" spans="1:21" x14ac:dyDescent="0.3">
      <c r="A25" s="9"/>
      <c r="B25" s="32">
        <v>1</v>
      </c>
      <c r="C25" s="33">
        <v>0.18059602292267499</v>
      </c>
      <c r="D25" s="95"/>
      <c r="E25" s="33">
        <v>1.3807982983170899</v>
      </c>
      <c r="F25" s="95"/>
      <c r="R25" s="65" t="s">
        <v>91</v>
      </c>
      <c r="S25" s="45">
        <v>15.385071727330057</v>
      </c>
      <c r="T25" s="45">
        <v>1.8039769924246034</v>
      </c>
      <c r="U25" s="43">
        <v>1.2676764715751467</v>
      </c>
    </row>
    <row r="26" spans="1:21" x14ac:dyDescent="0.3">
      <c r="A26" s="9"/>
      <c r="B26" s="32"/>
      <c r="C26" s="69"/>
      <c r="D26" s="95"/>
      <c r="E26" s="33"/>
      <c r="F26" s="95"/>
    </row>
    <row r="27" spans="1:21" x14ac:dyDescent="0.3">
      <c r="A27" s="9"/>
      <c r="B27" s="32">
        <v>1</v>
      </c>
      <c r="C27" s="33">
        <v>0.24323697470759401</v>
      </c>
      <c r="D27" s="42" t="s">
        <v>42</v>
      </c>
      <c r="E27" s="69">
        <v>1.26217132371539</v>
      </c>
      <c r="F27" s="70" t="s">
        <v>40</v>
      </c>
      <c r="Q27" t="s">
        <v>93</v>
      </c>
      <c r="S27" s="6" t="s">
        <v>8</v>
      </c>
      <c r="T27" s="6"/>
    </row>
    <row r="28" spans="1:21" x14ac:dyDescent="0.3">
      <c r="A28" s="9"/>
      <c r="B28" s="32"/>
      <c r="C28" s="41"/>
      <c r="D28" s="42"/>
      <c r="E28" s="33"/>
      <c r="F28" s="33"/>
      <c r="S28" s="5" t="s">
        <v>0</v>
      </c>
      <c r="T28" s="5" t="s">
        <v>89</v>
      </c>
      <c r="U28" s="5" t="s">
        <v>15</v>
      </c>
    </row>
    <row r="29" spans="1:21" x14ac:dyDescent="0.3">
      <c r="A29" s="10" t="s">
        <v>9</v>
      </c>
      <c r="B29" s="36">
        <f>AVERAGE(B24:B26)</f>
        <v>1</v>
      </c>
      <c r="C29" s="39">
        <f>AVERAGE(C24:C28)</f>
        <v>0.19912655935802201</v>
      </c>
      <c r="D29" s="32"/>
      <c r="E29" s="37">
        <f>AVERAGE(E24:E28)</f>
        <v>1.7845061477370601</v>
      </c>
      <c r="F29" s="67"/>
      <c r="J29" s="13"/>
      <c r="R29" s="5" t="s">
        <v>2</v>
      </c>
      <c r="S29" s="45">
        <v>0</v>
      </c>
      <c r="T29" s="45">
        <v>0</v>
      </c>
      <c r="U29" s="45">
        <v>0</v>
      </c>
    </row>
    <row r="30" spans="1:21" x14ac:dyDescent="0.3">
      <c r="A30" s="10" t="s">
        <v>10</v>
      </c>
      <c r="B30" s="36">
        <f>_xlfn.STDEV.P(B24:B26)</f>
        <v>0</v>
      </c>
      <c r="C30" s="40">
        <f>_xlfn.STDEV.P(C24:C28)</f>
        <v>3.1323259345944578E-2</v>
      </c>
      <c r="D30" s="32"/>
      <c r="E30" s="38">
        <f>_xlfn.STDEV.P(E24:E28)</f>
        <v>0.65659950479826623</v>
      </c>
      <c r="F30" s="67"/>
      <c r="J30" s="16"/>
      <c r="R30" s="65" t="s">
        <v>90</v>
      </c>
      <c r="S30" s="45">
        <v>0.34658295838725395</v>
      </c>
      <c r="T30" s="45">
        <v>0.10958878521036017</v>
      </c>
      <c r="U30" s="45">
        <v>0.26984810186768821</v>
      </c>
    </row>
    <row r="31" spans="1:21" ht="15" customHeight="1" x14ac:dyDescent="0.3">
      <c r="A31" s="6" t="s">
        <v>14</v>
      </c>
      <c r="B31" s="32">
        <v>1</v>
      </c>
      <c r="C31" s="33">
        <v>1.63036087179607</v>
      </c>
      <c r="D31" s="95" t="s">
        <v>102</v>
      </c>
      <c r="E31" s="33">
        <v>0.67771300518492394</v>
      </c>
      <c r="F31" s="95" t="s">
        <v>103</v>
      </c>
      <c r="J31" s="16"/>
      <c r="R31" s="65" t="s">
        <v>91</v>
      </c>
      <c r="S31" s="45">
        <v>0.20262134530587367</v>
      </c>
      <c r="T31" s="32">
        <v>0.14725326904188146</v>
      </c>
      <c r="U31" s="45">
        <v>0.35745301378818478</v>
      </c>
    </row>
    <row r="32" spans="1:21" x14ac:dyDescent="0.3">
      <c r="B32" s="32">
        <v>1</v>
      </c>
      <c r="C32" s="33">
        <v>1.96446419314356</v>
      </c>
      <c r="D32" s="95"/>
      <c r="E32" s="69">
        <v>1.45655261888164</v>
      </c>
      <c r="F32" s="95"/>
      <c r="J32" s="16"/>
      <c r="S32" s="68" t="s">
        <v>11</v>
      </c>
      <c r="T32" s="68"/>
      <c r="U32" s="44"/>
    </row>
    <row r="33" spans="1:21" x14ac:dyDescent="0.3">
      <c r="B33" s="32"/>
      <c r="C33" s="33"/>
      <c r="D33" s="95"/>
      <c r="E33" s="33"/>
      <c r="F33" s="95"/>
      <c r="J33" s="23"/>
      <c r="S33" s="5" t="s">
        <v>0</v>
      </c>
      <c r="T33" s="5" t="s">
        <v>89</v>
      </c>
      <c r="U33" s="5" t="s">
        <v>15</v>
      </c>
    </row>
    <row r="34" spans="1:21" x14ac:dyDescent="0.3">
      <c r="B34" s="32">
        <v>1</v>
      </c>
      <c r="C34" s="33">
        <v>1.81710591233418</v>
      </c>
      <c r="D34" s="42" t="s">
        <v>41</v>
      </c>
      <c r="E34" s="69">
        <v>0.47200267372080001</v>
      </c>
      <c r="F34" s="70" t="s">
        <v>40</v>
      </c>
      <c r="R34" s="5" t="s">
        <v>2</v>
      </c>
      <c r="S34" s="45">
        <v>0</v>
      </c>
      <c r="T34" s="45">
        <v>0</v>
      </c>
      <c r="U34" s="45">
        <v>0</v>
      </c>
    </row>
    <row r="35" spans="1:21" x14ac:dyDescent="0.3">
      <c r="B35" s="32"/>
      <c r="C35" s="41"/>
      <c r="D35" s="42"/>
      <c r="E35" s="33"/>
      <c r="F35" s="33"/>
      <c r="R35" s="65" t="s">
        <v>90</v>
      </c>
      <c r="S35" s="45">
        <v>0.82014327195477865</v>
      </c>
      <c r="T35" s="45">
        <v>0.15803638051771288</v>
      </c>
      <c r="U35" s="45">
        <v>6.8516147456994858E-2</v>
      </c>
    </row>
    <row r="36" spans="1:21" x14ac:dyDescent="0.3">
      <c r="A36" s="10" t="s">
        <v>9</v>
      </c>
      <c r="B36" s="36">
        <f>AVERAGE(B31:B33)</f>
        <v>1</v>
      </c>
      <c r="C36" s="39">
        <f>AVERAGE(C31:C35)</f>
        <v>1.8039769924246034</v>
      </c>
      <c r="D36" s="32"/>
      <c r="E36" s="39">
        <f>AVERAGE(E31:E35)</f>
        <v>0.86875609926245456</v>
      </c>
      <c r="F36" s="66"/>
      <c r="R36" s="65" t="s">
        <v>91</v>
      </c>
      <c r="S36" s="45">
        <v>3.7374865966962507</v>
      </c>
      <c r="T36" s="45">
        <v>0.95631392667795867</v>
      </c>
      <c r="U36" s="45">
        <v>7.6466370728340893E-2</v>
      </c>
    </row>
    <row r="37" spans="1:21" x14ac:dyDescent="0.3">
      <c r="A37" s="10" t="s">
        <v>10</v>
      </c>
      <c r="B37" s="36">
        <f>_xlfn.STDEV.P(B31:B33)</f>
        <v>0</v>
      </c>
      <c r="C37" s="40">
        <f>_xlfn.STDEV.P(C31:C35)</f>
        <v>0.1367126761675744</v>
      </c>
      <c r="D37" s="32"/>
      <c r="E37" s="40">
        <f>_xlfn.STDEV.P(E31:E35)</f>
        <v>0.4240343904882326</v>
      </c>
      <c r="F37" s="66"/>
      <c r="S37" s="68" t="s">
        <v>12</v>
      </c>
      <c r="T37" s="68"/>
      <c r="U37" s="44"/>
    </row>
    <row r="38" spans="1:21" x14ac:dyDescent="0.3">
      <c r="S38" s="5" t="s">
        <v>0</v>
      </c>
      <c r="T38" s="5" t="s">
        <v>89</v>
      </c>
      <c r="U38" s="5" t="s">
        <v>15</v>
      </c>
    </row>
    <row r="39" spans="1:21" x14ac:dyDescent="0.3">
      <c r="R39" s="5" t="s">
        <v>2</v>
      </c>
      <c r="S39" s="45">
        <v>0</v>
      </c>
      <c r="T39" s="45">
        <v>0</v>
      </c>
      <c r="U39" s="45">
        <v>0</v>
      </c>
    </row>
    <row r="40" spans="1:21" x14ac:dyDescent="0.3">
      <c r="A40" s="47" t="s">
        <v>49</v>
      </c>
      <c r="R40" s="65" t="s">
        <v>90</v>
      </c>
      <c r="S40" s="45">
        <v>1.5580754280386788</v>
      </c>
      <c r="T40" s="45">
        <v>0.48123242632607077</v>
      </c>
      <c r="U40" s="45">
        <v>0.16836262770640847</v>
      </c>
    </row>
    <row r="41" spans="1:21" x14ac:dyDescent="0.3">
      <c r="A41" s="48" t="s">
        <v>50</v>
      </c>
      <c r="R41" s="65" t="s">
        <v>91</v>
      </c>
      <c r="S41" s="45">
        <v>1.1689725750982642</v>
      </c>
      <c r="T41" s="45">
        <v>0.19269780879848789</v>
      </c>
      <c r="U41" s="45">
        <v>0.49051918884697066</v>
      </c>
    </row>
    <row r="42" spans="1:21" x14ac:dyDescent="0.3">
      <c r="A42" s="49" t="s">
        <v>51</v>
      </c>
      <c r="S42" s="68" t="s">
        <v>13</v>
      </c>
      <c r="T42" s="68"/>
      <c r="U42" s="44"/>
    </row>
    <row r="43" spans="1:21" x14ac:dyDescent="0.3">
      <c r="S43" s="5" t="s">
        <v>0</v>
      </c>
      <c r="T43" s="5" t="s">
        <v>89</v>
      </c>
      <c r="U43" s="5" t="s">
        <v>15</v>
      </c>
    </row>
    <row r="44" spans="1:21" x14ac:dyDescent="0.3">
      <c r="R44" s="5" t="s">
        <v>2</v>
      </c>
      <c r="S44" s="45">
        <v>0</v>
      </c>
      <c r="T44" s="45">
        <v>0</v>
      </c>
      <c r="U44" s="45">
        <v>0</v>
      </c>
    </row>
    <row r="45" spans="1:21" x14ac:dyDescent="0.3">
      <c r="R45" s="65" t="s">
        <v>90</v>
      </c>
      <c r="S45" s="45">
        <v>1.9460492910945329E-2</v>
      </c>
      <c r="T45" s="45">
        <v>0.65659950479826623</v>
      </c>
      <c r="U45" s="45">
        <v>5.5979262359778105E-2</v>
      </c>
    </row>
    <row r="46" spans="1:21" x14ac:dyDescent="0.3">
      <c r="R46" s="65" t="s">
        <v>91</v>
      </c>
      <c r="S46" s="45">
        <v>6.8112851785699702E-2</v>
      </c>
      <c r="T46" s="45">
        <v>3.1323259345944578E-2</v>
      </c>
      <c r="U46" s="45">
        <v>8.915110949602784E-3</v>
      </c>
    </row>
    <row r="47" spans="1:21" x14ac:dyDescent="0.3">
      <c r="S47" s="68" t="s">
        <v>14</v>
      </c>
      <c r="T47" s="44"/>
      <c r="U47" s="44"/>
    </row>
    <row r="48" spans="1:21" x14ac:dyDescent="0.3">
      <c r="S48" s="5" t="s">
        <v>0</v>
      </c>
      <c r="T48" s="5" t="s">
        <v>89</v>
      </c>
      <c r="U48" s="5" t="s">
        <v>15</v>
      </c>
    </row>
    <row r="49" spans="18:21" x14ac:dyDescent="0.3">
      <c r="R49" s="5" t="s">
        <v>2</v>
      </c>
      <c r="S49" s="45">
        <v>0</v>
      </c>
      <c r="T49" s="45">
        <v>0</v>
      </c>
      <c r="U49" s="45">
        <v>0</v>
      </c>
    </row>
    <row r="50" spans="18:21" x14ac:dyDescent="0.3">
      <c r="R50" s="65" t="s">
        <v>90</v>
      </c>
      <c r="S50" s="45">
        <v>3.1241828569768031</v>
      </c>
      <c r="T50" s="45">
        <v>0.4240343904882326</v>
      </c>
      <c r="U50" s="45">
        <v>0.10041610509180349</v>
      </c>
    </row>
    <row r="51" spans="18:21" x14ac:dyDescent="0.3">
      <c r="R51" s="65" t="s">
        <v>91</v>
      </c>
      <c r="S51" s="45">
        <v>8.279286600487648</v>
      </c>
      <c r="T51" s="45">
        <v>0.1367126761675744</v>
      </c>
      <c r="U51" s="45">
        <v>0.14553584489190924</v>
      </c>
    </row>
  </sheetData>
  <mergeCells count="16">
    <mergeCell ref="M1:N1"/>
    <mergeCell ref="O1:P1"/>
    <mergeCell ref="K1:L1"/>
    <mergeCell ref="B1:E1"/>
    <mergeCell ref="D3:D5"/>
    <mergeCell ref="F3:F5"/>
    <mergeCell ref="D10:D12"/>
    <mergeCell ref="F10:F12"/>
    <mergeCell ref="D17:D19"/>
    <mergeCell ref="F17:F19"/>
    <mergeCell ref="D24:D26"/>
    <mergeCell ref="O15:P15"/>
    <mergeCell ref="F24:F26"/>
    <mergeCell ref="D31:D33"/>
    <mergeCell ref="F31:F33"/>
    <mergeCell ref="K15:M15"/>
  </mergeCells>
  <phoneticPr fontId="12" type="noConversion"/>
  <pageMargins left="0.7" right="0.7" top="0.78740157499999996" bottom="0.78740157499999996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80"/>
  <sheetViews>
    <sheetView zoomScale="80" zoomScaleNormal="80" workbookViewId="0">
      <selection activeCell="O23" sqref="O23"/>
    </sheetView>
  </sheetViews>
  <sheetFormatPr defaultColWidth="11.5546875" defaultRowHeight="14.4" x14ac:dyDescent="0.3"/>
  <cols>
    <col min="1" max="1" width="15.5546875" customWidth="1"/>
    <col min="12" max="12" width="14.6640625" customWidth="1"/>
    <col min="17" max="17" width="13.88671875" customWidth="1"/>
    <col min="20" max="20" width="16" customWidth="1"/>
  </cols>
  <sheetData>
    <row r="1" spans="1:35" x14ac:dyDescent="0.3">
      <c r="A1" s="2"/>
      <c r="B1" s="85" t="s">
        <v>89</v>
      </c>
      <c r="C1" s="85"/>
      <c r="D1" s="85"/>
      <c r="E1" s="85"/>
      <c r="F1" s="56"/>
      <c r="G1" s="56"/>
      <c r="H1" s="56"/>
      <c r="M1" s="85" t="s">
        <v>0</v>
      </c>
      <c r="N1" s="85"/>
      <c r="O1" s="85" t="s">
        <v>89</v>
      </c>
      <c r="P1" s="85"/>
      <c r="Q1" s="85" t="s">
        <v>15</v>
      </c>
      <c r="R1" s="85"/>
      <c r="T1" s="63"/>
      <c r="U1" s="68" t="s">
        <v>8</v>
      </c>
      <c r="V1" s="68"/>
      <c r="W1" s="63"/>
      <c r="X1" s="6"/>
      <c r="Y1" s="6"/>
      <c r="AA1" s="6"/>
      <c r="AB1" s="6"/>
      <c r="AD1" s="6"/>
      <c r="AE1" s="6"/>
      <c r="AG1" s="6"/>
    </row>
    <row r="2" spans="1:35" ht="14.4" customHeight="1" x14ac:dyDescent="0.3">
      <c r="A2" s="4"/>
      <c r="B2" s="2" t="s">
        <v>2</v>
      </c>
      <c r="C2" s="5" t="s">
        <v>7</v>
      </c>
      <c r="D2" s="5"/>
      <c r="E2" s="5" t="s">
        <v>105</v>
      </c>
      <c r="F2" s="5"/>
      <c r="G2" s="5" t="s">
        <v>3</v>
      </c>
      <c r="H2" s="83" t="s">
        <v>111</v>
      </c>
      <c r="I2" s="60"/>
      <c r="J2" s="61"/>
      <c r="K2" s="74"/>
      <c r="M2" s="5" t="s">
        <v>2</v>
      </c>
      <c r="N2" s="5" t="s">
        <v>5</v>
      </c>
      <c r="O2" s="5" t="s">
        <v>2</v>
      </c>
      <c r="P2" s="5" t="s">
        <v>5</v>
      </c>
      <c r="Q2" s="5" t="s">
        <v>2</v>
      </c>
      <c r="R2" s="5" t="s">
        <v>5</v>
      </c>
      <c r="T2" s="63"/>
      <c r="U2" s="5" t="s">
        <v>0</v>
      </c>
      <c r="V2" s="5" t="s">
        <v>89</v>
      </c>
      <c r="W2" s="5" t="s">
        <v>15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ht="15" customHeight="1" x14ac:dyDescent="0.3">
      <c r="A3" s="6" t="s">
        <v>8</v>
      </c>
      <c r="B3" s="32">
        <v>1</v>
      </c>
      <c r="C3" s="33"/>
      <c r="D3" s="95" t="s">
        <v>109</v>
      </c>
      <c r="E3" s="8"/>
      <c r="F3" s="83" t="s">
        <v>110</v>
      </c>
      <c r="G3" s="73"/>
      <c r="H3" s="83"/>
      <c r="I3" s="60" t="s">
        <v>41</v>
      </c>
      <c r="J3" s="44"/>
      <c r="L3" s="6" t="s">
        <v>8</v>
      </c>
      <c r="M3" s="30">
        <v>1</v>
      </c>
      <c r="N3" s="13">
        <v>1.9428277109425933</v>
      </c>
      <c r="O3" s="30">
        <v>1</v>
      </c>
      <c r="P3" s="23">
        <f>E8</f>
        <v>0.70292848936476293</v>
      </c>
      <c r="Q3" s="30">
        <v>1</v>
      </c>
      <c r="R3" s="23">
        <v>1.8816808167367398</v>
      </c>
      <c r="T3" s="5" t="s">
        <v>2</v>
      </c>
      <c r="U3" s="32">
        <v>1</v>
      </c>
      <c r="V3" s="32">
        <v>1</v>
      </c>
      <c r="W3" s="32">
        <v>1</v>
      </c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ht="14.4" customHeight="1" x14ac:dyDescent="0.3">
      <c r="A4" s="9"/>
      <c r="B4" s="32">
        <v>1</v>
      </c>
      <c r="C4" s="69"/>
      <c r="D4" s="95"/>
      <c r="E4" s="33"/>
      <c r="F4" s="83"/>
      <c r="G4" s="33"/>
      <c r="H4" s="83"/>
      <c r="I4" s="60"/>
      <c r="J4" s="44"/>
      <c r="L4" s="6" t="s">
        <v>11</v>
      </c>
      <c r="M4">
        <v>1</v>
      </c>
      <c r="N4" s="16">
        <v>4.175842727490207</v>
      </c>
      <c r="O4">
        <v>1</v>
      </c>
      <c r="P4" s="23">
        <f>E15</f>
        <v>0.53438624483937203</v>
      </c>
      <c r="Q4">
        <v>1</v>
      </c>
      <c r="R4" s="23">
        <v>0.4889302771679947</v>
      </c>
      <c r="T4" s="65" t="s">
        <v>108</v>
      </c>
      <c r="U4" s="32">
        <v>0.28461474220557764</v>
      </c>
      <c r="V4" s="32">
        <v>0.58237069875566838</v>
      </c>
      <c r="W4" s="32">
        <v>1.1339475959511347</v>
      </c>
      <c r="X4" s="16"/>
      <c r="Y4" s="13"/>
      <c r="Z4" s="13"/>
      <c r="AA4" s="16"/>
      <c r="AB4" s="13"/>
      <c r="AC4" s="13"/>
      <c r="AD4" s="16"/>
      <c r="AE4" s="13"/>
      <c r="AF4" s="13"/>
      <c r="AG4" s="13"/>
      <c r="AH4" s="13"/>
      <c r="AI4" s="13"/>
    </row>
    <row r="5" spans="1:35" x14ac:dyDescent="0.3">
      <c r="A5" s="9"/>
      <c r="B5" s="32"/>
      <c r="C5" s="33">
        <v>0.67429693952020298</v>
      </c>
      <c r="D5" s="95"/>
      <c r="E5" s="33">
        <v>0.86183491495708098</v>
      </c>
      <c r="F5" s="83"/>
      <c r="G5" s="33">
        <v>0.70769815112353396</v>
      </c>
      <c r="H5" s="83" t="s">
        <v>112</v>
      </c>
      <c r="I5" s="60"/>
      <c r="J5" s="44"/>
      <c r="L5" s="6" t="s">
        <v>12</v>
      </c>
      <c r="M5">
        <v>1</v>
      </c>
      <c r="N5" s="16">
        <v>3.4369740089718768</v>
      </c>
      <c r="O5">
        <v>1</v>
      </c>
      <c r="P5" s="23">
        <f>E22</f>
        <v>0.85599107222884807</v>
      </c>
      <c r="Q5">
        <v>1</v>
      </c>
      <c r="R5" s="23">
        <v>1.1107871153880726</v>
      </c>
      <c r="T5" s="65" t="s">
        <v>107</v>
      </c>
      <c r="U5" s="32">
        <v>0.632026975112291</v>
      </c>
      <c r="V5" s="32">
        <v>0.52521897476284929</v>
      </c>
      <c r="W5" s="32">
        <v>0.85188398309682667</v>
      </c>
    </row>
    <row r="6" spans="1:35" ht="16.2" x14ac:dyDescent="0.3">
      <c r="A6" s="9"/>
      <c r="B6" s="32">
        <v>1</v>
      </c>
      <c r="C6" s="33">
        <v>0.57272121559478895</v>
      </c>
      <c r="D6" s="42" t="s">
        <v>41</v>
      </c>
      <c r="E6" s="69">
        <v>0.41005356663305997</v>
      </c>
      <c r="F6" s="1" t="s">
        <v>40</v>
      </c>
      <c r="G6" s="33">
        <v>0.46068565208468598</v>
      </c>
      <c r="H6" s="83"/>
      <c r="I6" s="60" t="s">
        <v>40</v>
      </c>
      <c r="J6" s="44"/>
      <c r="L6" s="6" t="s">
        <v>13</v>
      </c>
      <c r="M6">
        <v>1</v>
      </c>
      <c r="N6" s="16">
        <v>0.33901319590394602</v>
      </c>
      <c r="O6">
        <v>1</v>
      </c>
      <c r="P6" s="23">
        <f>E29</f>
        <v>1.4974510102277188</v>
      </c>
      <c r="Q6">
        <v>1</v>
      </c>
      <c r="R6" s="23">
        <v>0.646953145735782</v>
      </c>
      <c r="T6" s="65" t="s">
        <v>106</v>
      </c>
      <c r="U6" s="32">
        <v>0.26268108059359935</v>
      </c>
      <c r="V6" s="32">
        <v>0.70292848936476293</v>
      </c>
      <c r="W6" s="32">
        <v>0.89376749261520272</v>
      </c>
    </row>
    <row r="7" spans="1:35" x14ac:dyDescent="0.3">
      <c r="A7" s="9"/>
      <c r="B7" s="32"/>
      <c r="C7" s="33">
        <v>0.500093941152013</v>
      </c>
      <c r="D7" s="42"/>
      <c r="E7" s="33">
        <v>0.83689698650414801</v>
      </c>
      <c r="F7" s="1"/>
      <c r="G7" s="69">
        <v>0.40727312108032798</v>
      </c>
      <c r="H7" s="83"/>
      <c r="L7" s="6" t="s">
        <v>14</v>
      </c>
      <c r="M7">
        <v>1</v>
      </c>
      <c r="N7" s="23">
        <v>7.1532270573802164</v>
      </c>
      <c r="O7">
        <v>1</v>
      </c>
      <c r="P7" s="23">
        <f>E36</f>
        <v>0.78970679703447966</v>
      </c>
      <c r="Q7">
        <v>1</v>
      </c>
      <c r="R7" s="23">
        <v>0.57592502260226064</v>
      </c>
      <c r="T7" s="63"/>
      <c r="U7" s="68" t="s">
        <v>11</v>
      </c>
      <c r="V7" s="68"/>
      <c r="W7" s="63"/>
    </row>
    <row r="8" spans="1:35" x14ac:dyDescent="0.3">
      <c r="A8" s="10" t="s">
        <v>9</v>
      </c>
      <c r="B8" s="36">
        <f>AVERAGE(B3:B5)</f>
        <v>1</v>
      </c>
      <c r="C8" s="37">
        <f>AVERAGE(C3:C7)</f>
        <v>0.58237069875566838</v>
      </c>
      <c r="D8" s="32"/>
      <c r="E8" s="37">
        <f>AVERAGE(E3:E7)</f>
        <v>0.70292848936476293</v>
      </c>
      <c r="F8" s="13"/>
      <c r="G8" s="36">
        <f>AVERAGE(G3:G7)</f>
        <v>0.52521897476284929</v>
      </c>
      <c r="H8" s="36"/>
      <c r="T8" s="63"/>
      <c r="U8" s="5" t="s">
        <v>0</v>
      </c>
      <c r="V8" s="5" t="s">
        <v>89</v>
      </c>
      <c r="W8" s="5" t="s">
        <v>15</v>
      </c>
    </row>
    <row r="9" spans="1:35" x14ac:dyDescent="0.3">
      <c r="A9" s="10" t="s">
        <v>10</v>
      </c>
      <c r="B9" s="36">
        <f>_xlfn.STDEV.P(B3:B5)</f>
        <v>0</v>
      </c>
      <c r="C9" s="38">
        <f>_xlfn.STDEV.P(C3:C7)</f>
        <v>7.1444643158512885E-2</v>
      </c>
      <c r="D9" s="32"/>
      <c r="E9" s="38">
        <f>_xlfn.STDEV.P(E3:E7)</f>
        <v>0.20734394186585511</v>
      </c>
      <c r="F9" s="13"/>
      <c r="G9" s="36">
        <f>_xlfn.STDEV.P(G3:G7)</f>
        <v>0.13086178961287928</v>
      </c>
      <c r="H9" s="83" t="s">
        <v>116</v>
      </c>
      <c r="T9" s="5" t="s">
        <v>2</v>
      </c>
      <c r="U9" s="32">
        <v>1</v>
      </c>
      <c r="V9" s="32">
        <v>1</v>
      </c>
      <c r="W9" s="32">
        <v>1</v>
      </c>
    </row>
    <row r="10" spans="1:35" ht="15" customHeight="1" x14ac:dyDescent="0.3">
      <c r="A10" s="6" t="s">
        <v>11</v>
      </c>
      <c r="B10" s="32">
        <v>1</v>
      </c>
      <c r="C10" s="33"/>
      <c r="D10" s="95" t="s">
        <v>113</v>
      </c>
      <c r="E10" s="35"/>
      <c r="F10" s="83" t="s">
        <v>114</v>
      </c>
      <c r="G10" s="33"/>
      <c r="H10" s="83"/>
      <c r="I10" t="s">
        <v>40</v>
      </c>
      <c r="L10" s="9"/>
      <c r="P10" s="23"/>
      <c r="T10" s="65" t="s">
        <v>108</v>
      </c>
      <c r="U10" s="32">
        <v>0.48489595930454471</v>
      </c>
      <c r="V10" s="75">
        <v>1.2373470213255431</v>
      </c>
      <c r="W10" s="32">
        <v>1.2643737170573899</v>
      </c>
    </row>
    <row r="11" spans="1:35" ht="14.4" customHeight="1" x14ac:dyDescent="0.3">
      <c r="A11" s="9"/>
      <c r="B11" s="32">
        <v>1</v>
      </c>
      <c r="C11" s="33"/>
      <c r="D11" s="95"/>
      <c r="E11" s="33"/>
      <c r="F11" s="83"/>
      <c r="G11" s="33"/>
      <c r="H11" s="83"/>
      <c r="L11" s="9"/>
      <c r="P11" s="23"/>
      <c r="T11" s="65" t="s">
        <v>107</v>
      </c>
      <c r="U11" s="32">
        <v>1.2911035616493038</v>
      </c>
      <c r="V11" s="32">
        <v>0.52412957667608995</v>
      </c>
      <c r="W11" s="75">
        <v>0.9428681464074633</v>
      </c>
    </row>
    <row r="12" spans="1:35" ht="16.2" x14ac:dyDescent="0.3">
      <c r="A12" s="9"/>
      <c r="B12" s="32"/>
      <c r="C12" s="69">
        <v>1.6580681798496399</v>
      </c>
      <c r="D12" s="95"/>
      <c r="E12" s="33">
        <v>0.88174524369330798</v>
      </c>
      <c r="F12" s="83"/>
      <c r="G12" s="33">
        <v>0.84395484472928195</v>
      </c>
      <c r="H12" s="83" t="s">
        <v>115</v>
      </c>
      <c r="L12" s="23"/>
      <c r="P12" s="23"/>
      <c r="T12" s="65" t="s">
        <v>106</v>
      </c>
      <c r="U12" s="32">
        <v>0.47531655710907134</v>
      </c>
      <c r="V12" s="32">
        <v>0.53438624483937203</v>
      </c>
      <c r="W12" s="32">
        <v>0.96410564105883623</v>
      </c>
    </row>
    <row r="13" spans="1:35" x14ac:dyDescent="0.3">
      <c r="A13" s="9"/>
      <c r="B13" s="32">
        <v>1</v>
      </c>
      <c r="C13" s="33">
        <v>0.81301969553223996</v>
      </c>
      <c r="D13" s="42" t="s">
        <v>40</v>
      </c>
      <c r="E13" s="33">
        <v>0.58461348648300804</v>
      </c>
      <c r="F13" s="1" t="s">
        <v>40</v>
      </c>
      <c r="G13" s="33">
        <v>0.569717058229116</v>
      </c>
      <c r="H13" s="83"/>
      <c r="I13" t="s">
        <v>40</v>
      </c>
      <c r="L13" s="23"/>
      <c r="P13" s="23"/>
      <c r="T13" s="63"/>
      <c r="U13" s="68" t="s">
        <v>12</v>
      </c>
      <c r="V13" s="68"/>
      <c r="W13" s="63"/>
    </row>
    <row r="14" spans="1:35" x14ac:dyDescent="0.3">
      <c r="A14" s="9"/>
      <c r="B14" s="32"/>
      <c r="C14" s="33">
        <v>1.24095318859475</v>
      </c>
      <c r="D14" s="42"/>
      <c r="E14" s="69">
        <v>0.13680000434180001</v>
      </c>
      <c r="F14" s="1"/>
      <c r="G14" s="69">
        <v>0.158716827069872</v>
      </c>
      <c r="H14" s="83"/>
      <c r="L14" s="23"/>
      <c r="P14" s="23"/>
      <c r="T14" s="63"/>
      <c r="U14" s="5" t="s">
        <v>0</v>
      </c>
      <c r="V14" s="5" t="s">
        <v>89</v>
      </c>
      <c r="W14" s="5" t="s">
        <v>15</v>
      </c>
    </row>
    <row r="15" spans="1:35" x14ac:dyDescent="0.3">
      <c r="A15" s="10" t="s">
        <v>9</v>
      </c>
      <c r="B15" s="36">
        <f>AVERAGE(B10:B12)</f>
        <v>1</v>
      </c>
      <c r="C15" s="37">
        <f>AVERAGE(C10:C14)</f>
        <v>1.2373470213255431</v>
      </c>
      <c r="D15" s="32"/>
      <c r="E15" s="37">
        <f>AVERAGE(E10:E14)</f>
        <v>0.53438624483937203</v>
      </c>
      <c r="F15" s="16"/>
      <c r="G15" s="36">
        <f>AVERAGE(G10:G14)</f>
        <v>0.52412957667608995</v>
      </c>
      <c r="H15" s="36"/>
      <c r="L15" s="23"/>
      <c r="M15" s="94"/>
      <c r="N15" s="94"/>
      <c r="O15" s="94"/>
      <c r="Q15" s="94"/>
      <c r="R15" s="94"/>
      <c r="T15" s="5" t="s">
        <v>2</v>
      </c>
      <c r="U15" s="32">
        <v>1</v>
      </c>
      <c r="V15" s="32">
        <v>1</v>
      </c>
      <c r="W15" s="32">
        <v>1</v>
      </c>
    </row>
    <row r="16" spans="1:35" x14ac:dyDescent="0.3">
      <c r="A16" s="10" t="s">
        <v>10</v>
      </c>
      <c r="B16" s="36">
        <f>_xlfn.STDEV.P(B10:B12)</f>
        <v>0</v>
      </c>
      <c r="C16" s="38">
        <f>_xlfn.STDEV.P(C10:C14)</f>
        <v>0.34499902274602112</v>
      </c>
      <c r="D16" s="32"/>
      <c r="E16" s="38">
        <f>_xlfn.STDEV.P(E10:E14)</f>
        <v>0.3061894122494167</v>
      </c>
      <c r="F16" s="16"/>
      <c r="G16" s="36">
        <f>_xlfn.STDEV.P(G10:G14)</f>
        <v>0.28159835353118334</v>
      </c>
      <c r="H16" s="83" t="s">
        <v>120</v>
      </c>
      <c r="L16" s="23"/>
      <c r="T16" s="65" t="s">
        <v>108</v>
      </c>
      <c r="U16" s="32">
        <v>0.73505420769490792</v>
      </c>
      <c r="V16" s="75">
        <v>1.0361007916614504</v>
      </c>
      <c r="W16" s="32">
        <v>1.2513874246589276</v>
      </c>
    </row>
    <row r="17" spans="1:23" ht="15" customHeight="1" x14ac:dyDescent="0.3">
      <c r="A17" s="6" t="s">
        <v>12</v>
      </c>
      <c r="B17" s="32">
        <v>1</v>
      </c>
      <c r="C17" s="33"/>
      <c r="D17" s="95" t="s">
        <v>117</v>
      </c>
      <c r="E17" s="34"/>
      <c r="F17" s="83" t="s">
        <v>118</v>
      </c>
      <c r="G17" s="33"/>
      <c r="H17" s="83"/>
      <c r="I17" t="s">
        <v>40</v>
      </c>
      <c r="P17" s="23"/>
      <c r="Q17" s="23"/>
      <c r="T17" s="65" t="s">
        <v>107</v>
      </c>
      <c r="U17" s="32">
        <v>3.2897537803532431</v>
      </c>
      <c r="V17" s="32">
        <v>1.2817150694374366</v>
      </c>
      <c r="W17" s="32">
        <v>1.1363819106344695</v>
      </c>
    </row>
    <row r="18" spans="1:23" ht="14.4" customHeight="1" x14ac:dyDescent="0.3">
      <c r="A18" s="9"/>
      <c r="B18" s="32">
        <v>1</v>
      </c>
      <c r="C18" s="69"/>
      <c r="D18" s="95"/>
      <c r="E18" s="33"/>
      <c r="F18" s="83"/>
      <c r="G18" s="69"/>
      <c r="H18" s="83"/>
      <c r="L18" s="23"/>
      <c r="P18" s="23"/>
      <c r="Q18" s="23"/>
      <c r="T18" s="65" t="s">
        <v>106</v>
      </c>
      <c r="U18" s="32">
        <v>0.53470915387607698</v>
      </c>
      <c r="V18" s="32">
        <v>0.85599107222884807</v>
      </c>
      <c r="W18" s="32">
        <v>0.82278503785930635</v>
      </c>
    </row>
    <row r="19" spans="1:23" x14ac:dyDescent="0.3">
      <c r="A19" s="9"/>
      <c r="B19" s="32"/>
      <c r="C19" s="33">
        <v>1.1363368771436499</v>
      </c>
      <c r="D19" s="95"/>
      <c r="E19" s="33">
        <v>0.87104442192245302</v>
      </c>
      <c r="F19" s="83"/>
      <c r="G19" s="33">
        <v>1.11537038707193</v>
      </c>
      <c r="H19" s="83" t="s">
        <v>119</v>
      </c>
      <c r="L19" s="23"/>
      <c r="P19" s="23"/>
      <c r="Q19" s="23"/>
      <c r="T19" s="63"/>
      <c r="U19" s="68" t="s">
        <v>13</v>
      </c>
      <c r="V19" s="68"/>
      <c r="W19" s="63"/>
    </row>
    <row r="20" spans="1:23" x14ac:dyDescent="0.3">
      <c r="A20" s="9"/>
      <c r="B20" s="32">
        <v>1</v>
      </c>
      <c r="C20" s="33">
        <v>0.91067030114199099</v>
      </c>
      <c r="D20" s="42" t="s">
        <v>40</v>
      </c>
      <c r="E20" s="33">
        <v>0.735284655275937</v>
      </c>
      <c r="F20" s="1" t="s">
        <v>40</v>
      </c>
      <c r="G20" s="33">
        <v>1.3792164663062301</v>
      </c>
      <c r="H20" s="83"/>
      <c r="I20" t="s">
        <v>41</v>
      </c>
      <c r="L20" s="23"/>
      <c r="P20" s="23"/>
      <c r="Q20" s="23"/>
      <c r="T20" s="63"/>
      <c r="U20" s="5" t="s">
        <v>0</v>
      </c>
      <c r="V20" s="5" t="s">
        <v>89</v>
      </c>
      <c r="W20" s="5" t="s">
        <v>15</v>
      </c>
    </row>
    <row r="21" spans="1:23" x14ac:dyDescent="0.3">
      <c r="A21" s="9"/>
      <c r="B21" s="32"/>
      <c r="C21" s="33">
        <v>1.0612951966987101</v>
      </c>
      <c r="D21" s="42"/>
      <c r="E21" s="33">
        <v>0.96164413948815397</v>
      </c>
      <c r="F21" s="1"/>
      <c r="G21" s="33">
        <v>1.35055835493415</v>
      </c>
      <c r="H21" s="83"/>
      <c r="L21" s="23"/>
      <c r="P21" s="23"/>
      <c r="Q21" s="23"/>
      <c r="T21" s="5" t="s">
        <v>2</v>
      </c>
      <c r="U21" s="32">
        <v>1</v>
      </c>
      <c r="V21" s="32">
        <v>1</v>
      </c>
      <c r="W21" s="32">
        <v>1</v>
      </c>
    </row>
    <row r="22" spans="1:23" x14ac:dyDescent="0.3">
      <c r="A22" s="10" t="s">
        <v>9</v>
      </c>
      <c r="B22" s="36">
        <f>AVERAGE(B17:B19)</f>
        <v>1</v>
      </c>
      <c r="C22" s="36">
        <f>AVERAGE(C17:C21)</f>
        <v>1.0361007916614504</v>
      </c>
      <c r="D22" s="32"/>
      <c r="E22" s="37">
        <f>AVERAGE(E17:E21)</f>
        <v>0.85599107222884807</v>
      </c>
      <c r="F22" s="16"/>
      <c r="G22" s="36">
        <f>AVERAGE(G17:G21)</f>
        <v>1.2817150694374366</v>
      </c>
      <c r="H22" s="66"/>
      <c r="L22" s="23"/>
      <c r="Q22" s="23"/>
      <c r="T22" s="65" t="s">
        <v>108</v>
      </c>
      <c r="U22" s="32">
        <v>0.6297732619100963</v>
      </c>
      <c r="V22" s="32">
        <v>1.2141773908679654</v>
      </c>
      <c r="W22" s="32">
        <v>1.0010438041424861</v>
      </c>
    </row>
    <row r="23" spans="1:23" x14ac:dyDescent="0.3">
      <c r="A23" s="10" t="s">
        <v>10</v>
      </c>
      <c r="B23" s="36">
        <f>_xlfn.STDEV.P(B17:B19)</f>
        <v>0</v>
      </c>
      <c r="C23" s="36">
        <f>_xlfn.STDEV.P(C17:C21)</f>
        <v>9.3834675235985321E-2</v>
      </c>
      <c r="D23" s="32"/>
      <c r="E23" s="38">
        <f>_xlfn.STDEV.P(E17:E21)</f>
        <v>9.3021884614871445E-2</v>
      </c>
      <c r="F23" s="16"/>
      <c r="G23" s="36">
        <f>_xlfn.STDEV.P(G17:G21)</f>
        <v>0.11820388276283372</v>
      </c>
      <c r="H23" s="83" t="s">
        <v>124</v>
      </c>
      <c r="L23" s="23"/>
      <c r="O23" s="23"/>
      <c r="Q23" s="23"/>
      <c r="T23" s="65" t="s">
        <v>107</v>
      </c>
      <c r="U23" s="32">
        <v>0.57977062385116829</v>
      </c>
      <c r="V23" s="32">
        <v>1.4361683703771868</v>
      </c>
      <c r="W23" s="32">
        <v>1.2422219213387333</v>
      </c>
    </row>
    <row r="24" spans="1:23" ht="15" customHeight="1" x14ac:dyDescent="0.3">
      <c r="A24" s="6" t="s">
        <v>13</v>
      </c>
      <c r="B24" s="32">
        <v>1</v>
      </c>
      <c r="C24" s="33"/>
      <c r="D24" s="95" t="s">
        <v>121</v>
      </c>
      <c r="E24" s="35"/>
      <c r="F24" s="83" t="s">
        <v>122</v>
      </c>
      <c r="G24" s="33"/>
      <c r="H24" s="83"/>
      <c r="I24" t="s">
        <v>41</v>
      </c>
      <c r="L24" s="23"/>
      <c r="O24" s="23"/>
      <c r="Q24" s="23"/>
      <c r="T24" s="65" t="s">
        <v>106</v>
      </c>
      <c r="U24" s="32">
        <v>0.5295784258948717</v>
      </c>
      <c r="V24" s="32">
        <v>1.4974510102277188</v>
      </c>
      <c r="W24" s="32">
        <v>1.1939975747301166</v>
      </c>
    </row>
    <row r="25" spans="1:23" ht="14.4" customHeight="1" x14ac:dyDescent="0.3">
      <c r="A25" s="9"/>
      <c r="B25" s="32">
        <v>1</v>
      </c>
      <c r="C25" s="33"/>
      <c r="D25" s="95"/>
      <c r="E25" s="33"/>
      <c r="F25" s="83"/>
      <c r="G25" s="33"/>
      <c r="H25" s="83"/>
      <c r="J25" s="23"/>
      <c r="L25" s="23"/>
      <c r="O25" s="23"/>
      <c r="Q25" s="23"/>
      <c r="T25" s="63"/>
      <c r="U25" s="68" t="s">
        <v>14</v>
      </c>
      <c r="V25" s="63"/>
      <c r="W25" s="63"/>
    </row>
    <row r="26" spans="1:23" x14ac:dyDescent="0.3">
      <c r="A26" s="9"/>
      <c r="B26" s="32"/>
      <c r="C26" s="33">
        <v>0.88342969654264503</v>
      </c>
      <c r="D26" s="95"/>
      <c r="E26" s="33">
        <v>1.1707018304564001</v>
      </c>
      <c r="F26" s="83"/>
      <c r="G26" s="33">
        <v>1.48249263425911</v>
      </c>
      <c r="H26" s="83" t="s">
        <v>123</v>
      </c>
      <c r="J26" s="23"/>
      <c r="L26" s="23"/>
      <c r="O26" s="23"/>
      <c r="T26" s="63"/>
      <c r="U26" s="5" t="s">
        <v>0</v>
      </c>
      <c r="V26" s="5" t="s">
        <v>89</v>
      </c>
      <c r="W26" s="5" t="s">
        <v>15</v>
      </c>
    </row>
    <row r="27" spans="1:23" x14ac:dyDescent="0.3">
      <c r="A27" s="9"/>
      <c r="B27" s="32">
        <v>1</v>
      </c>
      <c r="C27" s="69">
        <v>1.83657397247069</v>
      </c>
      <c r="D27" s="42" t="s">
        <v>40</v>
      </c>
      <c r="E27" s="33">
        <v>0.91568600308244597</v>
      </c>
      <c r="F27" s="1" t="s">
        <v>40</v>
      </c>
      <c r="G27" s="69">
        <v>1.24974544946993</v>
      </c>
      <c r="H27" s="83"/>
      <c r="I27" t="s">
        <v>40</v>
      </c>
      <c r="J27" s="23"/>
      <c r="L27" s="23"/>
      <c r="O27" s="23"/>
      <c r="T27" s="5" t="s">
        <v>2</v>
      </c>
      <c r="U27" s="32">
        <v>1</v>
      </c>
      <c r="V27" s="32">
        <v>1</v>
      </c>
      <c r="W27" s="32">
        <v>1</v>
      </c>
    </row>
    <row r="28" spans="1:23" x14ac:dyDescent="0.3">
      <c r="A28" s="9"/>
      <c r="B28" s="32"/>
      <c r="C28" s="33">
        <v>0.92252850359056104</v>
      </c>
      <c r="D28" s="42"/>
      <c r="E28" s="69">
        <v>2.4059651971443099</v>
      </c>
      <c r="F28" s="1"/>
      <c r="G28" s="33">
        <v>1.5762670274025199</v>
      </c>
      <c r="H28" s="83"/>
      <c r="J28" s="23"/>
      <c r="L28" s="23"/>
      <c r="T28" s="65" t="s">
        <v>108</v>
      </c>
      <c r="U28" s="32">
        <v>0.54267543478116198</v>
      </c>
      <c r="V28" s="75">
        <v>0.95557723510029913</v>
      </c>
      <c r="W28" s="32">
        <v>0.77393914362303506</v>
      </c>
    </row>
    <row r="29" spans="1:23" x14ac:dyDescent="0.3">
      <c r="A29" s="10" t="s">
        <v>9</v>
      </c>
      <c r="B29" s="36">
        <f>AVERAGE(B24:B26)</f>
        <v>1</v>
      </c>
      <c r="C29" s="36">
        <f>AVERAGE(C24:C28)</f>
        <v>1.2141773908679654</v>
      </c>
      <c r="D29" s="32"/>
      <c r="E29" s="37">
        <f>AVERAGE(E24:E28)</f>
        <v>1.4974510102277188</v>
      </c>
      <c r="F29" s="16"/>
      <c r="G29" s="36">
        <f>AVERAGE(G24:G28)</f>
        <v>1.4361683703771868</v>
      </c>
      <c r="H29" s="67"/>
      <c r="J29" s="23"/>
      <c r="L29" s="13"/>
      <c r="T29" s="65" t="s">
        <v>107</v>
      </c>
      <c r="U29" s="32">
        <v>2.1164560368436449</v>
      </c>
      <c r="V29" s="32">
        <v>1.23664800272279</v>
      </c>
      <c r="W29" s="32">
        <v>1.2908249390264499</v>
      </c>
    </row>
    <row r="30" spans="1:23" ht="16.2" x14ac:dyDescent="0.3">
      <c r="A30" s="10" t="s">
        <v>10</v>
      </c>
      <c r="B30" s="36">
        <f>_xlfn.STDEV.P(B24:B26)</f>
        <v>0</v>
      </c>
      <c r="C30" s="36">
        <f>_xlfn.STDEV.P(C24:C28)</f>
        <v>0.44039021164660375</v>
      </c>
      <c r="D30" s="32"/>
      <c r="E30" s="38">
        <f>_xlfn.STDEV.P(E24:E28)</f>
        <v>0.65079786361273062</v>
      </c>
      <c r="F30" s="16"/>
      <c r="G30" s="36">
        <f>_xlfn.STDEV.P(G24:G28)</f>
        <v>0.13726747194692226</v>
      </c>
      <c r="H30" s="83" t="s">
        <v>128</v>
      </c>
      <c r="L30" s="16"/>
      <c r="T30" s="65" t="s">
        <v>106</v>
      </c>
      <c r="U30" s="32">
        <v>0.43667859075690552</v>
      </c>
      <c r="V30" s="32">
        <v>0.78970679703447966</v>
      </c>
      <c r="W30" s="32">
        <v>0.9422806839422927</v>
      </c>
    </row>
    <row r="31" spans="1:23" ht="15" customHeight="1" x14ac:dyDescent="0.3">
      <c r="A31" s="6" t="s">
        <v>14</v>
      </c>
      <c r="B31" s="32">
        <v>1</v>
      </c>
      <c r="C31" s="33"/>
      <c r="D31" s="95" t="s">
        <v>125</v>
      </c>
      <c r="E31" s="35"/>
      <c r="F31" s="83" t="s">
        <v>126</v>
      </c>
      <c r="G31" s="33"/>
      <c r="H31" s="83"/>
      <c r="I31" t="s">
        <v>41</v>
      </c>
      <c r="L31" s="16"/>
      <c r="S31" t="s">
        <v>93</v>
      </c>
      <c r="T31" s="63"/>
      <c r="U31" s="68" t="s">
        <v>8</v>
      </c>
      <c r="V31" s="68"/>
      <c r="W31" s="63"/>
    </row>
    <row r="32" spans="1:23" ht="14.4" customHeight="1" x14ac:dyDescent="0.3">
      <c r="B32" s="32">
        <v>1</v>
      </c>
      <c r="C32" s="33"/>
      <c r="D32" s="95"/>
      <c r="E32" s="69"/>
      <c r="F32" s="83"/>
      <c r="G32" s="33"/>
      <c r="H32" s="83"/>
      <c r="L32" s="16"/>
      <c r="T32" s="63"/>
      <c r="U32" s="5" t="s">
        <v>0</v>
      </c>
      <c r="V32" s="5" t="s">
        <v>89</v>
      </c>
      <c r="W32" s="5" t="s">
        <v>15</v>
      </c>
    </row>
    <row r="33" spans="1:23" x14ac:dyDescent="0.3">
      <c r="B33" s="32"/>
      <c r="C33" s="33">
        <v>0.92867299248611701</v>
      </c>
      <c r="D33" s="95"/>
      <c r="E33" s="33">
        <v>0.84901604203695102</v>
      </c>
      <c r="F33" s="83"/>
      <c r="G33" s="33">
        <v>1.15993438870049</v>
      </c>
      <c r="H33" s="83" t="s">
        <v>127</v>
      </c>
      <c r="L33" s="23"/>
      <c r="T33" s="5" t="s">
        <v>2</v>
      </c>
      <c r="U33" s="32">
        <v>0</v>
      </c>
      <c r="V33" s="32">
        <v>0</v>
      </c>
      <c r="W33" s="32">
        <v>0</v>
      </c>
    </row>
    <row r="34" spans="1:23" x14ac:dyDescent="0.3">
      <c r="B34" s="32">
        <v>1</v>
      </c>
      <c r="C34" s="33">
        <v>0.90400701647318005</v>
      </c>
      <c r="D34" s="42" t="s">
        <v>40</v>
      </c>
      <c r="E34" s="33">
        <v>0.70961999865884395</v>
      </c>
      <c r="F34" s="1" t="s">
        <v>41</v>
      </c>
      <c r="G34" s="69">
        <v>1.3142035482946699</v>
      </c>
      <c r="H34" s="83"/>
      <c r="I34" t="s">
        <v>39</v>
      </c>
      <c r="T34" s="65" t="s">
        <v>108</v>
      </c>
      <c r="U34" s="32">
        <v>6.7842825340607177E-2</v>
      </c>
      <c r="V34" s="75">
        <v>7.1444643158512885E-2</v>
      </c>
      <c r="W34" s="32">
        <v>0.16865507491794787</v>
      </c>
    </row>
    <row r="35" spans="1:23" x14ac:dyDescent="0.3">
      <c r="B35" s="32"/>
      <c r="C35" s="33">
        <v>1.0340516963416</v>
      </c>
      <c r="D35" s="42"/>
      <c r="E35" s="33">
        <v>0.81048435040764399</v>
      </c>
      <c r="F35" s="1"/>
      <c r="G35" s="33">
        <v>1.23580607117321</v>
      </c>
      <c r="H35" s="83"/>
      <c r="T35" s="65" t="s">
        <v>107</v>
      </c>
      <c r="U35" s="75">
        <v>0.32814498508472417</v>
      </c>
      <c r="V35" s="32">
        <v>0.13086178961287928</v>
      </c>
      <c r="W35" s="32">
        <v>5.4465931923654176E-2</v>
      </c>
    </row>
    <row r="36" spans="1:23" ht="16.2" x14ac:dyDescent="0.3">
      <c r="A36" s="10" t="s">
        <v>9</v>
      </c>
      <c r="B36" s="36">
        <f>AVERAGE(B31:B33)</f>
        <v>1</v>
      </c>
      <c r="C36" s="36">
        <f>AVERAGE(C31:C35)</f>
        <v>0.95557723510029913</v>
      </c>
      <c r="D36" s="32"/>
      <c r="E36" s="37">
        <f>AVERAGE(E31:E35)</f>
        <v>0.78970679703447966</v>
      </c>
      <c r="F36" s="23"/>
      <c r="G36" s="36">
        <f>AVERAGE(G31:G35)</f>
        <v>1.23664800272279</v>
      </c>
      <c r="H36" s="66"/>
      <c r="T36" s="65" t="s">
        <v>106</v>
      </c>
      <c r="U36" s="75">
        <v>7.75329312528234E-2</v>
      </c>
      <c r="V36" s="32">
        <v>0.20734394186585511</v>
      </c>
      <c r="W36" s="32">
        <v>0.2623581164663969</v>
      </c>
    </row>
    <row r="37" spans="1:23" x14ac:dyDescent="0.3">
      <c r="A37" s="10" t="s">
        <v>10</v>
      </c>
      <c r="B37" s="36">
        <f>_xlfn.STDEV.P(B31:B33)</f>
        <v>0</v>
      </c>
      <c r="C37" s="36">
        <f>_xlfn.STDEV.P(C31:C35)</f>
        <v>5.6396119213423614E-2</v>
      </c>
      <c r="D37" s="32"/>
      <c r="E37" s="38">
        <f>_xlfn.STDEV.P(E31:E35)</f>
        <v>5.8774111480587532E-2</v>
      </c>
      <c r="F37" s="23"/>
      <c r="G37" s="36">
        <f>_xlfn.STDEV.P(G31:G35)</f>
        <v>6.2982934392443526E-2</v>
      </c>
      <c r="H37" s="66"/>
      <c r="Q37" s="23"/>
      <c r="T37" s="63"/>
      <c r="U37" s="68" t="s">
        <v>11</v>
      </c>
      <c r="V37" s="68"/>
      <c r="W37" s="63"/>
    </row>
    <row r="38" spans="1:23" x14ac:dyDescent="0.3">
      <c r="Q38" s="23"/>
      <c r="T38" s="63"/>
      <c r="U38" s="5" t="s">
        <v>0</v>
      </c>
      <c r="V38" s="5" t="s">
        <v>89</v>
      </c>
      <c r="W38" s="5" t="s">
        <v>15</v>
      </c>
    </row>
    <row r="39" spans="1:23" x14ac:dyDescent="0.3">
      <c r="Q39" s="23"/>
      <c r="T39" s="5" t="s">
        <v>2</v>
      </c>
      <c r="U39" s="32">
        <v>0</v>
      </c>
      <c r="V39" s="32">
        <v>0</v>
      </c>
      <c r="W39" s="32">
        <v>0</v>
      </c>
    </row>
    <row r="40" spans="1:23" x14ac:dyDescent="0.3">
      <c r="A40" s="47" t="s">
        <v>49</v>
      </c>
      <c r="Q40" s="23"/>
      <c r="T40" s="65" t="s">
        <v>108</v>
      </c>
      <c r="U40" s="32">
        <v>0.24012818661574292</v>
      </c>
      <c r="V40" s="75">
        <v>0.34499902274602112</v>
      </c>
      <c r="W40" s="32">
        <v>5.5918047019754447E-2</v>
      </c>
    </row>
    <row r="41" spans="1:23" x14ac:dyDescent="0.3">
      <c r="A41" s="48" t="s">
        <v>50</v>
      </c>
      <c r="Q41" s="13"/>
      <c r="T41" s="65" t="s">
        <v>107</v>
      </c>
      <c r="U41" s="75">
        <v>1.1972042573709099</v>
      </c>
      <c r="V41" s="32">
        <v>0.28159835353118334</v>
      </c>
      <c r="W41" s="32">
        <v>0.33809205605587983</v>
      </c>
    </row>
    <row r="42" spans="1:23" ht="16.2" x14ac:dyDescent="0.3">
      <c r="A42" s="49" t="s">
        <v>51</v>
      </c>
      <c r="Q42" s="16"/>
      <c r="T42" s="65" t="s">
        <v>106</v>
      </c>
      <c r="U42" s="75">
        <v>0.23657205730394013</v>
      </c>
      <c r="V42" s="32">
        <v>0.3061894122494167</v>
      </c>
      <c r="W42" s="32">
        <v>0.45684358664598801</v>
      </c>
    </row>
    <row r="43" spans="1:23" x14ac:dyDescent="0.3">
      <c r="Q43" s="16"/>
      <c r="T43" s="63"/>
      <c r="U43" s="68" t="s">
        <v>12</v>
      </c>
      <c r="V43" s="68"/>
      <c r="W43" s="63"/>
    </row>
    <row r="44" spans="1:23" x14ac:dyDescent="0.3">
      <c r="A44" s="2"/>
      <c r="B44" s="85" t="s">
        <v>0</v>
      </c>
      <c r="C44" s="85"/>
      <c r="D44" s="85"/>
      <c r="E44" s="85"/>
      <c r="F44" s="56"/>
      <c r="G44" s="56"/>
      <c r="H44" s="56"/>
      <c r="Q44" s="16"/>
      <c r="T44" s="63"/>
      <c r="U44" s="5" t="s">
        <v>0</v>
      </c>
      <c r="V44" s="5" t="s">
        <v>89</v>
      </c>
      <c r="W44" s="5" t="s">
        <v>15</v>
      </c>
    </row>
    <row r="45" spans="1:23" x14ac:dyDescent="0.3">
      <c r="A45" s="4"/>
      <c r="B45" s="2" t="s">
        <v>2</v>
      </c>
      <c r="C45" s="5" t="s">
        <v>7</v>
      </c>
      <c r="D45" s="5"/>
      <c r="E45" s="5" t="s">
        <v>105</v>
      </c>
      <c r="F45" s="5"/>
      <c r="G45" s="5" t="s">
        <v>3</v>
      </c>
      <c r="H45" s="83" t="s">
        <v>138</v>
      </c>
      <c r="Q45" s="23"/>
      <c r="T45" s="5" t="s">
        <v>2</v>
      </c>
      <c r="U45" s="32">
        <v>0</v>
      </c>
      <c r="V45" s="32">
        <v>0</v>
      </c>
      <c r="W45" s="32">
        <v>0</v>
      </c>
    </row>
    <row r="46" spans="1:23" ht="14.4" customHeight="1" x14ac:dyDescent="0.3">
      <c r="A46" s="6" t="s">
        <v>8</v>
      </c>
      <c r="B46" s="32">
        <v>1</v>
      </c>
      <c r="C46" s="8">
        <v>0.38021537392565202</v>
      </c>
      <c r="D46" s="89" t="s">
        <v>135</v>
      </c>
      <c r="E46" s="31">
        <v>0.203069051015597</v>
      </c>
      <c r="F46" s="83" t="s">
        <v>136</v>
      </c>
      <c r="G46" s="8">
        <v>0.775351384514535</v>
      </c>
      <c r="H46" s="83"/>
      <c r="I46" t="s">
        <v>40</v>
      </c>
      <c r="T46" s="65" t="s">
        <v>108</v>
      </c>
      <c r="U46" s="32">
        <v>0.2305224628217391</v>
      </c>
      <c r="V46" s="75">
        <v>9.3834675235985321E-2</v>
      </c>
      <c r="W46" s="32">
        <v>0.20360343388684427</v>
      </c>
    </row>
    <row r="47" spans="1:23" ht="14.4" customHeight="1" x14ac:dyDescent="0.3">
      <c r="A47" s="9"/>
      <c r="B47" s="32">
        <v>1</v>
      </c>
      <c r="C47" s="8"/>
      <c r="D47" s="89"/>
      <c r="E47" s="8"/>
      <c r="F47" s="83"/>
      <c r="G47" s="31"/>
      <c r="H47" s="83"/>
      <c r="J47" s="76"/>
      <c r="T47" s="65" t="s">
        <v>107</v>
      </c>
      <c r="U47" s="75">
        <v>2.3158237000094699</v>
      </c>
      <c r="V47" s="32">
        <v>0.11820388276283372</v>
      </c>
      <c r="W47" s="32">
        <v>0.15422996651399373</v>
      </c>
    </row>
    <row r="48" spans="1:23" ht="16.2" x14ac:dyDescent="0.3">
      <c r="A48" s="9"/>
      <c r="B48" s="32"/>
      <c r="C48" s="8">
        <v>0.243840295426034</v>
      </c>
      <c r="D48" s="89"/>
      <c r="E48" s="8">
        <v>0.372185511867347</v>
      </c>
      <c r="F48" s="83"/>
      <c r="G48" s="8">
        <v>0.94261113351552095</v>
      </c>
      <c r="H48" s="83" t="s">
        <v>137</v>
      </c>
      <c r="T48" s="65" t="s">
        <v>106</v>
      </c>
      <c r="U48" s="75">
        <v>0.19504225097308803</v>
      </c>
      <c r="V48" s="32">
        <v>9.3021884614871445E-2</v>
      </c>
      <c r="W48" s="32">
        <v>0.21553908382946885</v>
      </c>
    </row>
    <row r="49" spans="1:23" x14ac:dyDescent="0.3">
      <c r="A49" s="9"/>
      <c r="B49" s="32">
        <v>1</v>
      </c>
      <c r="C49" s="8">
        <v>0.22978855726504699</v>
      </c>
      <c r="D49" s="62" t="s">
        <v>39</v>
      </c>
      <c r="E49" s="8">
        <v>0.21278867889785399</v>
      </c>
      <c r="F49" s="1" t="s">
        <v>39</v>
      </c>
      <c r="G49" s="31">
        <v>0.17811840730681699</v>
      </c>
      <c r="H49" s="83"/>
      <c r="I49" t="s">
        <v>40</v>
      </c>
      <c r="T49" s="63"/>
      <c r="U49" s="68" t="s">
        <v>13</v>
      </c>
      <c r="V49" s="68"/>
      <c r="W49" s="63"/>
    </row>
    <row r="50" spans="1:23" x14ac:dyDescent="0.3">
      <c r="A50" s="9"/>
      <c r="B50" s="32"/>
      <c r="C50" s="31"/>
      <c r="D50" s="62"/>
      <c r="E50" s="31"/>
      <c r="F50" s="1"/>
      <c r="G50" s="8"/>
      <c r="H50" s="83"/>
      <c r="T50" s="63"/>
      <c r="U50" s="5" t="s">
        <v>0</v>
      </c>
      <c r="V50" s="5" t="s">
        <v>89</v>
      </c>
      <c r="W50" s="5" t="s">
        <v>15</v>
      </c>
    </row>
    <row r="51" spans="1:23" x14ac:dyDescent="0.3">
      <c r="A51" s="10" t="s">
        <v>9</v>
      </c>
      <c r="B51" s="36">
        <f>AVERAGE(B46:B48)</f>
        <v>1</v>
      </c>
      <c r="C51" s="12">
        <f>AVERAGE(C46:C50)</f>
        <v>0.28461474220557764</v>
      </c>
      <c r="E51" s="12">
        <f>AVERAGE(E46:E50)</f>
        <v>0.26268108059359935</v>
      </c>
      <c r="F51" s="13"/>
      <c r="G51" s="12">
        <f>AVERAGE(G46:G50)</f>
        <v>0.632026975112291</v>
      </c>
      <c r="H51" s="13"/>
      <c r="T51" s="5" t="s">
        <v>2</v>
      </c>
      <c r="U51" s="32">
        <v>0</v>
      </c>
      <c r="V51" s="32">
        <v>0</v>
      </c>
      <c r="W51" s="32">
        <v>0</v>
      </c>
    </row>
    <row r="52" spans="1:23" x14ac:dyDescent="0.3">
      <c r="A52" s="10" t="s">
        <v>10</v>
      </c>
      <c r="B52" s="36">
        <f>_xlfn.STDEV.P(B46:B48)</f>
        <v>0</v>
      </c>
      <c r="C52" s="12">
        <f>_xlfn.STDEV.P(C46:C50)</f>
        <v>6.7842825340607177E-2</v>
      </c>
      <c r="E52" s="12">
        <f>_xlfn.STDEV.P(E46:E50)</f>
        <v>7.75329312528234E-2</v>
      </c>
      <c r="F52" s="13"/>
      <c r="G52" s="12">
        <f>_xlfn.STDEV.P(G46:G50)</f>
        <v>0.32814498508472417</v>
      </c>
      <c r="H52" s="83" t="s">
        <v>140</v>
      </c>
      <c r="T52" s="65" t="s">
        <v>108</v>
      </c>
      <c r="U52" s="32">
        <v>0.23232807927829904</v>
      </c>
      <c r="V52" s="32">
        <v>0.44039021164660375</v>
      </c>
      <c r="W52" s="32">
        <v>0.21708618680161063</v>
      </c>
    </row>
    <row r="53" spans="1:23" ht="14.4" customHeight="1" x14ac:dyDescent="0.3">
      <c r="A53" s="6" t="s">
        <v>11</v>
      </c>
      <c r="B53" s="32">
        <v>1</v>
      </c>
      <c r="C53" s="31">
        <v>0.29399686211527598</v>
      </c>
      <c r="D53" s="96" t="s">
        <v>139</v>
      </c>
      <c r="E53" s="31">
        <v>0.26033532128493803</v>
      </c>
      <c r="F53" s="83" t="s">
        <v>141</v>
      </c>
      <c r="G53" s="8">
        <v>0.57081356069015798</v>
      </c>
      <c r="H53" s="83"/>
      <c r="I53" t="s">
        <v>40</v>
      </c>
      <c r="T53" s="65" t="s">
        <v>107</v>
      </c>
      <c r="U53" s="75">
        <v>0.10703327534817704</v>
      </c>
      <c r="V53" s="32">
        <v>0.13726747194692226</v>
      </c>
      <c r="W53" s="32">
        <v>0.17768908851679099</v>
      </c>
    </row>
    <row r="54" spans="1:23" ht="16.2" x14ac:dyDescent="0.3">
      <c r="A54" s="9"/>
      <c r="B54" s="32">
        <v>1</v>
      </c>
      <c r="C54" s="8"/>
      <c r="D54" s="96"/>
      <c r="E54" s="8"/>
      <c r="F54" s="83"/>
      <c r="G54" s="31"/>
      <c r="H54" s="83"/>
      <c r="T54" s="65" t="s">
        <v>106</v>
      </c>
      <c r="U54" s="75">
        <v>0.38165208953274737</v>
      </c>
      <c r="V54" s="32">
        <v>0.65079786361273062</v>
      </c>
      <c r="W54" s="32">
        <v>0.24197243952116418</v>
      </c>
    </row>
    <row r="55" spans="1:23" x14ac:dyDescent="0.3">
      <c r="A55" s="9"/>
      <c r="B55" s="32"/>
      <c r="C55" s="8">
        <v>0.337116253839785</v>
      </c>
      <c r="D55" s="96"/>
      <c r="E55" s="8">
        <v>0.36080084937212797</v>
      </c>
      <c r="F55" s="83"/>
      <c r="G55" s="31">
        <v>2.9782126862442402</v>
      </c>
      <c r="H55" s="83" t="s">
        <v>129</v>
      </c>
      <c r="T55" s="63"/>
      <c r="U55" s="68" t="s">
        <v>14</v>
      </c>
      <c r="V55" s="63"/>
      <c r="W55" s="63"/>
    </row>
    <row r="56" spans="1:23" x14ac:dyDescent="0.3">
      <c r="A56" s="9"/>
      <c r="B56" s="32">
        <v>1</v>
      </c>
      <c r="C56" s="8">
        <v>0.82357476195857304</v>
      </c>
      <c r="D56" s="64" t="s">
        <v>40</v>
      </c>
      <c r="E56" s="8">
        <v>0.80481350067014801</v>
      </c>
      <c r="F56" s="1" t="s">
        <v>40</v>
      </c>
      <c r="G56" s="8">
        <v>0.32428443801351298</v>
      </c>
      <c r="H56" s="83"/>
      <c r="I56" t="s">
        <v>40</v>
      </c>
      <c r="T56" s="63"/>
      <c r="U56" s="5" t="s">
        <v>0</v>
      </c>
      <c r="V56" s="5" t="s">
        <v>89</v>
      </c>
      <c r="W56" s="5" t="s">
        <v>15</v>
      </c>
    </row>
    <row r="57" spans="1:23" x14ac:dyDescent="0.3">
      <c r="A57" s="9"/>
      <c r="B57" s="32"/>
      <c r="C57" s="31"/>
      <c r="D57" s="64"/>
      <c r="E57" s="31"/>
      <c r="F57" s="1"/>
      <c r="G57" s="8"/>
      <c r="H57" s="83"/>
      <c r="T57" s="5" t="s">
        <v>2</v>
      </c>
      <c r="U57" s="32">
        <v>0</v>
      </c>
      <c r="V57" s="32">
        <v>0</v>
      </c>
      <c r="W57" s="32">
        <v>0</v>
      </c>
    </row>
    <row r="58" spans="1:23" x14ac:dyDescent="0.3">
      <c r="A58" s="10" t="s">
        <v>9</v>
      </c>
      <c r="B58" s="36">
        <f>AVERAGE(B53:B55)</f>
        <v>1</v>
      </c>
      <c r="C58" s="15">
        <f>AVERAGE(C53:C57)</f>
        <v>0.48489595930454471</v>
      </c>
      <c r="E58" s="15">
        <f>AVERAGE(E53:E57)</f>
        <v>0.47531655710907134</v>
      </c>
      <c r="F58" s="16"/>
      <c r="G58" s="15">
        <f>AVERAGE(G53:G57)</f>
        <v>1.2911035616493038</v>
      </c>
      <c r="H58" s="16"/>
      <c r="J58" t="s">
        <v>130</v>
      </c>
      <c r="K58">
        <v>4</v>
      </c>
      <c r="T58" s="65" t="s">
        <v>108</v>
      </c>
      <c r="U58" s="32">
        <v>0.15878603779654207</v>
      </c>
      <c r="V58" s="75">
        <v>5.6396119213423614E-2</v>
      </c>
      <c r="W58" s="32">
        <v>0.14947608409182805</v>
      </c>
    </row>
    <row r="59" spans="1:23" x14ac:dyDescent="0.3">
      <c r="A59" s="10" t="s">
        <v>10</v>
      </c>
      <c r="B59" s="36">
        <f>_xlfn.STDEV.P(B53:B55)</f>
        <v>0</v>
      </c>
      <c r="C59" s="15">
        <f>_xlfn.STDEV.P(C53:C57)</f>
        <v>0.24012818661574292</v>
      </c>
      <c r="E59" s="15">
        <f>_xlfn.STDEV.P(E53:E57)</f>
        <v>0.23657205730394013</v>
      </c>
      <c r="F59" s="16"/>
      <c r="G59" s="15">
        <f>_xlfn.STDEV.P(G53:G57)</f>
        <v>1.1972042573709099</v>
      </c>
      <c r="H59" s="83" t="s">
        <v>145</v>
      </c>
      <c r="J59" t="s">
        <v>131</v>
      </c>
      <c r="K59">
        <v>6</v>
      </c>
      <c r="T59" s="65" t="s">
        <v>107</v>
      </c>
      <c r="U59" s="32">
        <v>0.98202342928320541</v>
      </c>
      <c r="V59" s="32">
        <v>6.2982934392443526E-2</v>
      </c>
      <c r="W59" s="32">
        <v>0.16009399843803906</v>
      </c>
    </row>
    <row r="60" spans="1:23" ht="14.4" customHeight="1" x14ac:dyDescent="0.3">
      <c r="A60" s="6" t="s">
        <v>12</v>
      </c>
      <c r="B60" s="32">
        <v>1</v>
      </c>
      <c r="C60" s="8">
        <v>0.82674158996314195</v>
      </c>
      <c r="D60" s="89" t="s">
        <v>142</v>
      </c>
      <c r="E60" s="31">
        <v>0.25918765720291098</v>
      </c>
      <c r="F60" s="83" t="s">
        <v>143</v>
      </c>
      <c r="G60" s="8">
        <v>1.3558277007439601</v>
      </c>
      <c r="H60" s="83"/>
      <c r="I60" t="s">
        <v>40</v>
      </c>
      <c r="J60" t="s">
        <v>132</v>
      </c>
      <c r="K60">
        <v>3</v>
      </c>
      <c r="T60" s="65" t="s">
        <v>106</v>
      </c>
      <c r="U60" s="32">
        <v>0.18647291987207945</v>
      </c>
      <c r="V60" s="32">
        <v>5.8774111480587532E-2</v>
      </c>
      <c r="W60" s="32">
        <v>0.127238409173452</v>
      </c>
    </row>
    <row r="61" spans="1:23" x14ac:dyDescent="0.3">
      <c r="A61" s="9"/>
      <c r="B61" s="32">
        <v>1</v>
      </c>
      <c r="C61" s="31"/>
      <c r="D61" s="89"/>
      <c r="E61" s="8"/>
      <c r="F61" s="83"/>
      <c r="G61" s="31"/>
      <c r="H61" s="83"/>
      <c r="J61" t="s">
        <v>133</v>
      </c>
      <c r="K61">
        <v>1</v>
      </c>
      <c r="T61" s="63"/>
      <c r="U61" s="63"/>
      <c r="V61" s="63"/>
      <c r="W61" s="63"/>
    </row>
    <row r="62" spans="1:23" x14ac:dyDescent="0.3">
      <c r="A62" s="9"/>
      <c r="B62" s="32"/>
      <c r="C62" s="31">
        <v>0.41827514281328798</v>
      </c>
      <c r="D62" s="89"/>
      <c r="E62" s="8">
        <v>0.68379015619424299</v>
      </c>
      <c r="F62" s="83"/>
      <c r="G62" s="31">
        <v>6.5457136644640599</v>
      </c>
      <c r="H62" s="83" t="s">
        <v>144</v>
      </c>
      <c r="J62" t="s">
        <v>134</v>
      </c>
      <c r="K62">
        <v>7</v>
      </c>
      <c r="T62" s="63"/>
      <c r="U62" s="63"/>
      <c r="V62" s="63"/>
      <c r="W62" s="63"/>
    </row>
    <row r="63" spans="1:23" x14ac:dyDescent="0.3">
      <c r="A63" s="9"/>
      <c r="B63" s="32">
        <v>1</v>
      </c>
      <c r="C63" s="77">
        <v>0.960145890308294</v>
      </c>
      <c r="D63" s="62" t="s">
        <v>40</v>
      </c>
      <c r="E63" s="8">
        <v>0.66114964823107703</v>
      </c>
      <c r="F63" s="1" t="s">
        <v>40</v>
      </c>
      <c r="G63" s="8">
        <v>1.9677199758517101</v>
      </c>
      <c r="H63" s="83"/>
      <c r="I63" t="s">
        <v>40</v>
      </c>
      <c r="T63" s="63"/>
      <c r="U63" s="63"/>
      <c r="V63" s="63"/>
      <c r="W63" s="63"/>
    </row>
    <row r="64" spans="1:23" x14ac:dyDescent="0.3">
      <c r="A64" s="9"/>
      <c r="B64" s="32"/>
      <c r="C64" s="8"/>
      <c r="D64" s="62"/>
      <c r="E64" s="31"/>
      <c r="F64" s="1"/>
      <c r="G64" s="8"/>
      <c r="H64" s="83"/>
      <c r="T64" s="63"/>
      <c r="U64" s="63"/>
      <c r="V64" s="63"/>
      <c r="W64" s="63"/>
    </row>
    <row r="65" spans="1:23" x14ac:dyDescent="0.3">
      <c r="A65" s="10" t="s">
        <v>9</v>
      </c>
      <c r="B65" s="36">
        <f>AVERAGE(B60:B62)</f>
        <v>1</v>
      </c>
      <c r="C65" s="15">
        <f>AVERAGE(C60:C64)</f>
        <v>0.73505420769490792</v>
      </c>
      <c r="E65" s="15">
        <f>AVERAGE(E60:E64)</f>
        <v>0.53470915387607698</v>
      </c>
      <c r="F65" s="16"/>
      <c r="G65" s="15">
        <f>AVERAGE(G60:G64)</f>
        <v>3.2897537803532431</v>
      </c>
      <c r="H65" s="16"/>
      <c r="T65" s="63"/>
      <c r="U65" s="63"/>
      <c r="V65" s="63"/>
      <c r="W65" s="63"/>
    </row>
    <row r="66" spans="1:23" x14ac:dyDescent="0.3">
      <c r="A66" s="10" t="s">
        <v>10</v>
      </c>
      <c r="B66" s="36">
        <f>_xlfn.STDEV.P(B60:B62)</f>
        <v>0</v>
      </c>
      <c r="C66" s="15">
        <f>_xlfn.STDEV.P(C60:C64)</f>
        <v>0.2305224628217391</v>
      </c>
      <c r="E66" s="15">
        <f>_xlfn.STDEV.P(E60:E64)</f>
        <v>0.19504225097308803</v>
      </c>
      <c r="F66" s="16"/>
      <c r="G66" s="15">
        <f>_xlfn.STDEV.P(G60:G64)</f>
        <v>2.3158237000094699</v>
      </c>
      <c r="H66" s="83" t="s">
        <v>149</v>
      </c>
      <c r="T66" s="63"/>
      <c r="U66" s="63"/>
      <c r="V66" s="63"/>
      <c r="W66" s="63"/>
    </row>
    <row r="67" spans="1:23" ht="14.4" customHeight="1" x14ac:dyDescent="0.3">
      <c r="A67" s="6" t="s">
        <v>13</v>
      </c>
      <c r="B67" s="32">
        <v>1</v>
      </c>
      <c r="C67" s="8">
        <v>0.95013271071382399</v>
      </c>
      <c r="D67" s="89" t="s">
        <v>146</v>
      </c>
      <c r="E67" s="8">
        <v>1.0565498890582501</v>
      </c>
      <c r="F67" s="83" t="s">
        <v>147</v>
      </c>
      <c r="G67" s="8">
        <v>0.55910054686208699</v>
      </c>
      <c r="H67" s="83"/>
      <c r="I67" t="s">
        <v>41</v>
      </c>
      <c r="T67" s="63"/>
      <c r="U67" s="63"/>
      <c r="V67" s="63"/>
      <c r="W67" s="63"/>
    </row>
    <row r="68" spans="1:23" x14ac:dyDescent="0.3">
      <c r="A68" s="9"/>
      <c r="B68" s="32">
        <v>1</v>
      </c>
      <c r="C68" s="31"/>
      <c r="D68" s="89"/>
      <c r="E68" s="8"/>
      <c r="F68" s="83"/>
      <c r="G68" s="31"/>
      <c r="H68" s="83"/>
    </row>
    <row r="69" spans="1:23" x14ac:dyDescent="0.3">
      <c r="A69" s="9"/>
      <c r="B69" s="32"/>
      <c r="C69" s="31">
        <v>0.40641227206234198</v>
      </c>
      <c r="D69" s="89"/>
      <c r="E69" s="31">
        <v>0.16503190109615701</v>
      </c>
      <c r="F69" s="83"/>
      <c r="G69" s="8">
        <v>0.46024518342472598</v>
      </c>
      <c r="H69" s="83" t="s">
        <v>148</v>
      </c>
    </row>
    <row r="70" spans="1:23" x14ac:dyDescent="0.3">
      <c r="A70" s="9"/>
      <c r="B70" s="32">
        <v>1</v>
      </c>
      <c r="C70" s="8">
        <v>0.53277480295412305</v>
      </c>
      <c r="D70" s="62" t="s">
        <v>40</v>
      </c>
      <c r="E70" s="8">
        <v>0.36715348753020799</v>
      </c>
      <c r="F70" s="1" t="s">
        <v>40</v>
      </c>
      <c r="G70" s="8">
        <v>0.71996614126669201</v>
      </c>
      <c r="H70" s="83"/>
      <c r="I70" t="s">
        <v>40</v>
      </c>
    </row>
    <row r="71" spans="1:23" x14ac:dyDescent="0.3">
      <c r="A71" s="9"/>
      <c r="B71" s="32"/>
      <c r="C71" s="8"/>
      <c r="D71" s="62"/>
      <c r="E71" s="31"/>
      <c r="F71" s="1"/>
      <c r="G71" s="31"/>
      <c r="H71" s="83"/>
    </row>
    <row r="72" spans="1:23" x14ac:dyDescent="0.3">
      <c r="A72" s="10" t="s">
        <v>9</v>
      </c>
      <c r="B72" s="36">
        <f>AVERAGE(B67:B69)</f>
        <v>1</v>
      </c>
      <c r="C72" s="15">
        <f>AVERAGE(C67:C71)</f>
        <v>0.6297732619100963</v>
      </c>
      <c r="E72" s="15">
        <f>AVERAGE(E67:E71)</f>
        <v>0.5295784258948717</v>
      </c>
      <c r="F72" s="16"/>
      <c r="G72" s="15">
        <f>AVERAGE(G67:G71)</f>
        <v>0.57977062385116829</v>
      </c>
      <c r="H72" s="16"/>
    </row>
    <row r="73" spans="1:23" x14ac:dyDescent="0.3">
      <c r="A73" s="10" t="s">
        <v>10</v>
      </c>
      <c r="B73" s="36">
        <f>_xlfn.STDEV.P(B67:B69)</f>
        <v>0</v>
      </c>
      <c r="C73" s="15">
        <f>_xlfn.STDEV.P(C67:C71)</f>
        <v>0.23232807927829904</v>
      </c>
      <c r="E73" s="15">
        <f>_xlfn.STDEV.P(E67:E71)</f>
        <v>0.38165208953274737</v>
      </c>
      <c r="F73" s="16"/>
      <c r="G73" s="15">
        <f>_xlfn.STDEV.P(G67:G71)</f>
        <v>0.10703327534817704</v>
      </c>
      <c r="H73" s="83" t="s">
        <v>153</v>
      </c>
    </row>
    <row r="74" spans="1:23" ht="14.4" customHeight="1" x14ac:dyDescent="0.3">
      <c r="A74" s="6" t="s">
        <v>14</v>
      </c>
      <c r="B74" s="32">
        <v>1</v>
      </c>
      <c r="C74" s="31">
        <v>0.38388939698461999</v>
      </c>
      <c r="D74" s="89" t="s">
        <v>150</v>
      </c>
      <c r="E74" s="31">
        <v>0.25020567088482598</v>
      </c>
      <c r="F74" s="83" t="s">
        <v>151</v>
      </c>
      <c r="G74" s="8">
        <v>3.0984794661268502</v>
      </c>
      <c r="H74" s="83"/>
      <c r="I74" t="s">
        <v>40</v>
      </c>
    </row>
    <row r="75" spans="1:23" x14ac:dyDescent="0.3">
      <c r="B75" s="32">
        <v>1</v>
      </c>
      <c r="C75" s="31"/>
      <c r="D75" s="89"/>
      <c r="E75" s="8"/>
      <c r="F75" s="83"/>
      <c r="G75" s="31"/>
      <c r="H75" s="83"/>
    </row>
    <row r="76" spans="1:23" x14ac:dyDescent="0.3">
      <c r="B76" s="32"/>
      <c r="C76" s="8"/>
      <c r="D76" s="89"/>
      <c r="E76" s="8"/>
      <c r="F76" s="83"/>
      <c r="G76" s="8"/>
      <c r="H76" s="83" t="s">
        <v>152</v>
      </c>
    </row>
    <row r="77" spans="1:23" x14ac:dyDescent="0.3">
      <c r="B77" s="32">
        <v>1</v>
      </c>
      <c r="C77" s="8">
        <v>0.70146147257770397</v>
      </c>
      <c r="D77" s="62" t="s">
        <v>40</v>
      </c>
      <c r="E77" s="8">
        <v>0.62315151062898499</v>
      </c>
      <c r="F77" s="1" t="s">
        <v>40</v>
      </c>
      <c r="G77" s="8">
        <v>1.1344326075604401</v>
      </c>
      <c r="H77" s="83"/>
      <c r="I77" t="s">
        <v>40</v>
      </c>
    </row>
    <row r="78" spans="1:23" x14ac:dyDescent="0.3">
      <c r="B78" s="32"/>
      <c r="C78" s="8"/>
      <c r="D78" s="62"/>
      <c r="E78" s="31"/>
      <c r="F78" s="1"/>
      <c r="G78" s="8"/>
      <c r="H78" s="83"/>
    </row>
    <row r="79" spans="1:23" x14ac:dyDescent="0.3">
      <c r="A79" s="10" t="s">
        <v>9</v>
      </c>
      <c r="B79" s="36">
        <f>AVERAGE(B74:B76)</f>
        <v>1</v>
      </c>
      <c r="C79" s="22">
        <f>AVERAGE(C74:C78)</f>
        <v>0.54267543478116198</v>
      </c>
      <c r="E79" s="22">
        <f>AVERAGE(E74:E78)</f>
        <v>0.43667859075690552</v>
      </c>
      <c r="F79" s="23"/>
      <c r="G79" s="22">
        <f>AVERAGE(G74:G78)</f>
        <v>2.1164560368436449</v>
      </c>
      <c r="H79" s="23"/>
    </row>
    <row r="80" spans="1:23" x14ac:dyDescent="0.3">
      <c r="A80" s="10" t="s">
        <v>10</v>
      </c>
      <c r="B80" s="36">
        <f>_xlfn.STDEV.P(B74:B76)</f>
        <v>0</v>
      </c>
      <c r="C80" s="22">
        <f>_xlfn.STDEV.P(C74:C78)</f>
        <v>0.15878603779654207</v>
      </c>
      <c r="E80" s="22">
        <f>_xlfn.STDEV.P(E74:E78)</f>
        <v>0.18647291987207945</v>
      </c>
      <c r="F80" s="23"/>
      <c r="G80" s="22">
        <f>_xlfn.STDEV.P(G74:G78)</f>
        <v>0.98202342928320541</v>
      </c>
      <c r="H80" s="23"/>
    </row>
  </sheetData>
  <mergeCells count="47">
    <mergeCell ref="H73:H75"/>
    <mergeCell ref="H76:H78"/>
    <mergeCell ref="H52:H54"/>
    <mergeCell ref="H55:H57"/>
    <mergeCell ref="H59:H61"/>
    <mergeCell ref="H62:H64"/>
    <mergeCell ref="H66:H68"/>
    <mergeCell ref="H69:H71"/>
    <mergeCell ref="H23:H25"/>
    <mergeCell ref="H26:H28"/>
    <mergeCell ref="H30:H32"/>
    <mergeCell ref="H33:H35"/>
    <mergeCell ref="H45:H47"/>
    <mergeCell ref="H48:H50"/>
    <mergeCell ref="H2:H4"/>
    <mergeCell ref="H5:H7"/>
    <mergeCell ref="H9:H11"/>
    <mergeCell ref="D74:D76"/>
    <mergeCell ref="F74:F76"/>
    <mergeCell ref="D53:D55"/>
    <mergeCell ref="F53:F55"/>
    <mergeCell ref="D60:D62"/>
    <mergeCell ref="F60:F62"/>
    <mergeCell ref="D67:D69"/>
    <mergeCell ref="F67:F69"/>
    <mergeCell ref="D24:D26"/>
    <mergeCell ref="F24:F26"/>
    <mergeCell ref="D31:D33"/>
    <mergeCell ref="F31:F33"/>
    <mergeCell ref="B44:E44"/>
    <mergeCell ref="D46:D48"/>
    <mergeCell ref="F46:F48"/>
    <mergeCell ref="D10:D12"/>
    <mergeCell ref="F10:F12"/>
    <mergeCell ref="M15:O15"/>
    <mergeCell ref="Q15:R15"/>
    <mergeCell ref="D17:D19"/>
    <mergeCell ref="F17:F19"/>
    <mergeCell ref="H12:H14"/>
    <mergeCell ref="H16:H18"/>
    <mergeCell ref="H19:H21"/>
    <mergeCell ref="B1:E1"/>
    <mergeCell ref="M1:N1"/>
    <mergeCell ref="O1:P1"/>
    <mergeCell ref="Q1:R1"/>
    <mergeCell ref="D3:D5"/>
    <mergeCell ref="F3:F5"/>
  </mergeCells>
  <phoneticPr fontId="12" type="noConversion"/>
  <pageMargins left="0.7" right="0.7" top="0.78740157499999996" bottom="0.78740157499999996" header="0.3" footer="0.3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4594-A03A-4831-999D-DF2AE2669296}">
  <dimension ref="B4:E12"/>
  <sheetViews>
    <sheetView workbookViewId="0">
      <selection activeCell="M28" sqref="M28"/>
    </sheetView>
  </sheetViews>
  <sheetFormatPr defaultRowHeight="14.4" x14ac:dyDescent="0.3"/>
  <cols>
    <col min="2" max="2" width="15.33203125" customWidth="1"/>
  </cols>
  <sheetData>
    <row r="4" spans="2:5" x14ac:dyDescent="0.3">
      <c r="B4" s="63"/>
      <c r="C4" s="5" t="s">
        <v>0</v>
      </c>
      <c r="D4" s="5" t="s">
        <v>89</v>
      </c>
      <c r="E4" s="5" t="s">
        <v>15</v>
      </c>
    </row>
    <row r="5" spans="2:5" x14ac:dyDescent="0.3">
      <c r="B5" s="5" t="s">
        <v>2</v>
      </c>
      <c r="C5" s="32">
        <v>1</v>
      </c>
      <c r="D5" s="32">
        <v>1</v>
      </c>
      <c r="E5" s="32">
        <v>1</v>
      </c>
    </row>
    <row r="6" spans="2:5" x14ac:dyDescent="0.3">
      <c r="B6" s="5"/>
      <c r="C6" s="32">
        <v>0</v>
      </c>
      <c r="D6" s="32">
        <v>0</v>
      </c>
      <c r="E6" s="32">
        <v>0</v>
      </c>
    </row>
    <row r="7" spans="2:5" x14ac:dyDescent="0.3">
      <c r="B7" s="65" t="s">
        <v>91</v>
      </c>
      <c r="C7" s="75">
        <v>7.7502571355039107</v>
      </c>
      <c r="D7" s="75">
        <v>2.1071143478513759</v>
      </c>
      <c r="E7" s="32">
        <v>0.51661437584856762</v>
      </c>
    </row>
    <row r="8" spans="2:5" x14ac:dyDescent="0.3">
      <c r="B8" s="65"/>
      <c r="C8" s="75">
        <v>3.7374865966962507</v>
      </c>
      <c r="D8" s="75">
        <v>0.95631392667795867</v>
      </c>
      <c r="E8" s="32">
        <v>7.6466370728340893E-2</v>
      </c>
    </row>
    <row r="9" spans="2:5" x14ac:dyDescent="0.3">
      <c r="B9" s="65" t="s">
        <v>90</v>
      </c>
      <c r="C9" s="32">
        <v>4.175842727490207</v>
      </c>
      <c r="D9" s="32">
        <v>0.45879515225881001</v>
      </c>
      <c r="E9" s="32">
        <v>0.4889302771679947</v>
      </c>
    </row>
    <row r="10" spans="2:5" x14ac:dyDescent="0.3">
      <c r="B10" s="65"/>
      <c r="C10" s="32">
        <v>0.82014327195477865</v>
      </c>
      <c r="D10" s="32">
        <v>0.15803638051771288</v>
      </c>
      <c r="E10" s="32">
        <v>6.8516147456994858E-2</v>
      </c>
    </row>
    <row r="11" spans="2:5" ht="16.2" x14ac:dyDescent="0.3">
      <c r="B11" s="65" t="s">
        <v>154</v>
      </c>
      <c r="C11" s="32">
        <v>0.53470915387607698</v>
      </c>
      <c r="D11" s="32">
        <v>0.85599107222884807</v>
      </c>
      <c r="E11" s="32">
        <v>0.82278503785930635</v>
      </c>
    </row>
    <row r="12" spans="2:5" x14ac:dyDescent="0.3">
      <c r="C12">
        <v>0.23657205730394013</v>
      </c>
      <c r="D12">
        <v>0.3061894122494167</v>
      </c>
      <c r="E12">
        <v>0.45684358664598801</v>
      </c>
    </row>
  </sheetData>
  <phoneticPr fontId="1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topLeftCell="C1" zoomScale="150" zoomScaleNormal="150" workbookViewId="0">
      <selection activeCell="G16" sqref="G16"/>
    </sheetView>
  </sheetViews>
  <sheetFormatPr defaultColWidth="11.5546875" defaultRowHeight="14.4" x14ac:dyDescent="0.3"/>
  <cols>
    <col min="1" max="1" width="17.33203125" customWidth="1"/>
    <col min="2" max="2" width="15" customWidth="1"/>
    <col min="3" max="3" width="6.6640625" customWidth="1"/>
    <col min="4" max="4" width="13.6640625" customWidth="1"/>
    <col min="7" max="7" width="16.109375" customWidth="1"/>
  </cols>
  <sheetData>
    <row r="1" spans="1:7" ht="16.2" thickBot="1" x14ac:dyDescent="0.4">
      <c r="A1" s="55" t="s">
        <v>68</v>
      </c>
      <c r="B1" s="55" t="s">
        <v>69</v>
      </c>
    </row>
    <row r="2" spans="1:7" x14ac:dyDescent="0.3">
      <c r="A2" s="57">
        <v>0.95799999999999996</v>
      </c>
      <c r="B2" s="54">
        <v>1.6</v>
      </c>
      <c r="D2" t="s">
        <v>70</v>
      </c>
      <c r="E2">
        <f>PEARSON(A2:A6,B2:B6)</f>
        <v>0.93639550821188589</v>
      </c>
    </row>
    <row r="3" spans="1:7" x14ac:dyDescent="0.3">
      <c r="A3" s="58">
        <v>2.0619999999999998</v>
      </c>
      <c r="B3" s="52">
        <v>1.8</v>
      </c>
      <c r="D3" t="s">
        <v>71</v>
      </c>
      <c r="E3">
        <f xml:space="preserve"> COUNT(B2:B6)</f>
        <v>5</v>
      </c>
    </row>
    <row r="4" spans="1:7" x14ac:dyDescent="0.3">
      <c r="A4" s="58">
        <v>1.7809999999999999</v>
      </c>
      <c r="B4" s="52">
        <v>1.7</v>
      </c>
      <c r="D4" t="s">
        <v>72</v>
      </c>
      <c r="E4">
        <f xml:space="preserve"> (E2*(SQRT(E3-2)))/(SQRT(1-E2^2))</f>
        <v>4.6214581267195607</v>
      </c>
    </row>
    <row r="5" spans="1:7" x14ac:dyDescent="0.3">
      <c r="A5" s="58">
        <v>-1.5609999999999999</v>
      </c>
      <c r="B5" s="52">
        <v>-1.6</v>
      </c>
      <c r="D5" t="s">
        <v>73</v>
      </c>
      <c r="E5">
        <f>E3-2</f>
        <v>3</v>
      </c>
      <c r="G5" t="s">
        <v>75</v>
      </c>
    </row>
    <row r="6" spans="1:7" ht="15" thickBot="1" x14ac:dyDescent="0.35">
      <c r="A6" s="59">
        <v>2.8380000000000001</v>
      </c>
      <c r="B6" s="53">
        <v>1.8</v>
      </c>
      <c r="D6" t="s">
        <v>74</v>
      </c>
      <c r="E6">
        <f>TDIST(E4,E5,2)</f>
        <v>1.9071204662005802E-2</v>
      </c>
      <c r="F6" t="s">
        <v>41</v>
      </c>
    </row>
  </sheetData>
  <pageMargins left="0.7" right="0.7" top="0.78740157499999996" bottom="0.78740157499999996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PDM new new new_combined</vt:lpstr>
      <vt:lpstr>ESTADÍSTICA</vt:lpstr>
      <vt:lpstr>S-PL WT normalized</vt:lpstr>
      <vt:lpstr>All 3 replicates_DVEL2</vt:lpstr>
      <vt:lpstr>All 3 replicates_DVOS1_DIDD</vt:lpstr>
      <vt:lpstr>05600</vt:lpstr>
      <vt:lpstr>Pearson 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Reißmann, Julia</dc:creator>
  <cp:lastModifiedBy>Chavez Rodriguez, Luciana</cp:lastModifiedBy>
  <dcterms:created xsi:type="dcterms:W3CDTF">2024-08-28T06:18:54Z</dcterms:created>
  <dcterms:modified xsi:type="dcterms:W3CDTF">2025-07-01T19:37:17Z</dcterms:modified>
</cp:coreProperties>
</file>