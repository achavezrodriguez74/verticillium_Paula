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wageningenur4-my.sharepoint.com/personal/luciana_chavezrodriguez_wur_nl/Documents/UCI_projects/Project_8 (Reviews)/Family/Pere/doctorado/datasets/"/>
    </mc:Choice>
  </mc:AlternateContent>
  <xr:revisionPtr revIDLastSave="32" documentId="13_ncr:1_{578A9C13-FC68-4373-AB87-57A77AF82651}" xr6:coauthVersionLast="47" xr6:coauthVersionMax="47" xr10:uidLastSave="{6EB75F20-F1A4-4F1E-9499-D08543345403}"/>
  <bookViews>
    <workbookView xWindow="-108" yWindow="-108" windowWidth="23256" windowHeight="12456" activeTab="4" xr2:uid="{00000000-000D-0000-FFFF-FFFF00000000}"/>
  </bookViews>
  <sheets>
    <sheet name="SXM" sheetId="1" r:id="rId1"/>
    <sheet name="PDM" sheetId="2" r:id="rId2"/>
    <sheet name="PLATE" sheetId="3" r:id="rId3"/>
    <sheet name="Sheet1" sheetId="6" r:id="rId4"/>
    <sheet name="OE" sheetId="7" r:id="rId5"/>
    <sheet name="Growth comb.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6" l="1"/>
  <c r="L6" i="6"/>
  <c r="K7" i="6"/>
  <c r="L7" i="6"/>
  <c r="Q6" i="6"/>
  <c r="R6" i="6"/>
  <c r="Q7" i="6"/>
  <c r="R7" i="6"/>
  <c r="E6" i="6"/>
  <c r="F6" i="6"/>
  <c r="E7" i="6"/>
  <c r="F7" i="6"/>
  <c r="Q5" i="6"/>
  <c r="R5" i="6"/>
  <c r="K5" i="6"/>
  <c r="L5" i="6"/>
  <c r="R4" i="6"/>
  <c r="Q4" i="6"/>
  <c r="L4" i="6"/>
  <c r="K4" i="6"/>
  <c r="E5" i="6"/>
  <c r="F5" i="6"/>
  <c r="F4" i="6"/>
  <c r="E4" i="6"/>
  <c r="P7" i="6"/>
  <c r="O7" i="6"/>
  <c r="P6" i="6"/>
  <c r="O6" i="6"/>
  <c r="J7" i="6"/>
  <c r="I7" i="6"/>
  <c r="J6" i="6"/>
  <c r="I6" i="6"/>
  <c r="D7" i="6"/>
  <c r="C7" i="6"/>
  <c r="D6" i="6"/>
  <c r="C6" i="6"/>
  <c r="K15" i="5" l="1"/>
  <c r="J15" i="5"/>
  <c r="L10" i="5"/>
  <c r="K10" i="5"/>
  <c r="J10" i="5"/>
  <c r="K8" i="5"/>
  <c r="J7" i="5"/>
  <c r="D25" i="5"/>
  <c r="J18" i="5" s="1"/>
  <c r="F24" i="5"/>
  <c r="L18" i="5" s="1"/>
  <c r="E24" i="5"/>
  <c r="K18" i="5" s="1"/>
  <c r="F23" i="5"/>
  <c r="E23" i="5"/>
  <c r="D23" i="5"/>
  <c r="J17" i="5" s="1"/>
  <c r="F22" i="5"/>
  <c r="L17" i="5" s="1"/>
  <c r="E22" i="5"/>
  <c r="K17" i="5" s="1"/>
  <c r="F20" i="5"/>
  <c r="L16" i="5" s="1"/>
  <c r="E20" i="5"/>
  <c r="K16" i="5" s="1"/>
  <c r="D20" i="5"/>
  <c r="J16" i="5" s="1"/>
  <c r="E19" i="5"/>
  <c r="D19" i="5"/>
  <c r="F18" i="5"/>
  <c r="F17" i="5"/>
  <c r="L13" i="5" s="1"/>
  <c r="E17" i="5"/>
  <c r="K13" i="5" s="1"/>
  <c r="D17" i="5"/>
  <c r="J13" i="5" s="1"/>
  <c r="F16" i="5"/>
  <c r="E16" i="5"/>
  <c r="D16" i="5"/>
  <c r="F15" i="5"/>
  <c r="E15" i="5"/>
  <c r="K12" i="5" s="1"/>
  <c r="D15" i="5"/>
  <c r="J12" i="5" s="1"/>
  <c r="F14" i="5"/>
  <c r="F13" i="5"/>
  <c r="L11" i="5" s="1"/>
  <c r="E13" i="5"/>
  <c r="K11" i="5" s="1"/>
  <c r="D13" i="5"/>
  <c r="J11" i="5" s="1"/>
  <c r="F12" i="5"/>
  <c r="E12" i="5"/>
  <c r="D12" i="5"/>
  <c r="F11" i="5"/>
  <c r="D11" i="5"/>
  <c r="J8" i="5" s="1"/>
  <c r="F10" i="5"/>
  <c r="F9" i="5"/>
  <c r="F8" i="5"/>
  <c r="E8" i="5"/>
  <c r="K7" i="5" s="1"/>
  <c r="F7" i="5"/>
  <c r="E7" i="5"/>
  <c r="D7" i="5"/>
  <c r="F6" i="5"/>
  <c r="L6" i="5" s="1"/>
  <c r="E6" i="5"/>
  <c r="D6" i="5"/>
  <c r="J6" i="5" s="1"/>
  <c r="L12" i="5" l="1"/>
  <c r="K6" i="5"/>
  <c r="L8" i="5"/>
  <c r="L7" i="5"/>
  <c r="D17" i="2"/>
  <c r="C17" i="2"/>
  <c r="D16" i="2"/>
  <c r="C16" i="2"/>
  <c r="D8" i="2"/>
  <c r="C8" i="2"/>
  <c r="D7" i="2"/>
  <c r="C7" i="2"/>
  <c r="D17" i="3" l="1"/>
  <c r="D16" i="3"/>
  <c r="D8" i="3"/>
  <c r="D7" i="3"/>
  <c r="C17" i="3"/>
  <c r="C16" i="3"/>
  <c r="C8" i="3"/>
  <c r="C7" i="3"/>
  <c r="D17" i="1" l="1"/>
  <c r="C17" i="1"/>
  <c r="D16" i="1"/>
  <c r="C16" i="1"/>
  <c r="D8" i="1"/>
  <c r="C8" i="1"/>
  <c r="D7" i="1"/>
  <c r="C7" i="1"/>
</calcChain>
</file>

<file path=xl/sharedStrings.xml><?xml version="1.0" encoding="utf-8"?>
<sst xmlns="http://schemas.openxmlformats.org/spreadsheetml/2006/main" count="147" uniqueCount="43">
  <si>
    <t>SXM</t>
  </si>
  <si>
    <t>WT</t>
  </si>
  <si>
    <t>Chr1g15480</t>
  </si>
  <si>
    <t>AVERAGE</t>
  </si>
  <si>
    <t>SD</t>
  </si>
  <si>
    <t>Chr4g08340</t>
  </si>
  <si>
    <t>Welch's t-test: p = 0.00273</t>
  </si>
  <si>
    <t>Welch's t-test: p = 0.00414</t>
  </si>
  <si>
    <t>PLATE</t>
  </si>
  <si>
    <t>Welch's t-test: p = 0.15892</t>
  </si>
  <si>
    <t>Welch's t-test: p = 0.14406</t>
  </si>
  <si>
    <t>PDM</t>
  </si>
  <si>
    <t>Welch's t-test: p = 0.07413</t>
  </si>
  <si>
    <t>Student's t-test: p = 0.01341</t>
  </si>
  <si>
    <t>Welch's t-test: p = 0.41577</t>
  </si>
  <si>
    <t>oeLLM1 1a</t>
  </si>
  <si>
    <t>oeLLM1 2a</t>
  </si>
  <si>
    <t>Δ08340 C1</t>
  </si>
  <si>
    <t>Δ08340 C7</t>
  </si>
  <si>
    <t>oe08340 C2</t>
  </si>
  <si>
    <t>oe08340 C5</t>
  </si>
  <si>
    <t>CDM</t>
  </si>
  <si>
    <r>
      <t>CDM +          H</t>
    </r>
    <r>
      <rPr>
        <b/>
        <vertAlign val="sub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O</t>
    </r>
    <r>
      <rPr>
        <b/>
        <vertAlign val="subscript"/>
        <sz val="14"/>
        <color theme="1"/>
        <rFont val="Calibri"/>
        <family val="2"/>
        <scheme val="minor"/>
      </rPr>
      <t>2</t>
    </r>
  </si>
  <si>
    <r>
      <t>CDM +          H</t>
    </r>
    <r>
      <rPr>
        <b/>
        <vertAlign val="sub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O</t>
    </r>
    <r>
      <rPr>
        <b/>
        <vertAlign val="sub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*</t>
    </r>
  </si>
  <si>
    <t>Spotting day: 09.02.24</t>
  </si>
  <si>
    <t>15.02.2024 (6 dai)</t>
  </si>
  <si>
    <t>17.02.2024 (8 dai)</t>
  </si>
  <si>
    <t>19.02.2024 (10 dai)</t>
  </si>
  <si>
    <t xml:space="preserve">oeLLM1 </t>
  </si>
  <si>
    <t xml:space="preserve">Δ08340 </t>
  </si>
  <si>
    <t xml:space="preserve">oe08340 </t>
  </si>
  <si>
    <r>
      <t>CDM + 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</si>
  <si>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CDM + 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*</t>
    </r>
  </si>
  <si>
    <t>6 dai</t>
  </si>
  <si>
    <t>8 dai</t>
  </si>
  <si>
    <t>10 dai</t>
  </si>
  <si>
    <t>oeMET2</t>
  </si>
  <si>
    <t>oeLLM1</t>
  </si>
  <si>
    <t>LLM1</t>
  </si>
  <si>
    <t>Stage</t>
  </si>
  <si>
    <t>Expression</t>
  </si>
  <si>
    <t>Treatment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</si>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</sst>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bscript"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/>
    </xf>
    <xf numFmtId="164" fontId="0" fillId="2" borderId="0" xfId="0" applyNumberFormat="1" applyFill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right" vertical="center"/>
    </xf>
    <xf numFmtId="2" fontId="0" fillId="2" borderId="0" xfId="0" applyNumberFormat="1" applyFill="1" applyAlignment="1">
      <alignment horizontal="right" vertical="center"/>
    </xf>
    <xf numFmtId="165" fontId="0" fillId="2" borderId="0" xfId="0" applyNumberFormat="1" applyFill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14" fontId="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4" fontId="0" fillId="0" borderId="0" xfId="0" applyNumberFormat="1"/>
    <xf numFmtId="2" fontId="0" fillId="0" borderId="0" xfId="0" applyNumberFormat="1"/>
    <xf numFmtId="0" fontId="1" fillId="4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SXM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SXM!$C$8:$D$8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112.35758502538988</c:v>
                  </c:pt>
                </c:numCache>
              </c:numRef>
            </c:plus>
            <c:minus>
              <c:numRef>
                <c:f>SXM!$C$8:$D$8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112.35758502538988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SXM!$C$4:$D$4</c:f>
              <c:strCache>
                <c:ptCount val="2"/>
                <c:pt idx="0">
                  <c:v>WT</c:v>
                </c:pt>
                <c:pt idx="1">
                  <c:v>oeMET2</c:v>
                </c:pt>
              </c:strCache>
            </c:strRef>
          </c:cat>
          <c:val>
            <c:numRef>
              <c:f>SXM!$C$7:$D$7</c:f>
              <c:numCache>
                <c:formatCode>0.00</c:formatCode>
                <c:ptCount val="2"/>
                <c:pt idx="0" formatCode="General">
                  <c:v>1</c:v>
                </c:pt>
                <c:pt idx="1">
                  <c:v>2147.6652122403302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8-4DC6-92F4-105CA820F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0354416"/>
        <c:axId val="1690353584"/>
      </c:barChart>
      <c:catAx>
        <c:axId val="16903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690353584"/>
        <c:crosses val="autoZero"/>
        <c:auto val="1"/>
        <c:lblAlgn val="ctr"/>
        <c:lblOffset val="100"/>
        <c:noMultiLvlLbl val="0"/>
      </c:catAx>
      <c:valAx>
        <c:axId val="169035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69035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SXM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SXM!$C$17:$D$17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3.2572863926180489</c:v>
                  </c:pt>
                </c:numCache>
              </c:numRef>
            </c:plus>
            <c:minus>
              <c:numRef>
                <c:f>SXM!$C$17:$D$17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3.2572863926180489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SXM!$C$13:$D$13</c:f>
              <c:strCache>
                <c:ptCount val="2"/>
                <c:pt idx="0">
                  <c:v>WT</c:v>
                </c:pt>
                <c:pt idx="1">
                  <c:v>oeLLM1</c:v>
                </c:pt>
              </c:strCache>
            </c:strRef>
          </c:cat>
          <c:val>
            <c:numRef>
              <c:f>SXM!$C$16:$D$16</c:f>
              <c:numCache>
                <c:formatCode>0.000</c:formatCode>
                <c:ptCount val="2"/>
                <c:pt idx="0" formatCode="General">
                  <c:v>1</c:v>
                </c:pt>
                <c:pt idx="1">
                  <c:v>51.464839814596651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E-4D9F-ABAE-587D87D3C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774912"/>
        <c:axId val="1493775328"/>
      </c:barChart>
      <c:catAx>
        <c:axId val="149377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93775328"/>
        <c:crosses val="autoZero"/>
        <c:auto val="1"/>
        <c:lblAlgn val="ctr"/>
        <c:lblOffset val="100"/>
        <c:noMultiLvlLbl val="0"/>
      </c:catAx>
      <c:valAx>
        <c:axId val="149377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9377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PDM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PDM!$C$17:$D$17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4.5840425496877666</c:v>
                  </c:pt>
                </c:numCache>
              </c:numRef>
            </c:plus>
            <c:minus>
              <c:numRef>
                <c:f>PDM!$C$17:$E$17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4.5840425496877666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PDM!$C$13:$D$13</c:f>
              <c:strCache>
                <c:ptCount val="2"/>
                <c:pt idx="0">
                  <c:v>WT</c:v>
                </c:pt>
                <c:pt idx="1">
                  <c:v>oeLLM1</c:v>
                </c:pt>
              </c:strCache>
            </c:strRef>
          </c:cat>
          <c:val>
            <c:numRef>
              <c:f>PDM!$C$16:$D$16</c:f>
              <c:numCache>
                <c:formatCode>0.000</c:formatCode>
                <c:ptCount val="2"/>
                <c:pt idx="0" formatCode="General">
                  <c:v>1</c:v>
                </c:pt>
                <c:pt idx="1">
                  <c:v>40.189248926494351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0-400A-B5B5-F09AB5567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1905199"/>
        <c:axId val="1121905615"/>
      </c:barChart>
      <c:catAx>
        <c:axId val="112190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21905615"/>
        <c:crosses val="autoZero"/>
        <c:auto val="1"/>
        <c:lblAlgn val="ctr"/>
        <c:lblOffset val="100"/>
        <c:noMultiLvlLbl val="0"/>
      </c:catAx>
      <c:valAx>
        <c:axId val="112190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2190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PDM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PDM!$C$8:$D$8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662.88398361265445</c:v>
                  </c:pt>
                </c:numCache>
              </c:numRef>
            </c:plus>
            <c:minus>
              <c:numRef>
                <c:f>PDM!$C$8:$D$8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662.88398361265445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PDM!$C$4:$D$4</c:f>
              <c:strCache>
                <c:ptCount val="2"/>
                <c:pt idx="0">
                  <c:v>WT</c:v>
                </c:pt>
                <c:pt idx="1">
                  <c:v>oeMET2</c:v>
                </c:pt>
              </c:strCache>
            </c:strRef>
          </c:cat>
          <c:val>
            <c:numRef>
              <c:f>PDM!$C$7:$D$7</c:f>
              <c:numCache>
                <c:formatCode>0.00</c:formatCode>
                <c:ptCount val="2"/>
                <c:pt idx="0" formatCode="General">
                  <c:v>1</c:v>
                </c:pt>
                <c:pt idx="1">
                  <c:v>867.3991697783855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7-4991-B800-29865AEB0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1904783"/>
        <c:axId val="1121906863"/>
      </c:barChart>
      <c:catAx>
        <c:axId val="112190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21906863"/>
        <c:crosses val="autoZero"/>
        <c:auto val="1"/>
        <c:lblAlgn val="ctr"/>
        <c:lblOffset val="100"/>
        <c:noMultiLvlLbl val="0"/>
      </c:catAx>
      <c:valAx>
        <c:axId val="112190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21904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PLATE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PLATE!$C$8:$D$8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38.436231785235023</c:v>
                  </c:pt>
                </c:numCache>
              </c:numRef>
            </c:plus>
            <c:minus>
              <c:numRef>
                <c:f>PLATE!$C$8:$D$8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38.436231785235023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PLATE!$C$4:$D$4</c:f>
              <c:strCache>
                <c:ptCount val="2"/>
                <c:pt idx="0">
                  <c:v>WT</c:v>
                </c:pt>
                <c:pt idx="1">
                  <c:v>oeMET2</c:v>
                </c:pt>
              </c:strCache>
            </c:strRef>
          </c:cat>
          <c:val>
            <c:numRef>
              <c:f>PLATE!$C$7:$D$7</c:f>
              <c:numCache>
                <c:formatCode>0.000</c:formatCode>
                <c:ptCount val="2"/>
                <c:pt idx="0" formatCode="General">
                  <c:v>1</c:v>
                </c:pt>
                <c:pt idx="1">
                  <c:v>85.528778163325995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2-466B-8EE6-431242241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783823"/>
        <c:axId val="1918787983"/>
      </c:barChart>
      <c:catAx>
        <c:axId val="19187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18787983"/>
        <c:crosses val="autoZero"/>
        <c:auto val="1"/>
        <c:lblAlgn val="ctr"/>
        <c:lblOffset val="100"/>
        <c:noMultiLvlLbl val="0"/>
      </c:catAx>
      <c:valAx>
        <c:axId val="191878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1878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PLATE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PLATE!$C$17:$D$17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3.1609882175668429</c:v>
                  </c:pt>
                </c:numCache>
              </c:numRef>
            </c:plus>
            <c:minus>
              <c:numRef>
                <c:f>PLATE!$C$17:$D$17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3.1609882175668429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PLATE!$C$13:$D$13</c:f>
              <c:strCache>
                <c:ptCount val="2"/>
                <c:pt idx="0">
                  <c:v>WT</c:v>
                </c:pt>
                <c:pt idx="1">
                  <c:v>oeLLM1</c:v>
                </c:pt>
              </c:strCache>
            </c:strRef>
          </c:cat>
          <c:val>
            <c:numRef>
              <c:f>PLATE!$C$16:$D$16</c:f>
              <c:numCache>
                <c:formatCode>0.00</c:formatCode>
                <c:ptCount val="2"/>
                <c:pt idx="0" formatCode="General">
                  <c:v>1</c:v>
                </c:pt>
                <c:pt idx="1">
                  <c:v>8.39987699098576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C-4E30-A306-4A24AE92D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7014159"/>
        <c:axId val="2077022063"/>
      </c:barChart>
      <c:catAx>
        <c:axId val="207701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77022063"/>
        <c:crosses val="autoZero"/>
        <c:auto val="1"/>
        <c:lblAlgn val="ctr"/>
        <c:lblOffset val="100"/>
        <c:noMultiLvlLbl val="0"/>
      </c:catAx>
      <c:valAx>
        <c:axId val="20770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7701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CDM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'Growth comb.'!$I$5</c:f>
              <c:strCache>
                <c:ptCount val="1"/>
                <c:pt idx="0">
                  <c:v>WT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'Growth comb.'!$J$4:$L$4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comb.'!$J$5:$L$5</c:f>
              <c:numCache>
                <c:formatCode>General</c:formatCode>
                <c:ptCount val="3"/>
                <c:pt idx="0">
                  <c:v>2.6</c:v>
                </c:pt>
                <c:pt idx="1">
                  <c:v>3.6</c:v>
                </c:pt>
                <c:pt idx="2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3-4821-8CDB-78C5A6789B5C}"/>
            </c:ext>
          </c:extLst>
        </c:ser>
        <c:ser>
          <c:idx val="1"/>
          <c:order val="1"/>
          <c:tx>
            <c:strRef>
              <c:f>'Growth comb.'!$I$6</c:f>
              <c:strCache>
                <c:ptCount val="1"/>
                <c:pt idx="0">
                  <c:v>oeLLM1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'Growth comb.'!$J$4:$L$4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comb.'!$J$6:$L$6</c:f>
              <c:numCache>
                <c:formatCode>General</c:formatCode>
                <c:ptCount val="3"/>
                <c:pt idx="0">
                  <c:v>2.6750000000000007</c:v>
                </c:pt>
                <c:pt idx="1">
                  <c:v>3.55</c:v>
                </c:pt>
                <c:pt idx="2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D3-4821-8CDB-78C5A6789B5C}"/>
            </c:ext>
          </c:extLst>
        </c:ser>
        <c:ser>
          <c:idx val="2"/>
          <c:order val="2"/>
          <c:tx>
            <c:strRef>
              <c:f>'Growth comb.'!$I$7</c:f>
              <c:strCache>
                <c:ptCount val="1"/>
                <c:pt idx="0">
                  <c:v>Δ08340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'Growth comb.'!$J$4:$L$4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comb.'!$J$7:$L$7</c:f>
              <c:numCache>
                <c:formatCode>General</c:formatCode>
                <c:ptCount val="3"/>
                <c:pt idx="0">
                  <c:v>2.7</c:v>
                </c:pt>
                <c:pt idx="1">
                  <c:v>3.5250000000000004</c:v>
                </c:pt>
                <c:pt idx="2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D3-4821-8CDB-78C5A6789B5C}"/>
            </c:ext>
          </c:extLst>
        </c:ser>
        <c:ser>
          <c:idx val="3"/>
          <c:order val="3"/>
          <c:tx>
            <c:strRef>
              <c:f>'Growth comb.'!$I$8</c:f>
              <c:strCache>
                <c:ptCount val="1"/>
                <c:pt idx="0">
                  <c:v>oe08340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'Growth comb.'!$J$4:$L$4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comb.'!$J$8:$L$8</c:f>
              <c:numCache>
                <c:formatCode>General</c:formatCode>
                <c:ptCount val="3"/>
                <c:pt idx="0">
                  <c:v>2.7</c:v>
                </c:pt>
                <c:pt idx="1">
                  <c:v>3.6</c:v>
                </c:pt>
                <c:pt idx="2">
                  <c:v>4.5500000000000007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D3-4821-8CDB-78C5A6789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173696"/>
        <c:axId val="360181600"/>
      </c:lineChart>
      <c:catAx>
        <c:axId val="36017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360181600"/>
        <c:crosses val="autoZero"/>
        <c:auto val="1"/>
        <c:lblAlgn val="ctr"/>
        <c:lblOffset val="100"/>
        <c:noMultiLvlLbl val="0"/>
      </c:catAx>
      <c:valAx>
        <c:axId val="36018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36017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CDM + H</a:t>
            </a:r>
            <a:r>
              <a:rPr lang="en-US" baseline="-25000"/>
              <a:t>2</a:t>
            </a:r>
            <a:r>
              <a:rPr lang="en-US"/>
              <a:t>O</a:t>
            </a:r>
            <a:r>
              <a:rPr lang="en-US" baseline="-25000"/>
              <a:t>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'Growth comb.'!$I$10</c:f>
              <c:strCache>
                <c:ptCount val="1"/>
                <c:pt idx="0">
                  <c:v>WT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'Growth comb.'!$J$9:$L$9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comb.'!$J$10:$L$10</c:f>
              <c:numCache>
                <c:formatCode>0.000</c:formatCode>
                <c:ptCount val="3"/>
                <c:pt idx="0">
                  <c:v>2.3666666666666667</c:v>
                </c:pt>
                <c:pt idx="1">
                  <c:v>3.2666666666666671</c:v>
                </c:pt>
                <c:pt idx="2" formatCode="General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24-4E72-9C7B-86862FE94F7E}"/>
            </c:ext>
          </c:extLst>
        </c:ser>
        <c:ser>
          <c:idx val="1"/>
          <c:order val="1"/>
          <c:tx>
            <c:strRef>
              <c:f>'Growth comb.'!$I$11</c:f>
              <c:strCache>
                <c:ptCount val="1"/>
                <c:pt idx="0">
                  <c:v>oeLLM1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'Growth comb.'!$J$9:$L$9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comb.'!$J$11:$L$11</c:f>
              <c:numCache>
                <c:formatCode>General</c:formatCode>
                <c:ptCount val="3"/>
                <c:pt idx="0">
                  <c:v>2.375</c:v>
                </c:pt>
                <c:pt idx="1">
                  <c:v>3.3</c:v>
                </c:pt>
                <c:pt idx="2">
                  <c:v>4.2249999999999996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24-4E72-9C7B-86862FE94F7E}"/>
            </c:ext>
          </c:extLst>
        </c:ser>
        <c:ser>
          <c:idx val="2"/>
          <c:order val="2"/>
          <c:tx>
            <c:strRef>
              <c:f>'Growth comb.'!$I$12</c:f>
              <c:strCache>
                <c:ptCount val="1"/>
                <c:pt idx="0">
                  <c:v>Δ08340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'Growth comb.'!$J$9:$L$9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comb.'!$J$12:$L$12</c:f>
              <c:numCache>
                <c:formatCode>0.000</c:formatCode>
                <c:ptCount val="3"/>
                <c:pt idx="0">
                  <c:v>2.0583333333333336</c:v>
                </c:pt>
                <c:pt idx="1">
                  <c:v>2.9749999999999996</c:v>
                </c:pt>
                <c:pt idx="2">
                  <c:v>3.8500000000000005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24-4E72-9C7B-86862FE94F7E}"/>
            </c:ext>
          </c:extLst>
        </c:ser>
        <c:ser>
          <c:idx val="3"/>
          <c:order val="3"/>
          <c:tx>
            <c:strRef>
              <c:f>'Growth comb.'!$I$13</c:f>
              <c:strCache>
                <c:ptCount val="1"/>
                <c:pt idx="0">
                  <c:v>oe08340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'Growth comb.'!$J$9:$L$9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comb.'!$J$13:$L$13</c:f>
              <c:numCache>
                <c:formatCode>0.000</c:formatCode>
                <c:ptCount val="3"/>
                <c:pt idx="0" formatCode="General">
                  <c:v>2.2749999999999999</c:v>
                </c:pt>
                <c:pt idx="1">
                  <c:v>3.1833333333333336</c:v>
                </c:pt>
                <c:pt idx="2" formatCode="0.00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24-4E72-9C7B-86862FE94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677152"/>
        <c:axId val="358670080"/>
      </c:lineChart>
      <c:catAx>
        <c:axId val="35867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358670080"/>
        <c:crosses val="autoZero"/>
        <c:auto val="1"/>
        <c:lblAlgn val="ctr"/>
        <c:lblOffset val="100"/>
        <c:noMultiLvlLbl val="0"/>
      </c:catAx>
      <c:valAx>
        <c:axId val="35867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35867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CDM+ H</a:t>
            </a:r>
            <a:r>
              <a:rPr lang="de-DE" baseline="-25000"/>
              <a:t>2</a:t>
            </a:r>
            <a:r>
              <a:rPr lang="de-DE"/>
              <a:t>O</a:t>
            </a:r>
            <a:r>
              <a:rPr lang="de-DE" baseline="-25000"/>
              <a:t>2</a:t>
            </a:r>
            <a:r>
              <a:rPr lang="de-DE"/>
              <a:t> more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'Growth comb.'!$I$15</c:f>
              <c:strCache>
                <c:ptCount val="1"/>
                <c:pt idx="0">
                  <c:v>WT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'Growth comb.'!$J$14:$L$14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comb.'!$J$15:$L$15</c:f>
              <c:numCache>
                <c:formatCode>0.000</c:formatCode>
                <c:ptCount val="3"/>
                <c:pt idx="0">
                  <c:v>2.0333333333333332</c:v>
                </c:pt>
                <c:pt idx="1">
                  <c:v>2.9333333333333336</c:v>
                </c:pt>
                <c:pt idx="2" formatCode="General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4B-4457-BBC1-7AC588D4D353}"/>
            </c:ext>
          </c:extLst>
        </c:ser>
        <c:ser>
          <c:idx val="1"/>
          <c:order val="1"/>
          <c:tx>
            <c:strRef>
              <c:f>'Growth comb.'!$I$16</c:f>
              <c:strCache>
                <c:ptCount val="1"/>
                <c:pt idx="0">
                  <c:v>oeLLM1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'Growth comb.'!$J$14:$L$14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comb.'!$J$16:$L$16</c:f>
              <c:numCache>
                <c:formatCode>0.000</c:formatCode>
                <c:ptCount val="3"/>
                <c:pt idx="0">
                  <c:v>1.8333333333333335</c:v>
                </c:pt>
                <c:pt idx="1">
                  <c:v>2.7666666666666666</c:v>
                </c:pt>
                <c:pt idx="2">
                  <c:v>3.7166666666666668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4B-4457-BBC1-7AC588D4D353}"/>
            </c:ext>
          </c:extLst>
        </c:ser>
        <c:ser>
          <c:idx val="2"/>
          <c:order val="2"/>
          <c:tx>
            <c:strRef>
              <c:f>'Growth comb.'!$I$17</c:f>
              <c:strCache>
                <c:ptCount val="1"/>
                <c:pt idx="0">
                  <c:v>Δ08340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'Growth comb.'!$J$14:$L$14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comb.'!$J$17:$L$17</c:f>
              <c:numCache>
                <c:formatCode>General</c:formatCode>
                <c:ptCount val="3"/>
                <c:pt idx="0">
                  <c:v>1.4750000000000001</c:v>
                </c:pt>
                <c:pt idx="1">
                  <c:v>2.5</c:v>
                </c:pt>
                <c:pt idx="2">
                  <c:v>3.375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4B-4457-BBC1-7AC588D4D353}"/>
            </c:ext>
          </c:extLst>
        </c:ser>
        <c:ser>
          <c:idx val="3"/>
          <c:order val="3"/>
          <c:tx>
            <c:strRef>
              <c:f>'Growth comb.'!$I$18</c:f>
              <c:strCache>
                <c:ptCount val="1"/>
                <c:pt idx="0">
                  <c:v>oe08340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'Growth comb.'!$J$14:$L$14</c:f>
              <c:strCache>
                <c:ptCount val="3"/>
                <c:pt idx="0">
                  <c:v>6 dai</c:v>
                </c:pt>
                <c:pt idx="1">
                  <c:v>8 dai</c:v>
                </c:pt>
                <c:pt idx="2">
                  <c:v>10 dai</c:v>
                </c:pt>
              </c:strCache>
            </c:strRef>
          </c:cat>
          <c:val>
            <c:numRef>
              <c:f>'Growth comb.'!$J$18:$L$18</c:f>
              <c:numCache>
                <c:formatCode>General</c:formatCode>
                <c:ptCount val="3"/>
                <c:pt idx="0">
                  <c:v>1.825</c:v>
                </c:pt>
                <c:pt idx="1">
                  <c:v>2.7750000000000004</c:v>
                </c:pt>
                <c:pt idx="2">
                  <c:v>3.6749999999999998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4B-4457-BBC1-7AC588D4D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067664"/>
        <c:axId val="284070160"/>
      </c:lineChart>
      <c:catAx>
        <c:axId val="28406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84070160"/>
        <c:crosses val="autoZero"/>
        <c:auto val="1"/>
        <c:lblAlgn val="ctr"/>
        <c:lblOffset val="100"/>
        <c:noMultiLvlLbl val="0"/>
      </c:catAx>
      <c:valAx>
        <c:axId val="28407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8406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12</xdr:col>
      <xdr:colOff>600074</xdr:colOff>
      <xdr:row>14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9525</xdr:rowOff>
    </xdr:from>
    <xdr:to>
      <xdr:col>12</xdr:col>
      <xdr:colOff>600075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9524</xdr:rowOff>
    </xdr:from>
    <xdr:to>
      <xdr:col>15</xdr:col>
      <xdr:colOff>0</xdr:colOff>
      <xdr:row>36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14287</xdr:colOff>
      <xdr:row>0</xdr:row>
      <xdr:rowOff>190499</xdr:rowOff>
    </xdr:from>
    <xdr:to>
      <xdr:col>14</xdr:col>
      <xdr:colOff>600075</xdr:colOff>
      <xdr:row>17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190499</xdr:rowOff>
    </xdr:from>
    <xdr:to>
      <xdr:col>14</xdr:col>
      <xdr:colOff>0</xdr:colOff>
      <xdr:row>17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2</xdr:row>
      <xdr:rowOff>9525</xdr:rowOff>
    </xdr:from>
    <xdr:to>
      <xdr:col>20</xdr:col>
      <xdr:colOff>314325</xdr:colOff>
      <xdr:row>15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</xdr:colOff>
      <xdr:row>17</xdr:row>
      <xdr:rowOff>9525</xdr:rowOff>
    </xdr:from>
    <xdr:to>
      <xdr:col>20</xdr:col>
      <xdr:colOff>314325</xdr:colOff>
      <xdr:row>31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</xdr:colOff>
      <xdr:row>32</xdr:row>
      <xdr:rowOff>161925</xdr:rowOff>
    </xdr:from>
    <xdr:to>
      <xdr:col>20</xdr:col>
      <xdr:colOff>319087</xdr:colOff>
      <xdr:row>47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7"/>
  <sheetViews>
    <sheetView workbookViewId="0">
      <selection activeCell="B3" sqref="B3:E17"/>
    </sheetView>
  </sheetViews>
  <sheetFormatPr defaultRowHeight="14.4" x14ac:dyDescent="0.3"/>
  <cols>
    <col min="2" max="2" width="12.44140625" customWidth="1"/>
    <col min="5" max="5" width="14.6640625" customWidth="1"/>
  </cols>
  <sheetData>
    <row r="3" spans="2:5" x14ac:dyDescent="0.3">
      <c r="B3" s="1"/>
      <c r="C3" s="23" t="s">
        <v>0</v>
      </c>
      <c r="D3" s="23"/>
    </row>
    <row r="4" spans="2:5" x14ac:dyDescent="0.3">
      <c r="B4" s="2"/>
      <c r="C4" s="1" t="s">
        <v>1</v>
      </c>
      <c r="D4" s="3" t="s">
        <v>36</v>
      </c>
    </row>
    <row r="5" spans="2:5" ht="18.75" customHeight="1" x14ac:dyDescent="0.3">
      <c r="B5" s="4" t="s">
        <v>5</v>
      </c>
      <c r="C5" s="5">
        <v>1</v>
      </c>
      <c r="D5" s="11">
        <v>2260.0227972657199</v>
      </c>
      <c r="E5" s="24" t="s">
        <v>6</v>
      </c>
    </row>
    <row r="6" spans="2:5" ht="18" customHeight="1" x14ac:dyDescent="0.3">
      <c r="B6" s="2"/>
      <c r="C6" s="5">
        <v>1</v>
      </c>
      <c r="D6" s="11">
        <v>2035.3076272149401</v>
      </c>
      <c r="E6" s="24"/>
    </row>
    <row r="7" spans="2:5" x14ac:dyDescent="0.3">
      <c r="B7" s="6" t="s">
        <v>3</v>
      </c>
      <c r="C7" s="7">
        <f>AVERAGE(C5:C6)</f>
        <v>1</v>
      </c>
      <c r="D7" s="12">
        <f>AVERAGE(D5:D6)</f>
        <v>2147.6652122403302</v>
      </c>
    </row>
    <row r="8" spans="2:5" x14ac:dyDescent="0.3">
      <c r="B8" s="6" t="s">
        <v>4</v>
      </c>
      <c r="C8" s="13">
        <f>_xlfn.STDEV.P(C5:C6)</f>
        <v>0</v>
      </c>
      <c r="D8" s="12">
        <f>_xlfn.STDEV.P(D5:D6)</f>
        <v>112.35758502538988</v>
      </c>
    </row>
    <row r="12" spans="2:5" x14ac:dyDescent="0.3">
      <c r="B12" s="1"/>
      <c r="C12" s="23" t="s">
        <v>0</v>
      </c>
      <c r="D12" s="23"/>
    </row>
    <row r="13" spans="2:5" x14ac:dyDescent="0.3">
      <c r="B13" s="2"/>
      <c r="C13" s="1" t="s">
        <v>1</v>
      </c>
      <c r="D13" s="3" t="s">
        <v>37</v>
      </c>
    </row>
    <row r="14" spans="2:5" ht="16.5" customHeight="1" x14ac:dyDescent="0.3">
      <c r="B14" s="4" t="s">
        <v>2</v>
      </c>
      <c r="C14" s="9">
        <v>1</v>
      </c>
      <c r="D14" s="10">
        <v>48.207553421978602</v>
      </c>
      <c r="E14" s="24" t="s">
        <v>7</v>
      </c>
    </row>
    <row r="15" spans="2:5" ht="16.5" customHeight="1" x14ac:dyDescent="0.3">
      <c r="B15" s="2"/>
      <c r="C15" s="9">
        <v>1</v>
      </c>
      <c r="D15" s="10">
        <v>54.7221262072147</v>
      </c>
      <c r="E15" s="24"/>
    </row>
    <row r="16" spans="2:5" x14ac:dyDescent="0.3">
      <c r="B16" s="6" t="s">
        <v>3</v>
      </c>
      <c r="C16" s="7">
        <f>AVERAGE(C14:C15)</f>
        <v>1</v>
      </c>
      <c r="D16" s="8">
        <f>AVERAGE(D14:D15)</f>
        <v>51.464839814596651</v>
      </c>
    </row>
    <row r="17" spans="2:4" x14ac:dyDescent="0.3">
      <c r="B17" s="6" t="s">
        <v>4</v>
      </c>
      <c r="C17" s="13">
        <f>_xlfn.STDEV.P(C14:C15)</f>
        <v>0</v>
      </c>
      <c r="D17" s="12">
        <f>_xlfn.STDEV.P(D14:D15)</f>
        <v>3.2572863926180489</v>
      </c>
    </row>
  </sheetData>
  <mergeCells count="4">
    <mergeCell ref="C3:D3"/>
    <mergeCell ref="C12:D12"/>
    <mergeCell ref="E5:E6"/>
    <mergeCell ref="E14:E1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17"/>
  <sheetViews>
    <sheetView workbookViewId="0">
      <selection activeCell="B3" sqref="B3:D17"/>
    </sheetView>
  </sheetViews>
  <sheetFormatPr defaultRowHeight="14.4" x14ac:dyDescent="0.3"/>
  <cols>
    <col min="2" max="2" width="11" customWidth="1"/>
    <col min="5" max="5" width="14.6640625" customWidth="1"/>
    <col min="6" max="6" width="16.44140625" customWidth="1"/>
  </cols>
  <sheetData>
    <row r="3" spans="2:6" x14ac:dyDescent="0.3">
      <c r="B3" s="1"/>
      <c r="C3" s="23" t="s">
        <v>11</v>
      </c>
      <c r="D3" s="23"/>
    </row>
    <row r="4" spans="2:6" x14ac:dyDescent="0.3">
      <c r="B4" s="2"/>
      <c r="C4" s="1" t="s">
        <v>1</v>
      </c>
      <c r="D4" s="3" t="s">
        <v>36</v>
      </c>
    </row>
    <row r="5" spans="2:6" x14ac:dyDescent="0.3">
      <c r="B5" s="4" t="s">
        <v>5</v>
      </c>
      <c r="C5" s="5">
        <v>1</v>
      </c>
      <c r="D5" s="11">
        <v>1530.2831533910401</v>
      </c>
      <c r="E5" s="24" t="s">
        <v>14</v>
      </c>
    </row>
    <row r="6" spans="2:6" x14ac:dyDescent="0.3">
      <c r="B6" s="2"/>
      <c r="C6" s="5">
        <v>1</v>
      </c>
      <c r="D6" s="11">
        <v>204.515186165731</v>
      </c>
      <c r="E6" s="24"/>
    </row>
    <row r="7" spans="2:6" x14ac:dyDescent="0.3">
      <c r="B7" s="6" t="s">
        <v>3</v>
      </c>
      <c r="C7" s="7">
        <f>AVERAGE(C5:C6)</f>
        <v>1</v>
      </c>
      <c r="D7" s="12">
        <f>AVERAGE(D5:D6)</f>
        <v>867.3991697783855</v>
      </c>
    </row>
    <row r="8" spans="2:6" x14ac:dyDescent="0.3">
      <c r="B8" s="6" t="s">
        <v>4</v>
      </c>
      <c r="C8" s="13">
        <f>_xlfn.STDEV.P(C5:C6)</f>
        <v>0</v>
      </c>
      <c r="D8" s="12">
        <f>_xlfn.STDEV.P(D5:D6)</f>
        <v>662.88398361265445</v>
      </c>
    </row>
    <row r="12" spans="2:6" x14ac:dyDescent="0.3">
      <c r="B12" s="1"/>
      <c r="C12" s="23" t="s">
        <v>11</v>
      </c>
      <c r="D12" s="23"/>
    </row>
    <row r="13" spans="2:6" x14ac:dyDescent="0.3">
      <c r="B13" s="2"/>
      <c r="C13" s="1" t="s">
        <v>1</v>
      </c>
      <c r="D13" s="3" t="s">
        <v>37</v>
      </c>
    </row>
    <row r="14" spans="2:6" x14ac:dyDescent="0.3">
      <c r="B14" s="4" t="s">
        <v>2</v>
      </c>
      <c r="C14" s="9">
        <v>1</v>
      </c>
      <c r="D14" s="10">
        <v>35.605206376806599</v>
      </c>
      <c r="E14" s="24" t="s">
        <v>12</v>
      </c>
      <c r="F14" s="24" t="s">
        <v>13</v>
      </c>
    </row>
    <row r="15" spans="2:6" x14ac:dyDescent="0.3">
      <c r="B15" s="2"/>
      <c r="C15" s="9">
        <v>1</v>
      </c>
      <c r="D15" s="10">
        <v>44.773291476182102</v>
      </c>
      <c r="E15" s="24"/>
      <c r="F15" s="24"/>
    </row>
    <row r="16" spans="2:6" x14ac:dyDescent="0.3">
      <c r="B16" s="6" t="s">
        <v>3</v>
      </c>
      <c r="C16" s="7">
        <f>AVERAGE(C14:C15)</f>
        <v>1</v>
      </c>
      <c r="D16" s="8">
        <f>AVERAGE(D14:D15)</f>
        <v>40.189248926494351</v>
      </c>
    </row>
    <row r="17" spans="2:4" x14ac:dyDescent="0.3">
      <c r="B17" s="6" t="s">
        <v>4</v>
      </c>
      <c r="C17" s="13">
        <f>_xlfn.STDEV.P(C14:C15)</f>
        <v>0</v>
      </c>
      <c r="D17" s="12">
        <f>_xlfn.STDEV.P(D14:D15)</f>
        <v>4.5840425496877666</v>
      </c>
    </row>
  </sheetData>
  <mergeCells count="5">
    <mergeCell ref="C3:D3"/>
    <mergeCell ref="E5:E6"/>
    <mergeCell ref="C12:D12"/>
    <mergeCell ref="E14:E15"/>
    <mergeCell ref="F14:F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E17"/>
  <sheetViews>
    <sheetView workbookViewId="0">
      <selection activeCell="B3" sqref="B3:D17"/>
    </sheetView>
  </sheetViews>
  <sheetFormatPr defaultRowHeight="14.4" x14ac:dyDescent="0.3"/>
  <cols>
    <col min="2" max="2" width="12.109375" customWidth="1"/>
    <col min="4" max="4" width="10.33203125" customWidth="1"/>
    <col min="5" max="5" width="15.109375" customWidth="1"/>
  </cols>
  <sheetData>
    <row r="3" spans="2:5" x14ac:dyDescent="0.3">
      <c r="B3" s="1"/>
      <c r="C3" s="23" t="s">
        <v>8</v>
      </c>
      <c r="D3" s="23"/>
    </row>
    <row r="4" spans="2:5" x14ac:dyDescent="0.3">
      <c r="B4" s="2"/>
      <c r="C4" s="1" t="s">
        <v>1</v>
      </c>
      <c r="D4" s="3" t="s">
        <v>36</v>
      </c>
    </row>
    <row r="5" spans="2:5" x14ac:dyDescent="0.3">
      <c r="B5" s="4" t="s">
        <v>5</v>
      </c>
      <c r="C5" s="5">
        <v>1</v>
      </c>
      <c r="D5" s="11">
        <v>47.092546378091001</v>
      </c>
      <c r="E5" s="24" t="s">
        <v>9</v>
      </c>
    </row>
    <row r="6" spans="2:5" x14ac:dyDescent="0.3">
      <c r="B6" s="2"/>
      <c r="C6" s="5">
        <v>1</v>
      </c>
      <c r="D6" s="11">
        <v>123.965009948561</v>
      </c>
      <c r="E6" s="24"/>
    </row>
    <row r="7" spans="2:5" x14ac:dyDescent="0.3">
      <c r="B7" s="6" t="s">
        <v>3</v>
      </c>
      <c r="C7" s="7">
        <f>AVERAGE(C5:C6)</f>
        <v>1</v>
      </c>
      <c r="D7" s="8">
        <f>AVERAGE(D5:D6)</f>
        <v>85.528778163325995</v>
      </c>
    </row>
    <row r="8" spans="2:5" x14ac:dyDescent="0.3">
      <c r="B8" s="6" t="s">
        <v>4</v>
      </c>
      <c r="C8" s="13">
        <f>_xlfn.STDEV.P(C5:C6)</f>
        <v>0</v>
      </c>
      <c r="D8" s="13">
        <f>_xlfn.STDEV.P(D5:D6)</f>
        <v>38.436231785235023</v>
      </c>
    </row>
    <row r="12" spans="2:5" x14ac:dyDescent="0.3">
      <c r="B12" s="1"/>
      <c r="C12" s="23" t="s">
        <v>8</v>
      </c>
      <c r="D12" s="23"/>
    </row>
    <row r="13" spans="2:5" x14ac:dyDescent="0.3">
      <c r="B13" s="2"/>
      <c r="C13" s="1" t="s">
        <v>1</v>
      </c>
      <c r="D13" s="3" t="s">
        <v>37</v>
      </c>
    </row>
    <row r="14" spans="2:5" x14ac:dyDescent="0.3">
      <c r="B14" s="4" t="s">
        <v>2</v>
      </c>
      <c r="C14" s="9">
        <v>1</v>
      </c>
      <c r="D14" s="10">
        <v>5.2388887734189202</v>
      </c>
      <c r="E14" s="24" t="s">
        <v>10</v>
      </c>
    </row>
    <row r="15" spans="2:5" x14ac:dyDescent="0.3">
      <c r="B15" s="2"/>
      <c r="C15" s="9">
        <v>1</v>
      </c>
      <c r="D15" s="10">
        <v>11.560865208552601</v>
      </c>
      <c r="E15" s="24"/>
    </row>
    <row r="16" spans="2:5" x14ac:dyDescent="0.3">
      <c r="B16" s="6" t="s">
        <v>3</v>
      </c>
      <c r="C16" s="7">
        <f>AVERAGE(C14:C15)</f>
        <v>1</v>
      </c>
      <c r="D16" s="12">
        <f>AVERAGE(D14:D15)</f>
        <v>8.39987699098576</v>
      </c>
    </row>
    <row r="17" spans="2:4" x14ac:dyDescent="0.3">
      <c r="B17" s="6" t="s">
        <v>4</v>
      </c>
      <c r="C17" s="13">
        <f>_xlfn.STDEV.P(C14:C15)</f>
        <v>0</v>
      </c>
      <c r="D17" s="13">
        <f>_xlfn.STDEV.P(D14:D15)</f>
        <v>3.1609882175668429</v>
      </c>
    </row>
  </sheetData>
  <mergeCells count="4">
    <mergeCell ref="C3:D3"/>
    <mergeCell ref="E5:E6"/>
    <mergeCell ref="C12:D12"/>
    <mergeCell ref="E14:E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5199-30F6-4085-B0E4-8E1F8ADF56E3}">
  <dimension ref="B2:R7"/>
  <sheetViews>
    <sheetView workbookViewId="0">
      <selection activeCell="O2" sqref="O2:P2"/>
    </sheetView>
  </sheetViews>
  <sheetFormatPr defaultRowHeight="14.4" x14ac:dyDescent="0.3"/>
  <cols>
    <col min="2" max="2" width="10.21875" customWidth="1"/>
  </cols>
  <sheetData>
    <row r="2" spans="2:18" x14ac:dyDescent="0.3">
      <c r="B2" s="1"/>
      <c r="C2" s="23" t="s">
        <v>0</v>
      </c>
      <c r="D2" s="23"/>
      <c r="H2" s="1"/>
      <c r="I2" s="23" t="s">
        <v>11</v>
      </c>
      <c r="J2" s="23"/>
      <c r="N2" s="1"/>
      <c r="O2" s="23" t="s">
        <v>8</v>
      </c>
      <c r="P2" s="23"/>
    </row>
    <row r="3" spans="2:18" x14ac:dyDescent="0.3">
      <c r="B3" s="2"/>
      <c r="C3" s="1" t="s">
        <v>1</v>
      </c>
      <c r="D3" s="3" t="s">
        <v>37</v>
      </c>
      <c r="H3" s="2"/>
      <c r="I3" s="1" t="s">
        <v>1</v>
      </c>
      <c r="J3" s="3" t="s">
        <v>37</v>
      </c>
      <c r="N3" s="2"/>
      <c r="O3" s="1" t="s">
        <v>1</v>
      </c>
      <c r="P3" s="3" t="s">
        <v>37</v>
      </c>
    </row>
    <row r="4" spans="2:18" x14ac:dyDescent="0.3">
      <c r="B4" s="4" t="s">
        <v>38</v>
      </c>
      <c r="C4" s="9">
        <v>1</v>
      </c>
      <c r="D4" s="10">
        <v>48.207553421978602</v>
      </c>
      <c r="E4">
        <f>LOG(C4,2)</f>
        <v>0</v>
      </c>
      <c r="F4">
        <f>LOG(D4,2)</f>
        <v>5.5911873083687977</v>
      </c>
      <c r="H4" s="4" t="s">
        <v>38</v>
      </c>
      <c r="I4" s="9">
        <v>1</v>
      </c>
      <c r="J4" s="10">
        <v>35.605206376806599</v>
      </c>
      <c r="K4">
        <f>LOG(I4,2)</f>
        <v>0</v>
      </c>
      <c r="L4">
        <f>LOG(J4,2)</f>
        <v>5.1540163098096228</v>
      </c>
      <c r="N4" s="4" t="s">
        <v>38</v>
      </c>
      <c r="O4" s="9">
        <v>1</v>
      </c>
      <c r="P4" s="10">
        <v>5.2388887734189202</v>
      </c>
      <c r="Q4">
        <f>LOG(O4,2)</f>
        <v>0</v>
      </c>
      <c r="R4">
        <f>LOG(P4,2)</f>
        <v>2.3892608325470852</v>
      </c>
    </row>
    <row r="5" spans="2:18" x14ac:dyDescent="0.3">
      <c r="B5" s="2"/>
      <c r="C5" s="9">
        <v>1</v>
      </c>
      <c r="D5" s="10">
        <v>54.7221262072147</v>
      </c>
      <c r="E5">
        <f>LOG(C5,2)</f>
        <v>0</v>
      </c>
      <c r="F5">
        <f>LOG(D5,2)</f>
        <v>5.7740523815624005</v>
      </c>
      <c r="H5" s="2"/>
      <c r="I5" s="9">
        <v>1</v>
      </c>
      <c r="J5" s="10">
        <v>44.773291476182102</v>
      </c>
      <c r="K5">
        <f>LOG(I5,2)</f>
        <v>0</v>
      </c>
      <c r="L5">
        <f>LOG(J5,2)</f>
        <v>5.4845664757112642</v>
      </c>
      <c r="N5" s="2"/>
      <c r="O5" s="9">
        <v>1</v>
      </c>
      <c r="P5" s="10">
        <v>11.560865208552601</v>
      </c>
      <c r="Q5">
        <f>LOG(O5,2)</f>
        <v>0</v>
      </c>
      <c r="R5">
        <f>LOG(P5,2)</f>
        <v>3.531177467239667</v>
      </c>
    </row>
    <row r="6" spans="2:18" x14ac:dyDescent="0.3">
      <c r="B6" s="6" t="s">
        <v>3</v>
      </c>
      <c r="C6" s="7">
        <f>AVERAGE(C4:C5)</f>
        <v>1</v>
      </c>
      <c r="D6" s="8">
        <f>AVERAGE(D4:D5)</f>
        <v>51.464839814596651</v>
      </c>
      <c r="E6" s="7">
        <f>AVERAGE(E4:E5)</f>
        <v>0</v>
      </c>
      <c r="F6" s="8">
        <f>AVERAGE(F4:F5)</f>
        <v>5.6826198449655987</v>
      </c>
      <c r="H6" s="6" t="s">
        <v>3</v>
      </c>
      <c r="I6" s="7">
        <f>AVERAGE(I4:I5)</f>
        <v>1</v>
      </c>
      <c r="J6" s="8">
        <f>AVERAGE(J4:J5)</f>
        <v>40.189248926494351</v>
      </c>
      <c r="K6" s="7">
        <f>AVERAGE(K4:K5)</f>
        <v>0</v>
      </c>
      <c r="L6" s="8">
        <f>AVERAGE(L4:L5)</f>
        <v>5.3192913927604435</v>
      </c>
      <c r="N6" s="6" t="s">
        <v>3</v>
      </c>
      <c r="O6" s="7">
        <f>AVERAGE(O4:O5)</f>
        <v>1</v>
      </c>
      <c r="P6" s="12">
        <f>AVERAGE(P4:P5)</f>
        <v>8.39987699098576</v>
      </c>
      <c r="Q6" s="7">
        <f>AVERAGE(Q4:Q5)</f>
        <v>0</v>
      </c>
      <c r="R6" s="12">
        <f>AVERAGE(R4:R5)</f>
        <v>2.9602191498933763</v>
      </c>
    </row>
    <row r="7" spans="2:18" x14ac:dyDescent="0.3">
      <c r="B7" s="6" t="s">
        <v>4</v>
      </c>
      <c r="C7" s="13">
        <f>_xlfn.STDEV.P(C4:C5)</f>
        <v>0</v>
      </c>
      <c r="D7" s="12">
        <f>_xlfn.STDEV.P(D4:D5)</f>
        <v>3.2572863926180489</v>
      </c>
      <c r="E7" s="13">
        <f>_xlfn.STDEV.P(E4:E5)</f>
        <v>0</v>
      </c>
      <c r="F7" s="12">
        <f>_xlfn.STDEV.P(F4:F5)</f>
        <v>9.1432536596801395E-2</v>
      </c>
      <c r="H7" s="6" t="s">
        <v>4</v>
      </c>
      <c r="I7" s="13">
        <f>_xlfn.STDEV.P(I4:I5)</f>
        <v>0</v>
      </c>
      <c r="J7" s="12">
        <f>_xlfn.STDEV.P(J4:J5)</f>
        <v>4.5840425496877666</v>
      </c>
      <c r="K7" s="13">
        <f>_xlfn.STDEV.P(K4:K5)</f>
        <v>0</v>
      </c>
      <c r="L7" s="12">
        <f>_xlfn.STDEV.P(L4:L5)</f>
        <v>0.16527508295082072</v>
      </c>
      <c r="N7" s="6" t="s">
        <v>4</v>
      </c>
      <c r="O7" s="13">
        <f>_xlfn.STDEV.P(O4:O5)</f>
        <v>0</v>
      </c>
      <c r="P7" s="13">
        <f>_xlfn.STDEV.P(P4:P5)</f>
        <v>3.1609882175668429</v>
      </c>
      <c r="Q7" s="13">
        <f>_xlfn.STDEV.P(Q4:Q5)</f>
        <v>0</v>
      </c>
      <c r="R7" s="13">
        <f>_xlfn.STDEV.P(R4:R5)</f>
        <v>0.57095831734628955</v>
      </c>
    </row>
  </sheetData>
  <mergeCells count="3">
    <mergeCell ref="O2:P2"/>
    <mergeCell ref="C2:D2"/>
    <mergeCell ref="I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EE5D-AAD0-461F-AE58-6DFE350DEF99}">
  <dimension ref="A1:D13"/>
  <sheetViews>
    <sheetView tabSelected="1" workbookViewId="0">
      <selection activeCell="G13" sqref="G13"/>
    </sheetView>
  </sheetViews>
  <sheetFormatPr defaultRowHeight="14.4" x14ac:dyDescent="0.3"/>
  <sheetData>
    <row r="1" spans="1:4" x14ac:dyDescent="0.3">
      <c r="A1" t="s">
        <v>39</v>
      </c>
      <c r="B1" t="s">
        <v>40</v>
      </c>
      <c r="C1" t="s">
        <v>41</v>
      </c>
      <c r="D1" t="s">
        <v>42</v>
      </c>
    </row>
    <row r="2" spans="1:4" x14ac:dyDescent="0.3">
      <c r="A2" t="s">
        <v>0</v>
      </c>
      <c r="B2">
        <v>1</v>
      </c>
      <c r="C2" t="s">
        <v>1</v>
      </c>
      <c r="D2">
        <v>1</v>
      </c>
    </row>
    <row r="3" spans="1:4" x14ac:dyDescent="0.3">
      <c r="A3" t="s">
        <v>0</v>
      </c>
      <c r="B3">
        <v>1</v>
      </c>
      <c r="C3" t="s">
        <v>1</v>
      </c>
      <c r="D3">
        <v>1</v>
      </c>
    </row>
    <row r="4" spans="1:4" x14ac:dyDescent="0.3">
      <c r="A4" t="s">
        <v>0</v>
      </c>
      <c r="B4">
        <v>48.207553421978602</v>
      </c>
      <c r="C4" t="s">
        <v>37</v>
      </c>
      <c r="D4">
        <v>2</v>
      </c>
    </row>
    <row r="5" spans="1:4" x14ac:dyDescent="0.3">
      <c r="A5" t="s">
        <v>0</v>
      </c>
      <c r="B5">
        <v>54.7221262072147</v>
      </c>
      <c r="C5" t="s">
        <v>37</v>
      </c>
      <c r="D5">
        <v>2</v>
      </c>
    </row>
    <row r="6" spans="1:4" x14ac:dyDescent="0.3">
      <c r="A6" t="s">
        <v>11</v>
      </c>
      <c r="B6">
        <v>1</v>
      </c>
      <c r="C6" t="s">
        <v>1</v>
      </c>
      <c r="D6">
        <v>1</v>
      </c>
    </row>
    <row r="7" spans="1:4" x14ac:dyDescent="0.3">
      <c r="A7" t="s">
        <v>11</v>
      </c>
      <c r="B7">
        <v>1</v>
      </c>
      <c r="C7" t="s">
        <v>1</v>
      </c>
      <c r="D7">
        <v>1</v>
      </c>
    </row>
    <row r="8" spans="1:4" x14ac:dyDescent="0.3">
      <c r="A8" t="s">
        <v>11</v>
      </c>
      <c r="B8">
        <v>35.605206376806599</v>
      </c>
      <c r="C8" t="s">
        <v>37</v>
      </c>
      <c r="D8">
        <v>2</v>
      </c>
    </row>
    <row r="9" spans="1:4" x14ac:dyDescent="0.3">
      <c r="A9" t="s">
        <v>11</v>
      </c>
      <c r="B9">
        <v>44.773291476182102</v>
      </c>
      <c r="C9" t="s">
        <v>37</v>
      </c>
      <c r="D9">
        <v>2</v>
      </c>
    </row>
    <row r="10" spans="1:4" x14ac:dyDescent="0.3">
      <c r="A10" t="s">
        <v>8</v>
      </c>
      <c r="B10">
        <v>1</v>
      </c>
      <c r="C10" t="s">
        <v>1</v>
      </c>
      <c r="D10">
        <v>1</v>
      </c>
    </row>
    <row r="11" spans="1:4" x14ac:dyDescent="0.3">
      <c r="A11" t="s">
        <v>8</v>
      </c>
      <c r="B11">
        <v>1</v>
      </c>
      <c r="C11" t="s">
        <v>1</v>
      </c>
      <c r="D11">
        <v>1</v>
      </c>
    </row>
    <row r="12" spans="1:4" x14ac:dyDescent="0.3">
      <c r="A12" t="s">
        <v>8</v>
      </c>
      <c r="B12">
        <v>5.2388887734189202</v>
      </c>
      <c r="C12" t="s">
        <v>37</v>
      </c>
      <c r="D12">
        <v>2</v>
      </c>
    </row>
    <row r="13" spans="1:4" x14ac:dyDescent="0.3">
      <c r="A13" t="s">
        <v>8</v>
      </c>
      <c r="B13">
        <v>11.560865208552601</v>
      </c>
      <c r="C13" t="s">
        <v>37</v>
      </c>
      <c r="D1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25"/>
  <sheetViews>
    <sheetView workbookViewId="0">
      <selection activeCell="L21" sqref="L21"/>
    </sheetView>
  </sheetViews>
  <sheetFormatPr defaultRowHeight="14.4" x14ac:dyDescent="0.3"/>
  <cols>
    <col min="2" max="2" width="11" customWidth="1"/>
    <col min="3" max="3" width="14.44140625" customWidth="1"/>
    <col min="4" max="5" width="11.109375" customWidth="1"/>
    <col min="6" max="6" width="11.44140625" customWidth="1"/>
    <col min="9" max="9" width="11.44140625" customWidth="1"/>
    <col min="10" max="10" width="11.5546875" customWidth="1"/>
    <col min="11" max="11" width="10.88671875" customWidth="1"/>
    <col min="12" max="12" width="11.44140625" customWidth="1"/>
  </cols>
  <sheetData>
    <row r="1" spans="2:12" ht="19.5" customHeight="1" x14ac:dyDescent="0.3">
      <c r="B1" s="15" t="s">
        <v>24</v>
      </c>
    </row>
    <row r="3" spans="2:12" ht="28.8" x14ac:dyDescent="0.3">
      <c r="D3" s="18" t="s">
        <v>25</v>
      </c>
      <c r="E3" s="18" t="s">
        <v>26</v>
      </c>
      <c r="F3" s="18" t="s">
        <v>27</v>
      </c>
      <c r="J3" s="18" t="s">
        <v>25</v>
      </c>
      <c r="K3" s="18" t="s">
        <v>26</v>
      </c>
      <c r="L3" s="18" t="s">
        <v>27</v>
      </c>
    </row>
    <row r="4" spans="2:12" x14ac:dyDescent="0.3">
      <c r="D4" s="18" t="s">
        <v>33</v>
      </c>
      <c r="E4" s="18" t="s">
        <v>34</v>
      </c>
      <c r="F4" s="18" t="s">
        <v>35</v>
      </c>
      <c r="J4" s="18" t="s">
        <v>33</v>
      </c>
      <c r="K4" s="18" t="s">
        <v>34</v>
      </c>
      <c r="L4" s="18" t="s">
        <v>35</v>
      </c>
    </row>
    <row r="5" spans="2:12" x14ac:dyDescent="0.3">
      <c r="B5" s="25" t="s">
        <v>21</v>
      </c>
      <c r="C5" s="15" t="s">
        <v>1</v>
      </c>
      <c r="D5" s="2">
        <v>2.6</v>
      </c>
      <c r="E5" s="2">
        <v>3.6</v>
      </c>
      <c r="F5" s="2">
        <v>4.5</v>
      </c>
      <c r="H5" s="28" t="s">
        <v>21</v>
      </c>
      <c r="I5" s="14" t="s">
        <v>1</v>
      </c>
      <c r="J5">
        <v>2.6</v>
      </c>
      <c r="K5">
        <v>3.6</v>
      </c>
      <c r="L5">
        <v>4.5</v>
      </c>
    </row>
    <row r="6" spans="2:12" x14ac:dyDescent="0.3">
      <c r="B6" s="25"/>
      <c r="C6" s="15" t="s">
        <v>15</v>
      </c>
      <c r="D6" s="2">
        <f>(2.9+2.5+2.7)/3</f>
        <v>2.7000000000000006</v>
      </c>
      <c r="E6" s="17">
        <f>(3.5+3.8+3.4)/3</f>
        <v>3.5666666666666664</v>
      </c>
      <c r="F6" s="2">
        <f>(4.4+4.7)/2</f>
        <v>4.5500000000000007</v>
      </c>
      <c r="H6" s="28"/>
      <c r="I6" s="19" t="s">
        <v>28</v>
      </c>
      <c r="J6">
        <f>AVERAGE(D6:D7)</f>
        <v>2.6750000000000007</v>
      </c>
      <c r="K6">
        <f t="shared" ref="K6:L6" si="0">AVERAGE(E6:E7)</f>
        <v>3.55</v>
      </c>
      <c r="L6">
        <f t="shared" si="0"/>
        <v>4.5</v>
      </c>
    </row>
    <row r="7" spans="2:12" x14ac:dyDescent="0.3">
      <c r="B7" s="25"/>
      <c r="C7" s="15" t="s">
        <v>16</v>
      </c>
      <c r="D7" s="2">
        <f>(2.6+2.7)/2</f>
        <v>2.6500000000000004</v>
      </c>
      <c r="E7" s="17">
        <f>(3.5+3.5+3.6)/3</f>
        <v>3.5333333333333332</v>
      </c>
      <c r="F7" s="2">
        <f>(4.4+4.5)/2</f>
        <v>4.45</v>
      </c>
      <c r="H7" s="28"/>
      <c r="I7" s="20" t="s">
        <v>29</v>
      </c>
      <c r="J7">
        <f>AVERAGE(D8:D9)</f>
        <v>2.7</v>
      </c>
      <c r="K7">
        <f t="shared" ref="K7:L7" si="1">AVERAGE(E8:E9)</f>
        <v>3.5250000000000004</v>
      </c>
      <c r="L7">
        <f t="shared" si="1"/>
        <v>4.5</v>
      </c>
    </row>
    <row r="8" spans="2:12" x14ac:dyDescent="0.3">
      <c r="B8" s="25"/>
      <c r="C8" s="16" t="s">
        <v>17</v>
      </c>
      <c r="D8" s="2">
        <v>2.8</v>
      </c>
      <c r="E8" s="2">
        <f>(3.7+3.6)/2</f>
        <v>3.6500000000000004</v>
      </c>
      <c r="F8" s="2">
        <f>(4.5+4.6)/2</f>
        <v>4.55</v>
      </c>
      <c r="H8" s="28"/>
      <c r="I8" s="20" t="s">
        <v>30</v>
      </c>
      <c r="J8">
        <f>AVERAGE(D10:D11)</f>
        <v>2.7</v>
      </c>
      <c r="K8">
        <f t="shared" ref="K8:L8" si="2">AVERAGE(E10:E11)</f>
        <v>3.6</v>
      </c>
      <c r="L8">
        <f t="shared" si="2"/>
        <v>4.5500000000000007</v>
      </c>
    </row>
    <row r="9" spans="2:12" x14ac:dyDescent="0.3">
      <c r="B9" s="25"/>
      <c r="C9" s="16" t="s">
        <v>18</v>
      </c>
      <c r="D9" s="2">
        <v>2.6</v>
      </c>
      <c r="E9" s="2">
        <v>3.4</v>
      </c>
      <c r="F9" s="2">
        <f>(4.5+4.4)/2</f>
        <v>4.45</v>
      </c>
      <c r="J9" s="18" t="s">
        <v>33</v>
      </c>
      <c r="K9" s="18" t="s">
        <v>34</v>
      </c>
      <c r="L9" s="18" t="s">
        <v>35</v>
      </c>
    </row>
    <row r="10" spans="2:12" x14ac:dyDescent="0.3">
      <c r="B10" s="25"/>
      <c r="C10" s="16" t="s">
        <v>19</v>
      </c>
      <c r="D10" s="2">
        <v>2.65</v>
      </c>
      <c r="E10" s="2">
        <v>3.5</v>
      </c>
      <c r="F10" s="2">
        <f>(4.5+4.4)/2</f>
        <v>4.45</v>
      </c>
      <c r="H10" s="29" t="s">
        <v>31</v>
      </c>
      <c r="I10" s="14" t="s">
        <v>1</v>
      </c>
      <c r="J10" s="17">
        <f>(2.3+2.3+2.5)/3</f>
        <v>2.3666666666666667</v>
      </c>
      <c r="K10" s="17">
        <f>(3.2+3.2+3.4)/3</f>
        <v>3.2666666666666671</v>
      </c>
      <c r="L10" s="2">
        <f>(4.4+4.1+4.1)/3</f>
        <v>4.2</v>
      </c>
    </row>
    <row r="11" spans="2:12" x14ac:dyDescent="0.3">
      <c r="B11" s="25"/>
      <c r="C11" s="16" t="s">
        <v>20</v>
      </c>
      <c r="D11" s="2">
        <f>(2.8+2.7)/2</f>
        <v>2.75</v>
      </c>
      <c r="E11" s="2">
        <v>3.7</v>
      </c>
      <c r="F11" s="2">
        <f>(4.6+4.7)/2</f>
        <v>4.6500000000000004</v>
      </c>
      <c r="H11" s="29"/>
      <c r="I11" s="19" t="s">
        <v>28</v>
      </c>
      <c r="J11">
        <f>AVERAGE(D13:D14)</f>
        <v>2.375</v>
      </c>
      <c r="K11">
        <f t="shared" ref="K11:L11" si="3">AVERAGE(E13:E14)</f>
        <v>3.3</v>
      </c>
      <c r="L11">
        <f t="shared" si="3"/>
        <v>4.2249999999999996</v>
      </c>
    </row>
    <row r="12" spans="2:12" x14ac:dyDescent="0.3">
      <c r="B12" s="26" t="s">
        <v>22</v>
      </c>
      <c r="C12" s="15" t="s">
        <v>1</v>
      </c>
      <c r="D12" s="17">
        <f>(2.3+2.3+2.5)/3</f>
        <v>2.3666666666666667</v>
      </c>
      <c r="E12" s="17">
        <f>(3.2+3.2+3.4)/3</f>
        <v>3.2666666666666671</v>
      </c>
      <c r="F12" s="2">
        <f>(4.4+4.1+4.1)/3</f>
        <v>4.2</v>
      </c>
      <c r="H12" s="29"/>
      <c r="I12" s="20" t="s">
        <v>29</v>
      </c>
      <c r="J12" s="21">
        <f>AVERAGE(D15:D16)</f>
        <v>2.0583333333333336</v>
      </c>
      <c r="K12" s="21">
        <f t="shared" ref="K12:L12" si="4">AVERAGE(E15:E16)</f>
        <v>2.9749999999999996</v>
      </c>
      <c r="L12" s="21">
        <f t="shared" si="4"/>
        <v>3.8500000000000005</v>
      </c>
    </row>
    <row r="13" spans="2:12" x14ac:dyDescent="0.3">
      <c r="B13" s="26"/>
      <c r="C13" s="15" t="s">
        <v>15</v>
      </c>
      <c r="D13" s="2">
        <f>(2.2+2.3)/2</f>
        <v>2.25</v>
      </c>
      <c r="E13" s="2">
        <f>(3.3+3.2+3.1)/3</f>
        <v>3.1999999999999997</v>
      </c>
      <c r="F13" s="2">
        <f>(4.1+4.2+4)/3</f>
        <v>4.1000000000000005</v>
      </c>
      <c r="H13" s="29"/>
      <c r="I13" s="20" t="s">
        <v>30</v>
      </c>
      <c r="J13">
        <f>AVERAGE(D17:D18)</f>
        <v>2.2749999999999999</v>
      </c>
      <c r="K13" s="21">
        <f t="shared" ref="K13:L13" si="5">AVERAGE(E17:E18)</f>
        <v>3.1833333333333336</v>
      </c>
      <c r="L13" s="22">
        <f t="shared" si="5"/>
        <v>4.0999999999999996</v>
      </c>
    </row>
    <row r="14" spans="2:12" x14ac:dyDescent="0.3">
      <c r="B14" s="26"/>
      <c r="C14" s="15" t="s">
        <v>16</v>
      </c>
      <c r="D14" s="2">
        <v>2.5</v>
      </c>
      <c r="E14" s="2">
        <v>3.4</v>
      </c>
      <c r="F14" s="2">
        <f>(4.3+4.4)/2</f>
        <v>4.3499999999999996</v>
      </c>
      <c r="J14" s="18" t="s">
        <v>33</v>
      </c>
      <c r="K14" s="18" t="s">
        <v>34</v>
      </c>
      <c r="L14" s="18" t="s">
        <v>35</v>
      </c>
    </row>
    <row r="15" spans="2:12" x14ac:dyDescent="0.3">
      <c r="B15" s="26"/>
      <c r="C15" s="16" t="s">
        <v>17</v>
      </c>
      <c r="D15" s="2">
        <f>(2.2+2.1)/2</f>
        <v>2.1500000000000004</v>
      </c>
      <c r="E15" s="2">
        <f>(3.1+3)/2</f>
        <v>3.05</v>
      </c>
      <c r="F15" s="17">
        <f>(4+3.8+4)/3</f>
        <v>3.9333333333333336</v>
      </c>
      <c r="H15" s="30" t="s">
        <v>32</v>
      </c>
      <c r="I15" s="14" t="s">
        <v>1</v>
      </c>
      <c r="J15" s="17">
        <f>(2+2+2.1)/3</f>
        <v>2.0333333333333332</v>
      </c>
      <c r="K15" s="17">
        <f>(3+2.9+2.9)/3</f>
        <v>2.9333333333333336</v>
      </c>
      <c r="L15" s="2">
        <v>3.9</v>
      </c>
    </row>
    <row r="16" spans="2:12" x14ac:dyDescent="0.3">
      <c r="B16" s="26"/>
      <c r="C16" s="16" t="s">
        <v>18</v>
      </c>
      <c r="D16" s="17">
        <f>(1.9+2.1+1.9)/3</f>
        <v>1.9666666666666668</v>
      </c>
      <c r="E16" s="2">
        <f>(3.1+2.8+2.8)/3</f>
        <v>2.9</v>
      </c>
      <c r="F16" s="17">
        <f>(3.7+3.9+3.7)/3</f>
        <v>3.7666666666666671</v>
      </c>
      <c r="H16" s="30"/>
      <c r="I16" s="19" t="s">
        <v>28</v>
      </c>
      <c r="J16" s="21">
        <f>AVERAGE(D20:D21)</f>
        <v>1.8333333333333335</v>
      </c>
      <c r="K16" s="21">
        <f t="shared" ref="K16:L16" si="6">AVERAGE(E20:E21)</f>
        <v>2.7666666666666666</v>
      </c>
      <c r="L16" s="21">
        <f t="shared" si="6"/>
        <v>3.7166666666666668</v>
      </c>
    </row>
    <row r="17" spans="2:12" x14ac:dyDescent="0.3">
      <c r="B17" s="26"/>
      <c r="C17" s="16" t="s">
        <v>19</v>
      </c>
      <c r="D17" s="2">
        <f>(2.3+2.2)/2</f>
        <v>2.25</v>
      </c>
      <c r="E17" s="17">
        <f>(3.2+3.2+3.1)/3</f>
        <v>3.1666666666666665</v>
      </c>
      <c r="F17" s="2">
        <f>(4+4.1)/2</f>
        <v>4.05</v>
      </c>
      <c r="H17" s="30"/>
      <c r="I17" s="20" t="s">
        <v>29</v>
      </c>
      <c r="J17">
        <f>AVERAGE(D22:D23)</f>
        <v>1.4750000000000001</v>
      </c>
      <c r="K17">
        <f t="shared" ref="K17:L17" si="7">AVERAGE(E22:E23)</f>
        <v>2.5</v>
      </c>
      <c r="L17">
        <f t="shared" si="7"/>
        <v>3.375</v>
      </c>
    </row>
    <row r="18" spans="2:12" x14ac:dyDescent="0.3">
      <c r="B18" s="26"/>
      <c r="C18" s="16" t="s">
        <v>20</v>
      </c>
      <c r="D18" s="2">
        <v>2.2999999999999998</v>
      </c>
      <c r="E18" s="2">
        <v>3.2</v>
      </c>
      <c r="F18" s="2">
        <f>(4.2+4.1)/2</f>
        <v>4.1500000000000004</v>
      </c>
      <c r="H18" s="30"/>
      <c r="I18" s="20" t="s">
        <v>30</v>
      </c>
      <c r="J18">
        <f>AVERAGE(D24:D25)</f>
        <v>1.825</v>
      </c>
      <c r="K18">
        <f t="shared" ref="K18:L18" si="8">AVERAGE(E24:E25)</f>
        <v>2.7750000000000004</v>
      </c>
      <c r="L18">
        <f t="shared" si="8"/>
        <v>3.6749999999999998</v>
      </c>
    </row>
    <row r="19" spans="2:12" x14ac:dyDescent="0.3">
      <c r="B19" s="27" t="s">
        <v>23</v>
      </c>
      <c r="C19" s="15" t="s">
        <v>1</v>
      </c>
      <c r="D19" s="17">
        <f>(2+2+2.1)/3</f>
        <v>2.0333333333333332</v>
      </c>
      <c r="E19" s="17">
        <f>(3+2.9+2.9)/3</f>
        <v>2.9333333333333336</v>
      </c>
      <c r="F19" s="2">
        <v>3.9</v>
      </c>
    </row>
    <row r="20" spans="2:12" x14ac:dyDescent="0.3">
      <c r="B20" s="27"/>
      <c r="C20" s="15" t="s">
        <v>15</v>
      </c>
      <c r="D20" s="17">
        <f>(1.7+1.8+1.5)/3</f>
        <v>1.6666666666666667</v>
      </c>
      <c r="E20" s="17">
        <f>(2.5+2.7+2.4)/3</f>
        <v>2.5333333333333332</v>
      </c>
      <c r="F20" s="17">
        <f>(3.5+3.7+3.4)/3</f>
        <v>3.5333333333333332</v>
      </c>
    </row>
    <row r="21" spans="2:12" x14ac:dyDescent="0.3">
      <c r="B21" s="27"/>
      <c r="C21" s="15" t="s">
        <v>16</v>
      </c>
      <c r="D21" s="2">
        <v>2</v>
      </c>
      <c r="E21" s="2">
        <v>3</v>
      </c>
      <c r="F21" s="2">
        <v>3.9</v>
      </c>
    </row>
    <row r="22" spans="2:12" x14ac:dyDescent="0.3">
      <c r="B22" s="27"/>
      <c r="C22" s="16" t="s">
        <v>17</v>
      </c>
      <c r="D22" s="2">
        <v>1.7</v>
      </c>
      <c r="E22" s="17">
        <f>(2.7+2.6+2.7)/3</f>
        <v>2.6666666666666665</v>
      </c>
      <c r="F22" s="2">
        <f>(3.5+3.6)/2</f>
        <v>3.55</v>
      </c>
    </row>
    <row r="23" spans="2:12" x14ac:dyDescent="0.3">
      <c r="B23" s="27"/>
      <c r="C23" s="16" t="s">
        <v>18</v>
      </c>
      <c r="D23" s="2">
        <f>(1.2+1.3)/2</f>
        <v>1.25</v>
      </c>
      <c r="E23" s="17">
        <f>(2.3+2.4+2.3)/3</f>
        <v>2.333333333333333</v>
      </c>
      <c r="F23" s="2">
        <f>(3.1+3.3+3.2)/3</f>
        <v>3.2000000000000006</v>
      </c>
    </row>
    <row r="24" spans="2:12" x14ac:dyDescent="0.3">
      <c r="B24" s="27"/>
      <c r="C24" s="16" t="s">
        <v>19</v>
      </c>
      <c r="D24" s="2">
        <v>1.7</v>
      </c>
      <c r="E24" s="2">
        <f>(2.6+2.7)/2</f>
        <v>2.6500000000000004</v>
      </c>
      <c r="F24" s="2">
        <f>(3.5+3.6)/2</f>
        <v>3.55</v>
      </c>
    </row>
    <row r="25" spans="2:12" x14ac:dyDescent="0.3">
      <c r="B25" s="27"/>
      <c r="C25" s="16" t="s">
        <v>20</v>
      </c>
      <c r="D25" s="2">
        <f>(1.9+2)/2</f>
        <v>1.95</v>
      </c>
      <c r="E25" s="2">
        <v>2.9</v>
      </c>
      <c r="F25" s="2">
        <v>3.8</v>
      </c>
    </row>
  </sheetData>
  <mergeCells count="6">
    <mergeCell ref="B5:B11"/>
    <mergeCell ref="B12:B18"/>
    <mergeCell ref="B19:B25"/>
    <mergeCell ref="H5:H8"/>
    <mergeCell ref="H10:H13"/>
    <mergeCell ref="H15:H18"/>
  </mergeCells>
  <pageMargins left="0.7" right="0.7" top="0.75" bottom="0.75" header="0.3" footer="0.3"/>
  <ignoredErrors>
    <ignoredError sqref="J7 K8" formulaRange="1"/>
    <ignoredError sqref="F23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SXM</vt:lpstr>
      <vt:lpstr>PDM</vt:lpstr>
      <vt:lpstr>PLATE</vt:lpstr>
      <vt:lpstr>Sheet1</vt:lpstr>
      <vt:lpstr>OE</vt:lpstr>
      <vt:lpstr>Growth comb.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Ana Paula</dc:creator>
  <cp:lastModifiedBy>Chavez Rodriguez, Luciana</cp:lastModifiedBy>
  <dcterms:created xsi:type="dcterms:W3CDTF">2024-01-16T15:06:00Z</dcterms:created>
  <dcterms:modified xsi:type="dcterms:W3CDTF">2026-03-08T16:34:38Z</dcterms:modified>
</cp:coreProperties>
</file>