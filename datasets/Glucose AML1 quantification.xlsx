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\OneDrive - Wageningen University &amp; Research\UCI_projects\Project_8 (Reviews)\Family\Pere\doctorado\datasets\"/>
    </mc:Choice>
  </mc:AlternateContent>
  <xr:revisionPtr revIDLastSave="0" documentId="13_ncr:1_{0A31E6E0-A4FE-46DF-B35F-0DC6E17F7BED}" xr6:coauthVersionLast="47" xr6:coauthVersionMax="47" xr10:uidLastSave="{00000000-0000-0000-0000-000000000000}"/>
  <bookViews>
    <workbookView xWindow="-108" yWindow="-108" windowWidth="23256" windowHeight="12456" activeTab="3" xr2:uid="{25208521-DCF7-4FB9-9CBC-DD23CFB6E698}"/>
  </bookViews>
  <sheets>
    <sheet name="Results inner circle" sheetId="1" r:id="rId1"/>
    <sheet name="Three circles" sheetId="2" r:id="rId2"/>
    <sheet name="Normalization" sheetId="3" r:id="rId3"/>
    <sheet name="Statisti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" i="3" l="1"/>
  <c r="T15" i="3"/>
  <c r="T7" i="3"/>
  <c r="T6" i="3"/>
  <c r="T5" i="3"/>
  <c r="T4" i="3"/>
  <c r="X4" i="3" s="1"/>
  <c r="P5" i="3"/>
  <c r="P6" i="3"/>
  <c r="P7" i="3"/>
  <c r="P4" i="3"/>
  <c r="O5" i="3"/>
  <c r="O6" i="3"/>
  <c r="O7" i="3"/>
  <c r="O4" i="3"/>
  <c r="T19" i="3" s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3" i="2"/>
  <c r="H50" i="2"/>
  <c r="F27" i="2"/>
  <c r="H27" i="2" s="1"/>
  <c r="F28" i="2"/>
  <c r="H28" i="2" s="1"/>
  <c r="F29" i="2"/>
  <c r="H29" i="2" s="1"/>
  <c r="F30" i="2"/>
  <c r="H30" i="2" s="1"/>
  <c r="F31" i="2"/>
  <c r="H31" i="2" s="1"/>
  <c r="F32" i="2"/>
  <c r="H32" i="2" s="1"/>
  <c r="F33" i="2"/>
  <c r="H33" i="2" s="1"/>
  <c r="F34" i="2"/>
  <c r="H34" i="2" s="1"/>
  <c r="F35" i="2"/>
  <c r="H35" i="2" s="1"/>
  <c r="F36" i="2"/>
  <c r="H36" i="2" s="1"/>
  <c r="F37" i="2"/>
  <c r="H37" i="2" s="1"/>
  <c r="F38" i="2"/>
  <c r="H38" i="2" s="1"/>
  <c r="F39" i="2"/>
  <c r="H39" i="2" s="1"/>
  <c r="F40" i="2"/>
  <c r="H40" i="2" s="1"/>
  <c r="F41" i="2"/>
  <c r="H41" i="2" s="1"/>
  <c r="F42" i="2"/>
  <c r="H42" i="2" s="1"/>
  <c r="F43" i="2"/>
  <c r="H43" i="2" s="1"/>
  <c r="F44" i="2"/>
  <c r="H44" i="2" s="1"/>
  <c r="F45" i="2"/>
  <c r="H45" i="2" s="1"/>
  <c r="F46" i="2"/>
  <c r="H46" i="2" s="1"/>
  <c r="F47" i="2"/>
  <c r="H47" i="2" s="1"/>
  <c r="F48" i="2"/>
  <c r="H48" i="2" s="1"/>
  <c r="F49" i="2"/>
  <c r="H49" i="2" s="1"/>
  <c r="F50" i="2"/>
  <c r="F15" i="2"/>
  <c r="H15" i="2" s="1"/>
  <c r="F16" i="2"/>
  <c r="H16" i="2" s="1"/>
  <c r="F17" i="2"/>
  <c r="H17" i="2" s="1"/>
  <c r="F18" i="2"/>
  <c r="H18" i="2" s="1"/>
  <c r="F19" i="2"/>
  <c r="H19" i="2" s="1"/>
  <c r="F20" i="2"/>
  <c r="H20" i="2" s="1"/>
  <c r="F21" i="2"/>
  <c r="H21" i="2" s="1"/>
  <c r="F22" i="2"/>
  <c r="H22" i="2" s="1"/>
  <c r="F23" i="2"/>
  <c r="H23" i="2" s="1"/>
  <c r="F24" i="2"/>
  <c r="H24" i="2" s="1"/>
  <c r="F25" i="2"/>
  <c r="H25" i="2" s="1"/>
  <c r="F26" i="2"/>
  <c r="H26" i="2" s="1"/>
  <c r="F4" i="2"/>
  <c r="H4" i="2" s="1"/>
  <c r="F5" i="2"/>
  <c r="H5" i="2" s="1"/>
  <c r="F6" i="2"/>
  <c r="H6" i="2" s="1"/>
  <c r="F7" i="2"/>
  <c r="H7" i="2" s="1"/>
  <c r="F8" i="2"/>
  <c r="H8" i="2" s="1"/>
  <c r="F9" i="2"/>
  <c r="H9" i="2" s="1"/>
  <c r="F10" i="2"/>
  <c r="H10" i="2" s="1"/>
  <c r="F11" i="2"/>
  <c r="H11" i="2" s="1"/>
  <c r="F12" i="2"/>
  <c r="H12" i="2" s="1"/>
  <c r="F13" i="2"/>
  <c r="H13" i="2" s="1"/>
  <c r="F14" i="2"/>
  <c r="H14" i="2" s="1"/>
  <c r="F3" i="2"/>
  <c r="H3" i="2" s="1"/>
  <c r="T8" i="3" l="1"/>
  <c r="T9" i="3"/>
  <c r="T10" i="3"/>
  <c r="T11" i="3"/>
  <c r="T12" i="3"/>
  <c r="T13" i="3"/>
  <c r="T14" i="3"/>
  <c r="T16" i="3"/>
  <c r="T17" i="3"/>
  <c r="T18" i="3"/>
  <c r="Y7" i="3" l="1"/>
  <c r="X7" i="3"/>
  <c r="Y6" i="3"/>
  <c r="X6" i="3"/>
  <c r="Y5" i="3"/>
  <c r="X5" i="3"/>
</calcChain>
</file>

<file path=xl/sharedStrings.xml><?xml version="1.0" encoding="utf-8"?>
<sst xmlns="http://schemas.openxmlformats.org/spreadsheetml/2006/main" count="213" uniqueCount="93">
  <si>
    <t xml:space="preserve"> </t>
  </si>
  <si>
    <t>Area</t>
  </si>
  <si>
    <t>Mean</t>
  </si>
  <si>
    <t>Min</t>
  </si>
  <si>
    <t>Max</t>
  </si>
  <si>
    <t>WTa-1</t>
  </si>
  <si>
    <t>WTa-2</t>
  </si>
  <si>
    <t>WTa-3</t>
  </si>
  <si>
    <t>WTb-1</t>
  </si>
  <si>
    <t>WTb-2</t>
  </si>
  <si>
    <t>WTb-3</t>
  </si>
  <si>
    <t>WTc-1</t>
  </si>
  <si>
    <t>WTc-2</t>
  </si>
  <si>
    <t>WTc-3</t>
  </si>
  <si>
    <t>WTd-1</t>
  </si>
  <si>
    <t>WTd-2</t>
  </si>
  <si>
    <t>WTd-3</t>
  </si>
  <si>
    <t>ΔAML1 c2 1-1</t>
  </si>
  <si>
    <t>ΔAML1 c2 1-2</t>
  </si>
  <si>
    <t>ΔAML1 c2 1-3</t>
  </si>
  <si>
    <t>ΔAML1 c2 2-1</t>
  </si>
  <si>
    <t>ΔAML1 c2 2-2</t>
  </si>
  <si>
    <t>ΔAML1 c2 2-3</t>
  </si>
  <si>
    <t>ΔAML1 c3 1-1</t>
  </si>
  <si>
    <t>ΔAML1 c3 1-2</t>
  </si>
  <si>
    <t>ΔAML1 c3 1-3</t>
  </si>
  <si>
    <t>ΔAML1 c3 2-1</t>
  </si>
  <si>
    <t>ΔAML1 c3 2-2</t>
  </si>
  <si>
    <t>ΔAML1 c3 2-3</t>
  </si>
  <si>
    <t>comp.AML1 c2 1-1</t>
  </si>
  <si>
    <t>comp.AML1 c2 1-2</t>
  </si>
  <si>
    <t>comp.AML1 c2 1-3</t>
  </si>
  <si>
    <t>comp.AML1 c2 2-1</t>
  </si>
  <si>
    <t>comp.AML1 c2 2-2</t>
  </si>
  <si>
    <t>comp.AML1 c2 2-3</t>
  </si>
  <si>
    <t>comp.AML1 c10 1-1</t>
  </si>
  <si>
    <t>comp.AML1 c10 1-2</t>
  </si>
  <si>
    <t>comp.AML1 c10 1-3</t>
  </si>
  <si>
    <t>comp.AML1 c10 2-1</t>
  </si>
  <si>
    <t>comp.AML1 c10 2-2</t>
  </si>
  <si>
    <t>comp.AML1 c10 2-3</t>
  </si>
  <si>
    <t>AML1-GFP c12 1-1</t>
  </si>
  <si>
    <t>AML1-GFP c12 1-2</t>
  </si>
  <si>
    <t>AML1-GFP c12 1-3</t>
  </si>
  <si>
    <t>AML1-GFP c12 2-1</t>
  </si>
  <si>
    <t>AML1-GFP c12 2-2</t>
  </si>
  <si>
    <t>AML1-GFP c12 2-3</t>
  </si>
  <si>
    <t>AML1-GFP c14 1-1</t>
  </si>
  <si>
    <t>AML1-GFP c14 1-2</t>
  </si>
  <si>
    <t>AML1-GFP c14 1-3</t>
  </si>
  <si>
    <t>AML1-GFP c14 2-1</t>
  </si>
  <si>
    <t>AML1-GFP c14 2-2</t>
  </si>
  <si>
    <t>AML1-GFP c14 2-3</t>
  </si>
  <si>
    <t>Technical Rep</t>
  </si>
  <si>
    <t>Bright 1</t>
  </si>
  <si>
    <t>Bright 2</t>
  </si>
  <si>
    <t>Bright 3</t>
  </si>
  <si>
    <t>Average</t>
  </si>
  <si>
    <t>Inner Circle</t>
  </si>
  <si>
    <t xml:space="preserve">Normalization </t>
  </si>
  <si>
    <t>Biological Rep</t>
  </si>
  <si>
    <t>Background Mean</t>
  </si>
  <si>
    <t>SD</t>
  </si>
  <si>
    <t>WTa</t>
  </si>
  <si>
    <t>WTb</t>
  </si>
  <si>
    <t>WTc</t>
  </si>
  <si>
    <t>WTd</t>
  </si>
  <si>
    <t>ΔAML1 c2-1</t>
  </si>
  <si>
    <t>ΔAML1 c2-2</t>
  </si>
  <si>
    <t>ΔAML1 c3-1</t>
  </si>
  <si>
    <t>ΔAML1 c3-2</t>
  </si>
  <si>
    <t>comp.AML1 c2-1</t>
  </si>
  <si>
    <t>comp.AML1 c2-2</t>
  </si>
  <si>
    <t>comp.AML1 c10-1</t>
  </si>
  <si>
    <t>comp.AML1 c10-2</t>
  </si>
  <si>
    <t>AML1-GFP c12-1</t>
  </si>
  <si>
    <t>AML1-GFP c12-2</t>
  </si>
  <si>
    <t>AML1-GFP c14-1</t>
  </si>
  <si>
    <t>AML1-GFP c14-2</t>
  </si>
  <si>
    <t>Strain</t>
  </si>
  <si>
    <t>WT</t>
  </si>
  <si>
    <t xml:space="preserve">ΔAML1 </t>
  </si>
  <si>
    <t>comp.AML1</t>
  </si>
  <si>
    <t>AML1-GFP</t>
  </si>
  <si>
    <t>Normalized (Rel to WT)</t>
  </si>
  <si>
    <t>Average (Rel to WT)</t>
  </si>
  <si>
    <t>Normalized</t>
  </si>
  <si>
    <t>Biological.Rep</t>
  </si>
  <si>
    <t>Treatment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</si>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</sst>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Font="1"/>
    <xf numFmtId="164" fontId="0" fillId="0" borderId="0" xfId="0" applyNumberFormat="1"/>
    <xf numFmtId="0" fontId="16" fillId="0" borderId="0" xfId="0" applyFont="1" applyAlignment="1">
      <alignment horizontal="center" vertical="center"/>
    </xf>
    <xf numFmtId="165" fontId="0" fillId="0" borderId="0" xfId="0" applyNumberFormat="1"/>
    <xf numFmtId="0" fontId="16" fillId="0" borderId="0" xfId="0" applyFont="1" applyAlignment="1">
      <alignment horizontal="center" vertical="center" wrapText="1"/>
    </xf>
    <xf numFmtId="2" fontId="0" fillId="0" borderId="0" xfId="0" applyNumberFormat="1"/>
    <xf numFmtId="165" fontId="0" fillId="33" borderId="0" xfId="0" applyNumberFormat="1" applyFill="1"/>
    <xf numFmtId="0" fontId="0" fillId="34" borderId="0" xfId="0" applyFill="1"/>
    <xf numFmtId="166" fontId="0" fillId="34" borderId="0" xfId="0" applyNumberFormat="1" applyFill="1"/>
    <xf numFmtId="0" fontId="18" fillId="33" borderId="0" xfId="0" applyFont="1" applyFill="1"/>
    <xf numFmtId="166" fontId="0" fillId="33" borderId="0" xfId="0" applyNumberFormat="1" applyFill="1"/>
    <xf numFmtId="0" fontId="0" fillId="35" borderId="0" xfId="0" applyFill="1"/>
    <xf numFmtId="166" fontId="0" fillId="35" borderId="0" xfId="0" applyNumberFormat="1" applyFill="1"/>
    <xf numFmtId="0" fontId="0" fillId="36" borderId="0" xfId="0" applyFill="1"/>
    <xf numFmtId="166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Normalization!$Y$4:$Y$7</c:f>
                <c:numCache>
                  <c:formatCode>General</c:formatCode>
                  <c:ptCount val="4"/>
                  <c:pt idx="0">
                    <c:v>8.338680117213311E-2</c:v>
                  </c:pt>
                  <c:pt idx="1">
                    <c:v>4.9549151314248252E-2</c:v>
                  </c:pt>
                  <c:pt idx="2">
                    <c:v>8.5163158291262267E-2</c:v>
                  </c:pt>
                  <c:pt idx="3">
                    <c:v>7.4492804865198783E-2</c:v>
                  </c:pt>
                </c:numCache>
              </c:numRef>
            </c:plus>
            <c:minus>
              <c:numRef>
                <c:f>Normalization!$Y$4:$Y$7</c:f>
                <c:numCache>
                  <c:formatCode>General</c:formatCode>
                  <c:ptCount val="4"/>
                  <c:pt idx="0">
                    <c:v>8.338680117213311E-2</c:v>
                  </c:pt>
                  <c:pt idx="1">
                    <c:v>4.9549151314248252E-2</c:v>
                  </c:pt>
                  <c:pt idx="2">
                    <c:v>8.5163158291262267E-2</c:v>
                  </c:pt>
                  <c:pt idx="3">
                    <c:v>7.4492804865198783E-2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Normalization!$W$4:$W$7</c:f>
              <c:strCache>
                <c:ptCount val="4"/>
                <c:pt idx="0">
                  <c:v>WT</c:v>
                </c:pt>
                <c:pt idx="1">
                  <c:v>ΔAML1 </c:v>
                </c:pt>
                <c:pt idx="2">
                  <c:v>comp.AML1</c:v>
                </c:pt>
                <c:pt idx="3">
                  <c:v>AML1-GFP</c:v>
                </c:pt>
              </c:strCache>
            </c:strRef>
          </c:cat>
          <c:val>
            <c:numRef>
              <c:f>Normalization!$X$4:$X$7</c:f>
              <c:numCache>
                <c:formatCode>0.000</c:formatCode>
                <c:ptCount val="4"/>
                <c:pt idx="0">
                  <c:v>1</c:v>
                </c:pt>
                <c:pt idx="1">
                  <c:v>0.43319704896709671</c:v>
                </c:pt>
                <c:pt idx="2">
                  <c:v>0.74149879663804263</c:v>
                </c:pt>
                <c:pt idx="3">
                  <c:v>0.40364281068900232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4E-4EAE-A9CD-880D02353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3080224"/>
        <c:axId val="1343082144"/>
      </c:barChart>
      <c:catAx>
        <c:axId val="134308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343082144"/>
        <c:crosses val="autoZero"/>
        <c:auto val="1"/>
        <c:lblAlgn val="ctr"/>
        <c:lblOffset val="100"/>
        <c:noMultiLvlLbl val="0"/>
      </c:catAx>
      <c:valAx>
        <c:axId val="134308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34308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15240</xdr:colOff>
      <xdr:row>8</xdr:row>
      <xdr:rowOff>163830</xdr:rowOff>
    </xdr:from>
    <xdr:to>
      <xdr:col>28</xdr:col>
      <xdr:colOff>76200</xdr:colOff>
      <xdr:row>23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F0E8B8-9333-D452-7B21-B3B4AE438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7365B-B954-456F-AC42-14B76E8A89D7}">
  <dimension ref="A1:E49"/>
  <sheetViews>
    <sheetView workbookViewId="0">
      <selection activeCell="C2" sqref="C2:C49"/>
    </sheetView>
  </sheetViews>
  <sheetFormatPr defaultRowHeight="14.4" x14ac:dyDescent="0.3"/>
  <cols>
    <col min="1" max="1" width="19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53504</v>
      </c>
      <c r="C2" s="2">
        <v>170.16499999999999</v>
      </c>
      <c r="D2">
        <v>144</v>
      </c>
      <c r="E2">
        <v>183</v>
      </c>
    </row>
    <row r="3" spans="1:5" x14ac:dyDescent="0.3">
      <c r="A3" t="s">
        <v>6</v>
      </c>
      <c r="B3">
        <v>53504</v>
      </c>
      <c r="C3" s="2">
        <v>173.251</v>
      </c>
      <c r="D3">
        <v>165</v>
      </c>
      <c r="E3">
        <v>183</v>
      </c>
    </row>
    <row r="4" spans="1:5" x14ac:dyDescent="0.3">
      <c r="A4" t="s">
        <v>7</v>
      </c>
      <c r="B4">
        <v>53504</v>
      </c>
      <c r="C4" s="2">
        <v>151.24799999999999</v>
      </c>
      <c r="D4">
        <v>137</v>
      </c>
      <c r="E4">
        <v>171</v>
      </c>
    </row>
    <row r="5" spans="1:5" x14ac:dyDescent="0.3">
      <c r="A5" t="s">
        <v>8</v>
      </c>
      <c r="B5">
        <v>53504</v>
      </c>
      <c r="C5" s="2">
        <v>161.07599999999999</v>
      </c>
      <c r="D5">
        <v>146</v>
      </c>
      <c r="E5">
        <v>175</v>
      </c>
    </row>
    <row r="6" spans="1:5" x14ac:dyDescent="0.3">
      <c r="A6" t="s">
        <v>9</v>
      </c>
      <c r="B6">
        <v>53504</v>
      </c>
      <c r="C6" s="2">
        <v>165.048</v>
      </c>
      <c r="D6">
        <v>153</v>
      </c>
      <c r="E6">
        <v>184</v>
      </c>
    </row>
    <row r="7" spans="1:5" x14ac:dyDescent="0.3">
      <c r="A7" t="s">
        <v>10</v>
      </c>
      <c r="B7">
        <v>53504</v>
      </c>
      <c r="C7" s="2">
        <v>147.55099999999999</v>
      </c>
      <c r="D7">
        <v>134</v>
      </c>
      <c r="E7">
        <v>165</v>
      </c>
    </row>
    <row r="8" spans="1:5" x14ac:dyDescent="0.3">
      <c r="A8" t="s">
        <v>11</v>
      </c>
      <c r="B8">
        <v>53504</v>
      </c>
      <c r="C8" s="2">
        <v>163.22800000000001</v>
      </c>
      <c r="D8">
        <v>153</v>
      </c>
      <c r="E8">
        <v>177</v>
      </c>
    </row>
    <row r="9" spans="1:5" x14ac:dyDescent="0.3">
      <c r="A9" t="s">
        <v>12</v>
      </c>
      <c r="B9">
        <v>53504</v>
      </c>
      <c r="C9" s="2">
        <v>158.30099999999999</v>
      </c>
      <c r="D9">
        <v>140</v>
      </c>
      <c r="E9">
        <v>175</v>
      </c>
    </row>
    <row r="10" spans="1:5" x14ac:dyDescent="0.3">
      <c r="A10" t="s">
        <v>13</v>
      </c>
      <c r="B10">
        <v>53504</v>
      </c>
      <c r="C10" s="2">
        <v>143.23599999999999</v>
      </c>
      <c r="D10">
        <v>129</v>
      </c>
      <c r="E10">
        <v>162</v>
      </c>
    </row>
    <row r="11" spans="1:5" x14ac:dyDescent="0.3">
      <c r="A11" t="s">
        <v>14</v>
      </c>
      <c r="B11">
        <v>53504</v>
      </c>
      <c r="C11" s="2">
        <v>161.565</v>
      </c>
      <c r="D11">
        <v>148</v>
      </c>
      <c r="E11">
        <v>177</v>
      </c>
    </row>
    <row r="12" spans="1:5" x14ac:dyDescent="0.3">
      <c r="A12" t="s">
        <v>15</v>
      </c>
      <c r="B12">
        <v>53504</v>
      </c>
      <c r="C12" s="2">
        <v>164.80699999999999</v>
      </c>
      <c r="D12">
        <v>151</v>
      </c>
      <c r="E12">
        <v>175</v>
      </c>
    </row>
    <row r="13" spans="1:5" x14ac:dyDescent="0.3">
      <c r="A13" t="s">
        <v>16</v>
      </c>
      <c r="B13">
        <v>53504</v>
      </c>
      <c r="C13" s="2">
        <v>146.50700000000001</v>
      </c>
      <c r="D13">
        <v>130</v>
      </c>
      <c r="E13">
        <v>169</v>
      </c>
    </row>
    <row r="14" spans="1:5" x14ac:dyDescent="0.3">
      <c r="A14" s="1" t="s">
        <v>17</v>
      </c>
      <c r="B14">
        <v>53504</v>
      </c>
      <c r="C14" s="2">
        <v>181.17400000000001</v>
      </c>
      <c r="D14">
        <v>173</v>
      </c>
      <c r="E14">
        <v>186</v>
      </c>
    </row>
    <row r="15" spans="1:5" x14ac:dyDescent="0.3">
      <c r="A15" s="1" t="s">
        <v>18</v>
      </c>
      <c r="B15">
        <v>53504</v>
      </c>
      <c r="C15" s="2">
        <v>181.66900000000001</v>
      </c>
      <c r="D15">
        <v>174</v>
      </c>
      <c r="E15">
        <v>187</v>
      </c>
    </row>
    <row r="16" spans="1:5" x14ac:dyDescent="0.3">
      <c r="A16" s="1" t="s">
        <v>19</v>
      </c>
      <c r="B16">
        <v>53504</v>
      </c>
      <c r="C16" s="2">
        <v>165.721</v>
      </c>
      <c r="D16">
        <v>145</v>
      </c>
      <c r="E16">
        <v>180</v>
      </c>
    </row>
    <row r="17" spans="1:5" x14ac:dyDescent="0.3">
      <c r="A17" s="1" t="s">
        <v>20</v>
      </c>
      <c r="B17">
        <v>53504</v>
      </c>
      <c r="C17" s="2">
        <v>176.81</v>
      </c>
      <c r="D17">
        <v>156</v>
      </c>
      <c r="E17">
        <v>184</v>
      </c>
    </row>
    <row r="18" spans="1:5" x14ac:dyDescent="0.3">
      <c r="A18" s="1" t="s">
        <v>21</v>
      </c>
      <c r="B18">
        <v>53504</v>
      </c>
      <c r="C18" s="2">
        <v>177.04300000000001</v>
      </c>
      <c r="D18">
        <v>168</v>
      </c>
      <c r="E18">
        <v>184</v>
      </c>
    </row>
    <row r="19" spans="1:5" x14ac:dyDescent="0.3">
      <c r="A19" s="1" t="s">
        <v>22</v>
      </c>
      <c r="B19">
        <v>53504</v>
      </c>
      <c r="C19" s="2">
        <v>168.43700000000001</v>
      </c>
      <c r="D19">
        <v>153</v>
      </c>
      <c r="E19">
        <v>181</v>
      </c>
    </row>
    <row r="20" spans="1:5" x14ac:dyDescent="0.3">
      <c r="A20" s="1" t="s">
        <v>23</v>
      </c>
      <c r="B20">
        <v>53504</v>
      </c>
      <c r="C20" s="2">
        <v>183.27500000000001</v>
      </c>
      <c r="D20">
        <v>164</v>
      </c>
      <c r="E20">
        <v>190</v>
      </c>
    </row>
    <row r="21" spans="1:5" x14ac:dyDescent="0.3">
      <c r="A21" s="1" t="s">
        <v>24</v>
      </c>
      <c r="B21">
        <v>53504</v>
      </c>
      <c r="C21" s="2">
        <v>183.64099999999999</v>
      </c>
      <c r="D21">
        <v>177</v>
      </c>
      <c r="E21">
        <v>190</v>
      </c>
    </row>
    <row r="22" spans="1:5" x14ac:dyDescent="0.3">
      <c r="A22" s="1" t="s">
        <v>25</v>
      </c>
      <c r="B22">
        <v>53504</v>
      </c>
      <c r="C22" s="2">
        <v>171.68100000000001</v>
      </c>
      <c r="D22">
        <v>157</v>
      </c>
      <c r="E22">
        <v>184</v>
      </c>
    </row>
    <row r="23" spans="1:5" x14ac:dyDescent="0.3">
      <c r="A23" s="1" t="s">
        <v>26</v>
      </c>
      <c r="B23">
        <v>53504</v>
      </c>
      <c r="C23" s="2">
        <v>185.36</v>
      </c>
      <c r="D23">
        <v>181</v>
      </c>
      <c r="E23">
        <v>190</v>
      </c>
    </row>
    <row r="24" spans="1:5" x14ac:dyDescent="0.3">
      <c r="A24" s="1" t="s">
        <v>27</v>
      </c>
      <c r="B24">
        <v>53504</v>
      </c>
      <c r="C24" s="2">
        <v>177.745</v>
      </c>
      <c r="D24">
        <v>172</v>
      </c>
      <c r="E24">
        <v>185</v>
      </c>
    </row>
    <row r="25" spans="1:5" x14ac:dyDescent="0.3">
      <c r="A25" s="1" t="s">
        <v>28</v>
      </c>
      <c r="B25">
        <v>53504</v>
      </c>
      <c r="C25" s="2">
        <v>178.16399999999999</v>
      </c>
      <c r="D25">
        <v>167</v>
      </c>
      <c r="E25">
        <v>188</v>
      </c>
    </row>
    <row r="26" spans="1:5" x14ac:dyDescent="0.3">
      <c r="A26" t="s">
        <v>29</v>
      </c>
      <c r="B26">
        <v>53504</v>
      </c>
      <c r="C26" s="2">
        <v>167.81299999999999</v>
      </c>
      <c r="D26">
        <v>159</v>
      </c>
      <c r="E26">
        <v>180</v>
      </c>
    </row>
    <row r="27" spans="1:5" x14ac:dyDescent="0.3">
      <c r="A27" t="s">
        <v>30</v>
      </c>
      <c r="B27">
        <v>53504</v>
      </c>
      <c r="C27" s="2">
        <v>173.73099999999999</v>
      </c>
      <c r="D27">
        <v>164</v>
      </c>
      <c r="E27">
        <v>188</v>
      </c>
    </row>
    <row r="28" spans="1:5" x14ac:dyDescent="0.3">
      <c r="A28" t="s">
        <v>31</v>
      </c>
      <c r="B28">
        <v>53504</v>
      </c>
      <c r="C28" s="2">
        <v>172.315</v>
      </c>
      <c r="D28">
        <v>167</v>
      </c>
      <c r="E28">
        <v>179</v>
      </c>
    </row>
    <row r="29" spans="1:5" x14ac:dyDescent="0.3">
      <c r="A29" t="s">
        <v>32</v>
      </c>
      <c r="B29">
        <v>53504</v>
      </c>
      <c r="C29" s="2">
        <v>160.49299999999999</v>
      </c>
      <c r="D29">
        <v>148</v>
      </c>
      <c r="E29">
        <v>174</v>
      </c>
    </row>
    <row r="30" spans="1:5" x14ac:dyDescent="0.3">
      <c r="A30" t="s">
        <v>33</v>
      </c>
      <c r="B30">
        <v>53504</v>
      </c>
      <c r="C30" s="2">
        <v>166.89400000000001</v>
      </c>
      <c r="D30">
        <v>156</v>
      </c>
      <c r="E30">
        <v>179</v>
      </c>
    </row>
    <row r="31" spans="1:5" x14ac:dyDescent="0.3">
      <c r="A31" t="s">
        <v>34</v>
      </c>
      <c r="B31">
        <v>53504</v>
      </c>
      <c r="C31" s="2">
        <v>152.625</v>
      </c>
      <c r="D31">
        <v>141</v>
      </c>
      <c r="E31">
        <v>170</v>
      </c>
    </row>
    <row r="32" spans="1:5" x14ac:dyDescent="0.3">
      <c r="A32" t="s">
        <v>35</v>
      </c>
      <c r="B32">
        <v>53504</v>
      </c>
      <c r="C32" s="2">
        <v>166.292</v>
      </c>
      <c r="D32">
        <v>154</v>
      </c>
      <c r="E32">
        <v>175</v>
      </c>
    </row>
    <row r="33" spans="1:5" x14ac:dyDescent="0.3">
      <c r="A33" t="s">
        <v>36</v>
      </c>
      <c r="B33">
        <v>53504</v>
      </c>
      <c r="C33" s="2">
        <v>172.82300000000001</v>
      </c>
      <c r="D33">
        <v>144</v>
      </c>
      <c r="E33">
        <v>183</v>
      </c>
    </row>
    <row r="34" spans="1:5" x14ac:dyDescent="0.3">
      <c r="A34" t="s">
        <v>37</v>
      </c>
      <c r="B34">
        <v>53504</v>
      </c>
      <c r="C34" s="2">
        <v>174.083</v>
      </c>
      <c r="D34">
        <v>167</v>
      </c>
      <c r="E34">
        <v>184</v>
      </c>
    </row>
    <row r="35" spans="1:5" x14ac:dyDescent="0.3">
      <c r="A35" t="s">
        <v>38</v>
      </c>
      <c r="B35">
        <v>53504</v>
      </c>
      <c r="C35" s="2">
        <v>170.857</v>
      </c>
      <c r="D35">
        <v>162</v>
      </c>
      <c r="E35">
        <v>181</v>
      </c>
    </row>
    <row r="36" spans="1:5" x14ac:dyDescent="0.3">
      <c r="A36" t="s">
        <v>39</v>
      </c>
      <c r="B36">
        <v>53504</v>
      </c>
      <c r="C36" s="2">
        <v>163.202</v>
      </c>
      <c r="D36">
        <v>152</v>
      </c>
      <c r="E36">
        <v>175</v>
      </c>
    </row>
    <row r="37" spans="1:5" x14ac:dyDescent="0.3">
      <c r="A37" t="s">
        <v>40</v>
      </c>
      <c r="B37">
        <v>53504</v>
      </c>
      <c r="C37" s="2">
        <v>157.76599999999999</v>
      </c>
      <c r="D37">
        <v>144</v>
      </c>
      <c r="E37">
        <v>175</v>
      </c>
    </row>
    <row r="38" spans="1:5" x14ac:dyDescent="0.3">
      <c r="A38" t="s">
        <v>41</v>
      </c>
      <c r="B38">
        <v>53504</v>
      </c>
      <c r="C38" s="2">
        <v>180.184</v>
      </c>
      <c r="D38">
        <v>171</v>
      </c>
      <c r="E38">
        <v>187</v>
      </c>
    </row>
    <row r="39" spans="1:5" x14ac:dyDescent="0.3">
      <c r="A39" t="s">
        <v>42</v>
      </c>
      <c r="B39">
        <v>53504</v>
      </c>
      <c r="C39" s="2">
        <v>181.64500000000001</v>
      </c>
      <c r="D39">
        <v>171</v>
      </c>
      <c r="E39">
        <v>188</v>
      </c>
    </row>
    <row r="40" spans="1:5" x14ac:dyDescent="0.3">
      <c r="A40" t="s">
        <v>43</v>
      </c>
      <c r="B40">
        <v>53504</v>
      </c>
      <c r="C40" s="2">
        <v>162.51300000000001</v>
      </c>
      <c r="D40">
        <v>139</v>
      </c>
      <c r="E40">
        <v>178</v>
      </c>
    </row>
    <row r="41" spans="1:5" x14ac:dyDescent="0.3">
      <c r="A41" t="s">
        <v>44</v>
      </c>
      <c r="B41">
        <v>53504</v>
      </c>
      <c r="C41" s="2">
        <v>184.79499999999999</v>
      </c>
      <c r="D41">
        <v>169</v>
      </c>
      <c r="E41">
        <v>190</v>
      </c>
    </row>
    <row r="42" spans="1:5" x14ac:dyDescent="0.3">
      <c r="A42" t="s">
        <v>45</v>
      </c>
      <c r="B42">
        <v>53504</v>
      </c>
      <c r="C42" s="2">
        <v>178.14</v>
      </c>
      <c r="D42">
        <v>169</v>
      </c>
      <c r="E42">
        <v>187</v>
      </c>
    </row>
    <row r="43" spans="1:5" x14ac:dyDescent="0.3">
      <c r="A43" t="s">
        <v>46</v>
      </c>
      <c r="B43">
        <v>53504</v>
      </c>
      <c r="C43" s="2">
        <v>180.875</v>
      </c>
      <c r="D43">
        <v>173</v>
      </c>
      <c r="E43">
        <v>188</v>
      </c>
    </row>
    <row r="44" spans="1:5" x14ac:dyDescent="0.3">
      <c r="A44" t="s">
        <v>47</v>
      </c>
      <c r="B44">
        <v>53504</v>
      </c>
      <c r="C44" s="2">
        <v>180.333</v>
      </c>
      <c r="D44">
        <v>169</v>
      </c>
      <c r="E44">
        <v>189</v>
      </c>
    </row>
    <row r="45" spans="1:5" x14ac:dyDescent="0.3">
      <c r="A45" t="s">
        <v>48</v>
      </c>
      <c r="B45">
        <v>53504</v>
      </c>
      <c r="C45" s="2">
        <v>177.09399999999999</v>
      </c>
      <c r="D45">
        <v>169</v>
      </c>
      <c r="E45">
        <v>184</v>
      </c>
    </row>
    <row r="46" spans="1:5" x14ac:dyDescent="0.3">
      <c r="A46" t="s">
        <v>49</v>
      </c>
      <c r="B46">
        <v>53504</v>
      </c>
      <c r="C46" s="2">
        <v>178.57400000000001</v>
      </c>
      <c r="D46">
        <v>170</v>
      </c>
      <c r="E46">
        <v>186</v>
      </c>
    </row>
    <row r="47" spans="1:5" x14ac:dyDescent="0.3">
      <c r="A47" t="s">
        <v>50</v>
      </c>
      <c r="B47">
        <v>53504</v>
      </c>
      <c r="C47" s="2">
        <v>179.59800000000001</v>
      </c>
      <c r="D47">
        <v>173</v>
      </c>
      <c r="E47">
        <v>186</v>
      </c>
    </row>
    <row r="48" spans="1:5" x14ac:dyDescent="0.3">
      <c r="A48" t="s">
        <v>51</v>
      </c>
      <c r="B48">
        <v>53504</v>
      </c>
      <c r="C48" s="2">
        <v>182.637</v>
      </c>
      <c r="D48">
        <v>170</v>
      </c>
      <c r="E48">
        <v>189</v>
      </c>
    </row>
    <row r="49" spans="1:5" x14ac:dyDescent="0.3">
      <c r="A49" t="s">
        <v>52</v>
      </c>
      <c r="B49">
        <v>53504</v>
      </c>
      <c r="C49" s="2">
        <v>182.97900000000001</v>
      </c>
      <c r="D49">
        <v>177</v>
      </c>
      <c r="E49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B1381-0E19-466B-8A95-13ABD98CEC48}">
  <dimension ref="B2:P50"/>
  <sheetViews>
    <sheetView workbookViewId="0">
      <selection activeCell="K2" sqref="K2:P18"/>
    </sheetView>
  </sheetViews>
  <sheetFormatPr defaultRowHeight="14.4" x14ac:dyDescent="0.3"/>
  <cols>
    <col min="2" max="2" width="17.44140625" customWidth="1"/>
    <col min="7" max="7" width="11.109375" customWidth="1"/>
    <col min="8" max="8" width="14.109375" customWidth="1"/>
    <col min="11" max="11" width="16.33203125" customWidth="1"/>
    <col min="12" max="14" width="9.21875" bestFit="1" customWidth="1"/>
    <col min="15" max="15" width="11.109375" customWidth="1"/>
  </cols>
  <sheetData>
    <row r="2" spans="2:16" ht="28.8" x14ac:dyDescent="0.3">
      <c r="B2" s="3" t="s">
        <v>53</v>
      </c>
      <c r="C2" s="3" t="s">
        <v>54</v>
      </c>
      <c r="D2" s="3" t="s">
        <v>55</v>
      </c>
      <c r="E2" s="3" t="s">
        <v>56</v>
      </c>
      <c r="F2" s="3" t="s">
        <v>57</v>
      </c>
      <c r="G2" s="3" t="s">
        <v>58</v>
      </c>
      <c r="H2" s="3" t="s">
        <v>59</v>
      </c>
      <c r="K2" s="3" t="s">
        <v>60</v>
      </c>
      <c r="L2" s="3">
        <v>1</v>
      </c>
      <c r="M2" s="3">
        <v>2</v>
      </c>
      <c r="N2" s="3">
        <v>3</v>
      </c>
      <c r="O2" s="5" t="s">
        <v>61</v>
      </c>
      <c r="P2" s="3" t="s">
        <v>62</v>
      </c>
    </row>
    <row r="3" spans="2:16" x14ac:dyDescent="0.3">
      <c r="B3" t="s">
        <v>5</v>
      </c>
      <c r="C3" s="2">
        <v>195.828</v>
      </c>
      <c r="D3" s="2">
        <v>194.68100000000001</v>
      </c>
      <c r="E3" s="2">
        <v>194.31</v>
      </c>
      <c r="F3" s="2">
        <f>AVERAGE(C3:E3)</f>
        <v>194.93966666666665</v>
      </c>
      <c r="G3" s="2">
        <v>170.16499999999999</v>
      </c>
      <c r="H3" s="4">
        <f>G3-F3</f>
        <v>-24.774666666666661</v>
      </c>
      <c r="K3" t="s">
        <v>63</v>
      </c>
      <c r="L3" s="6">
        <v>-24.774666666666661</v>
      </c>
      <c r="M3" s="6">
        <v>-21.068333333333328</v>
      </c>
      <c r="N3" s="6">
        <v>-41.834333333333376</v>
      </c>
      <c r="O3" s="4">
        <f>AVERAGE(L3:N3)</f>
        <v>-29.22577777777779</v>
      </c>
      <c r="P3" s="4">
        <f>STDEV(L3:N3)</f>
        <v>11.07546755638756</v>
      </c>
    </row>
    <row r="4" spans="2:16" x14ac:dyDescent="0.3">
      <c r="B4" t="s">
        <v>6</v>
      </c>
      <c r="C4" s="2">
        <v>193.88900000000001</v>
      </c>
      <c r="D4" s="2">
        <v>194.99100000000001</v>
      </c>
      <c r="E4" s="2">
        <v>194.078</v>
      </c>
      <c r="F4" s="2">
        <f t="shared" ref="F4:F50" si="0">AVERAGE(C4:E4)</f>
        <v>194.31933333333333</v>
      </c>
      <c r="G4" s="2">
        <v>173.251</v>
      </c>
      <c r="H4" s="4">
        <f t="shared" ref="H4:H50" si="1">G4-F4</f>
        <v>-21.068333333333328</v>
      </c>
      <c r="K4" t="s">
        <v>64</v>
      </c>
      <c r="L4" s="6">
        <v>-29.632333333333349</v>
      </c>
      <c r="M4" s="6">
        <v>-28.739000000000004</v>
      </c>
      <c r="N4" s="6">
        <v>-45.160000000000025</v>
      </c>
      <c r="O4" s="4">
        <f t="shared" ref="O4:O18" si="2">AVERAGE(L4:N4)</f>
        <v>-34.51044444444446</v>
      </c>
      <c r="P4" s="4">
        <f t="shared" ref="P4:P18" si="3">STDEV(L4:N4)</f>
        <v>9.2335955217487946</v>
      </c>
    </row>
    <row r="5" spans="2:16" x14ac:dyDescent="0.3">
      <c r="B5" t="s">
        <v>7</v>
      </c>
      <c r="C5" s="2">
        <v>189.93600000000001</v>
      </c>
      <c r="D5" s="2">
        <v>195.809</v>
      </c>
      <c r="E5" s="2">
        <v>193.50200000000001</v>
      </c>
      <c r="F5" s="2">
        <f t="shared" si="0"/>
        <v>193.08233333333337</v>
      </c>
      <c r="G5" s="2">
        <v>151.24799999999999</v>
      </c>
      <c r="H5" s="4">
        <f t="shared" si="1"/>
        <v>-41.834333333333376</v>
      </c>
      <c r="K5" t="s">
        <v>65</v>
      </c>
      <c r="L5" s="6">
        <v>-28.098666666666674</v>
      </c>
      <c r="M5" s="6">
        <v>-34.034666666666709</v>
      </c>
      <c r="N5" s="6">
        <v>-48.747666666666674</v>
      </c>
      <c r="O5" s="4">
        <f t="shared" si="2"/>
        <v>-36.960333333333352</v>
      </c>
      <c r="P5" s="4">
        <f t="shared" si="3"/>
        <v>10.63084871180723</v>
      </c>
    </row>
    <row r="6" spans="2:16" x14ac:dyDescent="0.3">
      <c r="B6" t="s">
        <v>8</v>
      </c>
      <c r="C6" s="2">
        <v>192.00200000000001</v>
      </c>
      <c r="D6" s="2">
        <v>190.02600000000001</v>
      </c>
      <c r="E6" s="2">
        <v>190.09700000000001</v>
      </c>
      <c r="F6" s="2">
        <f t="shared" si="0"/>
        <v>190.70833333333334</v>
      </c>
      <c r="G6" s="2">
        <v>161.07599999999999</v>
      </c>
      <c r="H6" s="4">
        <f t="shared" si="1"/>
        <v>-29.632333333333349</v>
      </c>
      <c r="K6" t="s">
        <v>66</v>
      </c>
      <c r="L6" s="4">
        <v>-30.4493333333333</v>
      </c>
      <c r="M6" s="4">
        <v>-25.783333333333331</v>
      </c>
      <c r="N6" s="4">
        <v>-44.022666666666652</v>
      </c>
      <c r="O6" s="4">
        <f t="shared" si="2"/>
        <v>-33.418444444444425</v>
      </c>
      <c r="P6" s="4">
        <f t="shared" si="3"/>
        <v>9.4752327519541062</v>
      </c>
    </row>
    <row r="7" spans="2:16" x14ac:dyDescent="0.3">
      <c r="B7" t="s">
        <v>9</v>
      </c>
      <c r="C7" s="2">
        <v>195.721</v>
      </c>
      <c r="D7" s="2">
        <v>191.411</v>
      </c>
      <c r="E7" s="2">
        <v>194.22900000000001</v>
      </c>
      <c r="F7" s="2">
        <f t="shared" si="0"/>
        <v>193.78700000000001</v>
      </c>
      <c r="G7" s="2">
        <v>165.048</v>
      </c>
      <c r="H7" s="4">
        <f t="shared" si="1"/>
        <v>-28.739000000000004</v>
      </c>
      <c r="K7" s="1" t="s">
        <v>67</v>
      </c>
      <c r="L7" s="4">
        <v>-12.03333333333336</v>
      </c>
      <c r="M7" s="4">
        <v>-9.6496666666666613</v>
      </c>
      <c r="N7" s="4">
        <v>-26.0683333333333</v>
      </c>
      <c r="O7" s="4">
        <f t="shared" si="2"/>
        <v>-15.917111111111106</v>
      </c>
      <c r="P7" s="4">
        <f t="shared" si="3"/>
        <v>8.8716374558560354</v>
      </c>
    </row>
    <row r="8" spans="2:16" x14ac:dyDescent="0.3">
      <c r="B8" t="s">
        <v>10</v>
      </c>
      <c r="C8" s="2">
        <v>193.71199999999999</v>
      </c>
      <c r="D8" s="2">
        <v>192.24</v>
      </c>
      <c r="E8" s="2">
        <v>192.18100000000001</v>
      </c>
      <c r="F8" s="2">
        <f t="shared" si="0"/>
        <v>192.71100000000001</v>
      </c>
      <c r="G8" s="2">
        <v>147.55099999999999</v>
      </c>
      <c r="H8" s="4">
        <f t="shared" si="1"/>
        <v>-45.160000000000025</v>
      </c>
      <c r="K8" s="1" t="s">
        <v>68</v>
      </c>
      <c r="L8" s="4">
        <v>-15.415999999999997</v>
      </c>
      <c r="M8" s="4">
        <v>-12.062333333333328</v>
      </c>
      <c r="N8" s="4">
        <v>-21.495333333333321</v>
      </c>
      <c r="O8" s="4">
        <f t="shared" si="2"/>
        <v>-16.324555555555548</v>
      </c>
      <c r="P8" s="4">
        <f t="shared" si="3"/>
        <v>4.7816814143299142</v>
      </c>
    </row>
    <row r="9" spans="2:16" x14ac:dyDescent="0.3">
      <c r="B9" t="s">
        <v>11</v>
      </c>
      <c r="C9" s="2">
        <v>193.89</v>
      </c>
      <c r="D9" s="2">
        <v>190.44499999999999</v>
      </c>
      <c r="E9" s="2">
        <v>189.64500000000001</v>
      </c>
      <c r="F9" s="2">
        <f t="shared" si="0"/>
        <v>191.32666666666668</v>
      </c>
      <c r="G9" s="2">
        <v>163.22800000000001</v>
      </c>
      <c r="H9" s="4">
        <f t="shared" si="1"/>
        <v>-28.098666666666674</v>
      </c>
      <c r="K9" s="1" t="s">
        <v>69</v>
      </c>
      <c r="L9" s="4">
        <v>-10.994</v>
      </c>
      <c r="M9" s="4">
        <v>-8.3870000000000289</v>
      </c>
      <c r="N9" s="4">
        <v>-21.258666666666642</v>
      </c>
      <c r="O9" s="4">
        <f t="shared" si="2"/>
        <v>-13.546555555555557</v>
      </c>
      <c r="P9" s="4">
        <f t="shared" si="3"/>
        <v>6.8048957076940049</v>
      </c>
    </row>
    <row r="10" spans="2:16" x14ac:dyDescent="0.3">
      <c r="B10" t="s">
        <v>12</v>
      </c>
      <c r="C10" s="2">
        <v>192.38</v>
      </c>
      <c r="D10" s="2">
        <v>190.62700000000001</v>
      </c>
      <c r="E10" s="2">
        <v>194</v>
      </c>
      <c r="F10" s="2">
        <f t="shared" si="0"/>
        <v>192.3356666666667</v>
      </c>
      <c r="G10" s="2">
        <v>158.30099999999999</v>
      </c>
      <c r="H10" s="4">
        <f t="shared" si="1"/>
        <v>-34.034666666666709</v>
      </c>
      <c r="K10" s="1" t="s">
        <v>70</v>
      </c>
      <c r="L10" s="4">
        <v>-7.2089999999999748</v>
      </c>
      <c r="M10" s="4">
        <v>-14.654999999999973</v>
      </c>
      <c r="N10" s="4">
        <v>-15.066000000000003</v>
      </c>
      <c r="O10" s="4">
        <f t="shared" si="2"/>
        <v>-12.309999999999983</v>
      </c>
      <c r="P10" s="4">
        <f t="shared" si="3"/>
        <v>4.4223727794024867</v>
      </c>
    </row>
    <row r="11" spans="2:16" x14ac:dyDescent="0.3">
      <c r="B11" t="s">
        <v>13</v>
      </c>
      <c r="C11" s="2">
        <v>192.60300000000001</v>
      </c>
      <c r="D11" s="2">
        <v>192.60499999999999</v>
      </c>
      <c r="E11" s="2">
        <v>190.74299999999999</v>
      </c>
      <c r="F11" s="2">
        <f t="shared" si="0"/>
        <v>191.98366666666666</v>
      </c>
      <c r="G11" s="2">
        <v>143.23599999999999</v>
      </c>
      <c r="H11" s="4">
        <f t="shared" si="1"/>
        <v>-48.747666666666674</v>
      </c>
      <c r="K11" t="s">
        <v>71</v>
      </c>
      <c r="L11" s="4">
        <v>-21.432999999999993</v>
      </c>
      <c r="M11" s="4">
        <v>-20.36366666666666</v>
      </c>
      <c r="N11" s="4">
        <v>-15.840333333333348</v>
      </c>
      <c r="O11" s="4">
        <f t="shared" si="2"/>
        <v>-19.212333333333333</v>
      </c>
      <c r="P11" s="4">
        <f t="shared" si="3"/>
        <v>2.9687802957518246</v>
      </c>
    </row>
    <row r="12" spans="2:16" x14ac:dyDescent="0.3">
      <c r="B12" t="s">
        <v>14</v>
      </c>
      <c r="C12" s="2">
        <v>189.25899999999999</v>
      </c>
      <c r="D12" s="2">
        <v>192.92099999999999</v>
      </c>
      <c r="E12" s="2">
        <v>193.863</v>
      </c>
      <c r="F12" s="2">
        <f t="shared" si="0"/>
        <v>192.0143333333333</v>
      </c>
      <c r="G12" s="2">
        <v>161.565</v>
      </c>
      <c r="H12" s="4">
        <f t="shared" si="1"/>
        <v>-30.4493333333333</v>
      </c>
      <c r="K12" t="s">
        <v>72</v>
      </c>
      <c r="L12" s="4">
        <v>-26.952333333333343</v>
      </c>
      <c r="M12" s="4">
        <v>-18.330999999999989</v>
      </c>
      <c r="N12" s="4">
        <v>-36.49199999999999</v>
      </c>
      <c r="O12" s="4">
        <f t="shared" si="2"/>
        <v>-27.258444444444439</v>
      </c>
      <c r="P12" s="4">
        <f t="shared" si="3"/>
        <v>9.0843688971364109</v>
      </c>
    </row>
    <row r="13" spans="2:16" x14ac:dyDescent="0.3">
      <c r="B13" t="s">
        <v>15</v>
      </c>
      <c r="C13" s="2">
        <v>184.09899999999999</v>
      </c>
      <c r="D13" s="2">
        <v>194.42099999999999</v>
      </c>
      <c r="E13" s="2">
        <v>193.251</v>
      </c>
      <c r="F13" s="2">
        <f t="shared" si="0"/>
        <v>190.59033333333332</v>
      </c>
      <c r="G13" s="2">
        <v>164.80699999999999</v>
      </c>
      <c r="H13" s="4">
        <f t="shared" si="1"/>
        <v>-25.783333333333331</v>
      </c>
      <c r="K13" t="s">
        <v>73</v>
      </c>
      <c r="L13" s="4">
        <v>-23.608000000000004</v>
      </c>
      <c r="M13" s="4">
        <v>-18.351666666666659</v>
      </c>
      <c r="N13" s="4">
        <v>-17.992000000000019</v>
      </c>
      <c r="O13" s="4">
        <f t="shared" si="2"/>
        <v>-19.983888888888895</v>
      </c>
      <c r="P13" s="4">
        <f t="shared" si="3"/>
        <v>3.1437200952115809</v>
      </c>
    </row>
    <row r="14" spans="2:16" x14ac:dyDescent="0.3">
      <c r="B14" t="s">
        <v>16</v>
      </c>
      <c r="C14" s="2">
        <v>189.88900000000001</v>
      </c>
      <c r="D14" s="2">
        <v>192.035</v>
      </c>
      <c r="E14" s="2">
        <v>189.66499999999999</v>
      </c>
      <c r="F14" s="2">
        <f t="shared" si="0"/>
        <v>190.52966666666666</v>
      </c>
      <c r="G14" s="2">
        <v>146.50700000000001</v>
      </c>
      <c r="H14" s="4">
        <f t="shared" si="1"/>
        <v>-44.022666666666652</v>
      </c>
      <c r="K14" t="s">
        <v>74</v>
      </c>
      <c r="L14" s="4">
        <v>-19.215000000000003</v>
      </c>
      <c r="M14" s="4">
        <v>-22.24666666666667</v>
      </c>
      <c r="N14" s="4">
        <v>-36.843999999999994</v>
      </c>
      <c r="O14" s="4">
        <f t="shared" si="2"/>
        <v>-26.10188888888889</v>
      </c>
      <c r="P14" s="4">
        <f t="shared" si="3"/>
        <v>9.4256280447000904</v>
      </c>
    </row>
    <row r="15" spans="2:16" x14ac:dyDescent="0.3">
      <c r="B15" s="1" t="s">
        <v>17</v>
      </c>
      <c r="C15" s="4">
        <v>192.79300000000001</v>
      </c>
      <c r="D15" s="4">
        <v>193.839</v>
      </c>
      <c r="E15" s="4">
        <v>192.99</v>
      </c>
      <c r="F15" s="2">
        <f t="shared" si="0"/>
        <v>193.20733333333337</v>
      </c>
      <c r="G15" s="2">
        <v>181.17400000000001</v>
      </c>
      <c r="H15" s="4">
        <f t="shared" si="1"/>
        <v>-12.03333333333336</v>
      </c>
      <c r="K15" t="s">
        <v>75</v>
      </c>
      <c r="L15" s="4">
        <v>-13.843999999999994</v>
      </c>
      <c r="M15" s="4">
        <v>-12.376666666666665</v>
      </c>
      <c r="N15" s="4">
        <v>-27.346000000000004</v>
      </c>
      <c r="O15" s="4">
        <f t="shared" si="2"/>
        <v>-17.855555555555554</v>
      </c>
      <c r="P15" s="4">
        <f t="shared" si="3"/>
        <v>8.2516464170850607</v>
      </c>
    </row>
    <row r="16" spans="2:16" x14ac:dyDescent="0.3">
      <c r="B16" s="1" t="s">
        <v>18</v>
      </c>
      <c r="C16" s="4">
        <v>188.381</v>
      </c>
      <c r="D16" s="4">
        <v>192.31700000000001</v>
      </c>
      <c r="E16" s="4">
        <v>193.25800000000001</v>
      </c>
      <c r="F16" s="2">
        <f t="shared" si="0"/>
        <v>191.31866666666667</v>
      </c>
      <c r="G16" s="2">
        <v>181.66900000000001</v>
      </c>
      <c r="H16" s="4">
        <f t="shared" si="1"/>
        <v>-9.6496666666666613</v>
      </c>
      <c r="K16" t="s">
        <v>76</v>
      </c>
      <c r="L16" s="4">
        <v>-10.012666666666689</v>
      </c>
      <c r="M16" s="4">
        <v>-13.424333333333351</v>
      </c>
      <c r="N16" s="4">
        <v>-13.255666666666656</v>
      </c>
      <c r="O16" s="4">
        <f t="shared" si="2"/>
        <v>-12.230888888888899</v>
      </c>
      <c r="P16" s="4">
        <f t="shared" si="3"/>
        <v>1.9228870173469481</v>
      </c>
    </row>
    <row r="17" spans="2:16" x14ac:dyDescent="0.3">
      <c r="B17" s="1" t="s">
        <v>19</v>
      </c>
      <c r="C17" s="4">
        <v>189.42099999999999</v>
      </c>
      <c r="D17" s="4">
        <v>192.45699999999999</v>
      </c>
      <c r="E17" s="4">
        <v>193.49</v>
      </c>
      <c r="F17" s="2">
        <f t="shared" si="0"/>
        <v>191.7893333333333</v>
      </c>
      <c r="G17" s="2">
        <v>165.721</v>
      </c>
      <c r="H17" s="4">
        <f t="shared" si="1"/>
        <v>-26.0683333333333</v>
      </c>
      <c r="K17" t="s">
        <v>77</v>
      </c>
      <c r="L17" s="4">
        <v>-9.7463333333333537</v>
      </c>
      <c r="M17" s="4">
        <v>-14.155000000000001</v>
      </c>
      <c r="N17" s="4">
        <v>-11.876666666666637</v>
      </c>
      <c r="O17" s="4">
        <f t="shared" si="2"/>
        <v>-11.925999999999997</v>
      </c>
      <c r="P17" s="4">
        <f t="shared" si="3"/>
        <v>2.2047473274227474</v>
      </c>
    </row>
    <row r="18" spans="2:16" x14ac:dyDescent="0.3">
      <c r="B18" s="1" t="s">
        <v>20</v>
      </c>
      <c r="C18" s="4">
        <v>188.34399999999999</v>
      </c>
      <c r="D18" s="4">
        <v>194.62200000000001</v>
      </c>
      <c r="E18" s="4">
        <v>193.71199999999999</v>
      </c>
      <c r="F18" s="2">
        <f t="shared" si="0"/>
        <v>192.226</v>
      </c>
      <c r="G18" s="2">
        <v>176.81</v>
      </c>
      <c r="H18" s="4">
        <f t="shared" si="1"/>
        <v>-15.415999999999997</v>
      </c>
      <c r="K18" t="s">
        <v>78</v>
      </c>
      <c r="L18" s="4">
        <v>-15.226333333333315</v>
      </c>
      <c r="M18" s="4">
        <v>-9.554000000000002</v>
      </c>
      <c r="N18" s="4">
        <v>-11.586000000000013</v>
      </c>
      <c r="O18" s="4">
        <f t="shared" si="2"/>
        <v>-12.12211111111111</v>
      </c>
      <c r="P18" s="4">
        <f t="shared" si="3"/>
        <v>2.8739176577806842</v>
      </c>
    </row>
    <row r="19" spans="2:16" x14ac:dyDescent="0.3">
      <c r="B19" s="1" t="s">
        <v>21</v>
      </c>
      <c r="C19" s="4">
        <v>183.34100000000001</v>
      </c>
      <c r="D19" s="4">
        <v>193.41900000000001</v>
      </c>
      <c r="E19" s="4">
        <v>190.55600000000001</v>
      </c>
      <c r="F19" s="2">
        <f t="shared" si="0"/>
        <v>189.10533333333333</v>
      </c>
      <c r="G19" s="2">
        <v>177.04300000000001</v>
      </c>
      <c r="H19" s="4">
        <f t="shared" si="1"/>
        <v>-12.062333333333328</v>
      </c>
    </row>
    <row r="20" spans="2:16" x14ac:dyDescent="0.3">
      <c r="B20" s="1" t="s">
        <v>22</v>
      </c>
      <c r="C20" s="4">
        <v>186.92699999999999</v>
      </c>
      <c r="D20" s="4">
        <v>191.202</v>
      </c>
      <c r="E20" s="4">
        <v>191.66800000000001</v>
      </c>
      <c r="F20" s="2">
        <f t="shared" si="0"/>
        <v>189.93233333333333</v>
      </c>
      <c r="G20" s="2">
        <v>168.43700000000001</v>
      </c>
      <c r="H20" s="4">
        <f t="shared" si="1"/>
        <v>-21.495333333333321</v>
      </c>
    </row>
    <row r="21" spans="2:16" x14ac:dyDescent="0.3">
      <c r="B21" s="1" t="s">
        <v>23</v>
      </c>
      <c r="C21" s="4">
        <v>192.52</v>
      </c>
      <c r="D21" s="4">
        <v>196.458</v>
      </c>
      <c r="E21" s="4">
        <v>193.82900000000001</v>
      </c>
      <c r="F21" s="2">
        <f t="shared" si="0"/>
        <v>194.26900000000001</v>
      </c>
      <c r="G21" s="2">
        <v>183.27500000000001</v>
      </c>
      <c r="H21" s="4">
        <f t="shared" si="1"/>
        <v>-10.994</v>
      </c>
    </row>
    <row r="22" spans="2:16" x14ac:dyDescent="0.3">
      <c r="B22" s="1" t="s">
        <v>24</v>
      </c>
      <c r="C22" s="4">
        <v>191.91499999999999</v>
      </c>
      <c r="D22" s="4">
        <v>195.60900000000001</v>
      </c>
      <c r="E22" s="4">
        <v>188.56</v>
      </c>
      <c r="F22" s="2">
        <f t="shared" si="0"/>
        <v>192.02800000000002</v>
      </c>
      <c r="G22" s="2">
        <v>183.64099999999999</v>
      </c>
      <c r="H22" s="4">
        <f t="shared" si="1"/>
        <v>-8.3870000000000289</v>
      </c>
    </row>
    <row r="23" spans="2:16" x14ac:dyDescent="0.3">
      <c r="B23" s="1" t="s">
        <v>25</v>
      </c>
      <c r="C23" s="4">
        <v>190.53</v>
      </c>
      <c r="D23" s="4">
        <v>195.18600000000001</v>
      </c>
      <c r="E23" s="4">
        <v>193.10300000000001</v>
      </c>
      <c r="F23" s="2">
        <f t="shared" si="0"/>
        <v>192.93966666666665</v>
      </c>
      <c r="G23" s="2">
        <v>171.68100000000001</v>
      </c>
      <c r="H23" s="4">
        <f t="shared" si="1"/>
        <v>-21.258666666666642</v>
      </c>
    </row>
    <row r="24" spans="2:16" x14ac:dyDescent="0.3">
      <c r="B24" s="1" t="s">
        <v>26</v>
      </c>
      <c r="C24" s="4">
        <v>189.76499999999999</v>
      </c>
      <c r="D24" s="4">
        <v>194.03</v>
      </c>
      <c r="E24" s="4">
        <v>193.91200000000001</v>
      </c>
      <c r="F24" s="2">
        <f t="shared" si="0"/>
        <v>192.56899999999999</v>
      </c>
      <c r="G24" s="2">
        <v>185.36</v>
      </c>
      <c r="H24" s="4">
        <f t="shared" si="1"/>
        <v>-7.2089999999999748</v>
      </c>
    </row>
    <row r="25" spans="2:16" x14ac:dyDescent="0.3">
      <c r="B25" s="1" t="s">
        <v>27</v>
      </c>
      <c r="C25" s="4">
        <v>186.381</v>
      </c>
      <c r="D25" s="4">
        <v>195.553</v>
      </c>
      <c r="E25" s="4">
        <v>195.26599999999999</v>
      </c>
      <c r="F25" s="2">
        <f t="shared" si="0"/>
        <v>192.39999999999998</v>
      </c>
      <c r="G25" s="2">
        <v>177.745</v>
      </c>
      <c r="H25" s="4">
        <f t="shared" si="1"/>
        <v>-14.654999999999973</v>
      </c>
    </row>
    <row r="26" spans="2:16" x14ac:dyDescent="0.3">
      <c r="B26" s="1" t="s">
        <v>28</v>
      </c>
      <c r="C26" s="4">
        <v>187.22</v>
      </c>
      <c r="D26" s="4">
        <v>196.82</v>
      </c>
      <c r="E26" s="4">
        <v>195.65</v>
      </c>
      <c r="F26" s="2">
        <f t="shared" si="0"/>
        <v>193.23</v>
      </c>
      <c r="G26" s="2">
        <v>178.16399999999999</v>
      </c>
      <c r="H26" s="4">
        <f t="shared" si="1"/>
        <v>-15.066000000000003</v>
      </c>
    </row>
    <row r="27" spans="2:16" x14ac:dyDescent="0.3">
      <c r="B27" t="s">
        <v>29</v>
      </c>
      <c r="C27" s="2">
        <v>193.15299999999999</v>
      </c>
      <c r="D27" s="2">
        <v>184.34800000000001</v>
      </c>
      <c r="E27" s="2">
        <v>190.23699999999999</v>
      </c>
      <c r="F27" s="2">
        <f t="shared" si="0"/>
        <v>189.24599999999998</v>
      </c>
      <c r="G27" s="2">
        <v>167.81299999999999</v>
      </c>
      <c r="H27" s="4">
        <f t="shared" si="1"/>
        <v>-21.432999999999993</v>
      </c>
    </row>
    <row r="28" spans="2:16" x14ac:dyDescent="0.3">
      <c r="B28" t="s">
        <v>30</v>
      </c>
      <c r="C28" s="2">
        <v>194.73</v>
      </c>
      <c r="D28" s="2">
        <v>193.523</v>
      </c>
      <c r="E28" s="2">
        <v>194.03100000000001</v>
      </c>
      <c r="F28" s="2">
        <f t="shared" si="0"/>
        <v>194.09466666666665</v>
      </c>
      <c r="G28" s="2">
        <v>173.73099999999999</v>
      </c>
      <c r="H28" s="4">
        <f t="shared" si="1"/>
        <v>-20.36366666666666</v>
      </c>
    </row>
    <row r="29" spans="2:16" x14ac:dyDescent="0.3">
      <c r="B29" t="s">
        <v>31</v>
      </c>
      <c r="C29" s="2">
        <v>188.55600000000001</v>
      </c>
      <c r="D29" s="2">
        <v>185.184</v>
      </c>
      <c r="E29" s="2">
        <v>190.726</v>
      </c>
      <c r="F29" s="2">
        <f t="shared" si="0"/>
        <v>188.15533333333335</v>
      </c>
      <c r="G29" s="2">
        <v>172.315</v>
      </c>
      <c r="H29" s="4">
        <f t="shared" si="1"/>
        <v>-15.840333333333348</v>
      </c>
    </row>
    <row r="30" spans="2:16" x14ac:dyDescent="0.3">
      <c r="B30" t="s">
        <v>32</v>
      </c>
      <c r="C30" s="2">
        <v>180.226</v>
      </c>
      <c r="D30" s="2">
        <v>191.77799999999999</v>
      </c>
      <c r="E30" s="2">
        <v>190.33199999999999</v>
      </c>
      <c r="F30" s="2">
        <f t="shared" si="0"/>
        <v>187.44533333333334</v>
      </c>
      <c r="G30" s="2">
        <v>160.49299999999999</v>
      </c>
      <c r="H30" s="4">
        <f t="shared" si="1"/>
        <v>-26.952333333333343</v>
      </c>
    </row>
    <row r="31" spans="2:16" x14ac:dyDescent="0.3">
      <c r="B31" t="s">
        <v>33</v>
      </c>
      <c r="C31" s="2">
        <v>176.892</v>
      </c>
      <c r="D31" s="2">
        <v>191.22800000000001</v>
      </c>
      <c r="E31" s="2">
        <v>187.55500000000001</v>
      </c>
      <c r="F31" s="2">
        <f t="shared" si="0"/>
        <v>185.22499999999999</v>
      </c>
      <c r="G31" s="2">
        <v>166.89400000000001</v>
      </c>
      <c r="H31" s="4">
        <f t="shared" si="1"/>
        <v>-18.330999999999989</v>
      </c>
    </row>
    <row r="32" spans="2:16" x14ac:dyDescent="0.3">
      <c r="B32" t="s">
        <v>34</v>
      </c>
      <c r="C32" s="2">
        <v>182.98400000000001</v>
      </c>
      <c r="D32" s="2">
        <v>193.846</v>
      </c>
      <c r="E32" s="2">
        <v>190.52099999999999</v>
      </c>
      <c r="F32" s="2">
        <f t="shared" si="0"/>
        <v>189.11699999999999</v>
      </c>
      <c r="G32" s="2">
        <v>152.625</v>
      </c>
      <c r="H32" s="4">
        <f t="shared" si="1"/>
        <v>-36.49199999999999</v>
      </c>
    </row>
    <row r="33" spans="2:8" x14ac:dyDescent="0.3">
      <c r="B33" t="s">
        <v>35</v>
      </c>
      <c r="C33" s="2">
        <v>190.05600000000001</v>
      </c>
      <c r="D33" s="2">
        <v>192.387</v>
      </c>
      <c r="E33" s="2">
        <v>187.25700000000001</v>
      </c>
      <c r="F33" s="2">
        <f t="shared" si="0"/>
        <v>189.9</v>
      </c>
      <c r="G33" s="2">
        <v>166.292</v>
      </c>
      <c r="H33" s="4">
        <f t="shared" si="1"/>
        <v>-23.608000000000004</v>
      </c>
    </row>
    <row r="34" spans="2:8" x14ac:dyDescent="0.3">
      <c r="B34" t="s">
        <v>36</v>
      </c>
      <c r="C34" s="2">
        <v>192.316</v>
      </c>
      <c r="D34" s="2">
        <v>191.697</v>
      </c>
      <c r="E34" s="2">
        <v>189.511</v>
      </c>
      <c r="F34" s="2">
        <f t="shared" si="0"/>
        <v>191.17466666666667</v>
      </c>
      <c r="G34" s="2">
        <v>172.82300000000001</v>
      </c>
      <c r="H34" s="4">
        <f t="shared" si="1"/>
        <v>-18.351666666666659</v>
      </c>
    </row>
    <row r="35" spans="2:8" x14ac:dyDescent="0.3">
      <c r="B35" t="s">
        <v>37</v>
      </c>
      <c r="C35" s="2">
        <v>190.04400000000001</v>
      </c>
      <c r="D35" s="2">
        <v>192.63200000000001</v>
      </c>
      <c r="E35" s="2">
        <v>193.54900000000001</v>
      </c>
      <c r="F35" s="2">
        <f t="shared" si="0"/>
        <v>192.07500000000002</v>
      </c>
      <c r="G35" s="2">
        <v>174.083</v>
      </c>
      <c r="H35" s="4">
        <f t="shared" si="1"/>
        <v>-17.992000000000019</v>
      </c>
    </row>
    <row r="36" spans="2:8" x14ac:dyDescent="0.3">
      <c r="B36" t="s">
        <v>38</v>
      </c>
      <c r="C36" s="2">
        <v>185.52600000000001</v>
      </c>
      <c r="D36" s="2">
        <v>190.42400000000001</v>
      </c>
      <c r="E36" s="2">
        <v>194.26599999999999</v>
      </c>
      <c r="F36" s="2">
        <f t="shared" si="0"/>
        <v>190.072</v>
      </c>
      <c r="G36" s="2">
        <v>170.857</v>
      </c>
      <c r="H36" s="4">
        <f t="shared" si="1"/>
        <v>-19.215000000000003</v>
      </c>
    </row>
    <row r="37" spans="2:8" x14ac:dyDescent="0.3">
      <c r="B37" t="s">
        <v>39</v>
      </c>
      <c r="C37" s="2">
        <v>183.721</v>
      </c>
      <c r="D37" s="2">
        <v>186.93799999999999</v>
      </c>
      <c r="E37" s="2">
        <v>185.68700000000001</v>
      </c>
      <c r="F37" s="2">
        <f t="shared" si="0"/>
        <v>185.44866666666667</v>
      </c>
      <c r="G37" s="2">
        <v>163.202</v>
      </c>
      <c r="H37" s="4">
        <f t="shared" si="1"/>
        <v>-22.24666666666667</v>
      </c>
    </row>
    <row r="38" spans="2:8" x14ac:dyDescent="0.3">
      <c r="B38" t="s">
        <v>40</v>
      </c>
      <c r="C38" s="2">
        <v>190.749</v>
      </c>
      <c r="D38" s="2">
        <v>195.15799999999999</v>
      </c>
      <c r="E38" s="2">
        <v>197.923</v>
      </c>
      <c r="F38" s="2">
        <f t="shared" si="0"/>
        <v>194.60999999999999</v>
      </c>
      <c r="G38" s="2">
        <v>157.76599999999999</v>
      </c>
      <c r="H38" s="4">
        <f t="shared" si="1"/>
        <v>-36.843999999999994</v>
      </c>
    </row>
    <row r="39" spans="2:8" x14ac:dyDescent="0.3">
      <c r="B39" t="s">
        <v>41</v>
      </c>
      <c r="C39" s="2">
        <v>192.60499999999999</v>
      </c>
      <c r="D39" s="2">
        <v>195.72499999999999</v>
      </c>
      <c r="E39" s="2">
        <v>193.75399999999999</v>
      </c>
      <c r="F39" s="2">
        <f t="shared" si="0"/>
        <v>194.02799999999999</v>
      </c>
      <c r="G39" s="2">
        <v>180.184</v>
      </c>
      <c r="H39" s="4">
        <f t="shared" si="1"/>
        <v>-13.843999999999994</v>
      </c>
    </row>
    <row r="40" spans="2:8" x14ac:dyDescent="0.3">
      <c r="B40" t="s">
        <v>42</v>
      </c>
      <c r="C40" s="2">
        <v>190.46299999999999</v>
      </c>
      <c r="D40" s="2">
        <v>193.81800000000001</v>
      </c>
      <c r="E40" s="2">
        <v>197.78399999999999</v>
      </c>
      <c r="F40" s="2">
        <f t="shared" si="0"/>
        <v>194.02166666666668</v>
      </c>
      <c r="G40" s="2">
        <v>181.64500000000001</v>
      </c>
      <c r="H40" s="4">
        <f t="shared" si="1"/>
        <v>-12.376666666666665</v>
      </c>
    </row>
    <row r="41" spans="2:8" x14ac:dyDescent="0.3">
      <c r="B41" t="s">
        <v>43</v>
      </c>
      <c r="C41" s="2">
        <v>189.55099999999999</v>
      </c>
      <c r="D41" s="2">
        <v>189.81200000000001</v>
      </c>
      <c r="E41" s="2">
        <v>190.214</v>
      </c>
      <c r="F41" s="2">
        <f t="shared" si="0"/>
        <v>189.85900000000001</v>
      </c>
      <c r="G41" s="2">
        <v>162.51300000000001</v>
      </c>
      <c r="H41" s="4">
        <f t="shared" si="1"/>
        <v>-27.346000000000004</v>
      </c>
    </row>
    <row r="42" spans="2:8" x14ac:dyDescent="0.3">
      <c r="B42" t="s">
        <v>44</v>
      </c>
      <c r="C42" s="2">
        <v>192.48099999999999</v>
      </c>
      <c r="D42" s="2">
        <v>196.10400000000001</v>
      </c>
      <c r="E42" s="2">
        <v>195.83799999999999</v>
      </c>
      <c r="F42" s="2">
        <f t="shared" si="0"/>
        <v>194.80766666666668</v>
      </c>
      <c r="G42" s="2">
        <v>184.79499999999999</v>
      </c>
      <c r="H42" s="4">
        <f t="shared" si="1"/>
        <v>-10.012666666666689</v>
      </c>
    </row>
    <row r="43" spans="2:8" x14ac:dyDescent="0.3">
      <c r="B43" t="s">
        <v>45</v>
      </c>
      <c r="C43" s="2">
        <v>192.26</v>
      </c>
      <c r="D43" s="2">
        <v>188.196</v>
      </c>
      <c r="E43" s="2">
        <v>194.23699999999999</v>
      </c>
      <c r="F43" s="2">
        <f t="shared" si="0"/>
        <v>191.56433333333334</v>
      </c>
      <c r="G43" s="2">
        <v>178.14</v>
      </c>
      <c r="H43" s="4">
        <f t="shared" si="1"/>
        <v>-13.424333333333351</v>
      </c>
    </row>
    <row r="44" spans="2:8" x14ac:dyDescent="0.3">
      <c r="B44" t="s">
        <v>46</v>
      </c>
      <c r="C44" s="2">
        <v>192.83099999999999</v>
      </c>
      <c r="D44" s="2">
        <v>193.00200000000001</v>
      </c>
      <c r="E44" s="2">
        <v>196.559</v>
      </c>
      <c r="F44" s="2">
        <f t="shared" si="0"/>
        <v>194.13066666666666</v>
      </c>
      <c r="G44" s="2">
        <v>180.875</v>
      </c>
      <c r="H44" s="4">
        <f t="shared" si="1"/>
        <v>-13.255666666666656</v>
      </c>
    </row>
    <row r="45" spans="2:8" x14ac:dyDescent="0.3">
      <c r="B45" t="s">
        <v>47</v>
      </c>
      <c r="C45" s="2">
        <v>193.505</v>
      </c>
      <c r="D45" s="2">
        <v>189.68299999999999</v>
      </c>
      <c r="E45" s="2">
        <v>187.05</v>
      </c>
      <c r="F45" s="2">
        <f t="shared" si="0"/>
        <v>190.07933333333335</v>
      </c>
      <c r="G45" s="2">
        <v>180.333</v>
      </c>
      <c r="H45" s="4">
        <f t="shared" si="1"/>
        <v>-9.7463333333333537</v>
      </c>
    </row>
    <row r="46" spans="2:8" x14ac:dyDescent="0.3">
      <c r="B46" t="s">
        <v>48</v>
      </c>
      <c r="C46" s="2">
        <v>193.81399999999999</v>
      </c>
      <c r="D46" s="2">
        <v>190.054</v>
      </c>
      <c r="E46" s="2">
        <v>189.87899999999999</v>
      </c>
      <c r="F46" s="2">
        <f t="shared" si="0"/>
        <v>191.249</v>
      </c>
      <c r="G46" s="2">
        <v>177.09399999999999</v>
      </c>
      <c r="H46" s="4">
        <f t="shared" si="1"/>
        <v>-14.155000000000001</v>
      </c>
    </row>
    <row r="47" spans="2:8" x14ac:dyDescent="0.3">
      <c r="B47" t="s">
        <v>49</v>
      </c>
      <c r="C47" s="2">
        <v>193.67599999999999</v>
      </c>
      <c r="D47" s="2">
        <v>189.262</v>
      </c>
      <c r="E47" s="2">
        <v>188.41399999999999</v>
      </c>
      <c r="F47" s="2">
        <f t="shared" si="0"/>
        <v>190.45066666666665</v>
      </c>
      <c r="G47" s="2">
        <v>178.57400000000001</v>
      </c>
      <c r="H47" s="4">
        <f t="shared" si="1"/>
        <v>-11.876666666666637</v>
      </c>
    </row>
    <row r="48" spans="2:8" x14ac:dyDescent="0.3">
      <c r="B48" t="s">
        <v>50</v>
      </c>
      <c r="C48" s="2">
        <v>191.999</v>
      </c>
      <c r="D48" s="2">
        <v>195.851</v>
      </c>
      <c r="E48" s="2">
        <v>196.62299999999999</v>
      </c>
      <c r="F48" s="2">
        <f t="shared" si="0"/>
        <v>194.82433333333333</v>
      </c>
      <c r="G48" s="2">
        <v>179.59800000000001</v>
      </c>
      <c r="H48" s="4">
        <f t="shared" si="1"/>
        <v>-15.226333333333315</v>
      </c>
    </row>
    <row r="49" spans="2:8" x14ac:dyDescent="0.3">
      <c r="B49" t="s">
        <v>51</v>
      </c>
      <c r="C49" s="2">
        <v>192.744</v>
      </c>
      <c r="D49" s="2">
        <v>192.43100000000001</v>
      </c>
      <c r="E49" s="2">
        <v>191.398</v>
      </c>
      <c r="F49" s="2">
        <f t="shared" si="0"/>
        <v>192.191</v>
      </c>
      <c r="G49" s="2">
        <v>182.637</v>
      </c>
      <c r="H49" s="4">
        <f t="shared" si="1"/>
        <v>-9.554000000000002</v>
      </c>
    </row>
    <row r="50" spans="2:8" x14ac:dyDescent="0.3">
      <c r="B50" t="s">
        <v>52</v>
      </c>
      <c r="C50" s="2">
        <v>192.77799999999999</v>
      </c>
      <c r="D50" s="2">
        <v>195.399</v>
      </c>
      <c r="E50" s="2">
        <v>195.518</v>
      </c>
      <c r="F50" s="2">
        <f t="shared" si="0"/>
        <v>194.56500000000003</v>
      </c>
      <c r="G50" s="2">
        <v>182.97900000000001</v>
      </c>
      <c r="H50" s="4">
        <f t="shared" si="1"/>
        <v>-11.586000000000013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75137-C3E2-48B5-9906-013C1D060265}">
  <dimension ref="B3:Y19"/>
  <sheetViews>
    <sheetView topLeftCell="J1" workbookViewId="0">
      <selection activeCell="S3" sqref="S3:T19"/>
    </sheetView>
  </sheetViews>
  <sheetFormatPr defaultRowHeight="14.4" x14ac:dyDescent="0.3"/>
  <cols>
    <col min="2" max="2" width="16.44140625" customWidth="1"/>
    <col min="6" max="6" width="14.33203125" customWidth="1"/>
    <col min="10" max="10" width="12.21875" customWidth="1"/>
    <col min="19" max="19" width="16.44140625" customWidth="1"/>
    <col min="20" max="20" width="11.33203125" customWidth="1"/>
    <col min="23" max="23" width="10.5546875" bestFit="1" customWidth="1"/>
    <col min="24" max="24" width="10.77734375" customWidth="1"/>
  </cols>
  <sheetData>
    <row r="3" spans="2:25" ht="37.799999999999997" customHeight="1" x14ac:dyDescent="0.3">
      <c r="B3" s="3" t="s">
        <v>60</v>
      </c>
      <c r="C3" s="3">
        <v>1</v>
      </c>
      <c r="D3" s="3">
        <v>2</v>
      </c>
      <c r="E3" s="3">
        <v>3</v>
      </c>
      <c r="F3" s="5" t="s">
        <v>61</v>
      </c>
      <c r="G3" s="3" t="s">
        <v>62</v>
      </c>
      <c r="J3" s="3" t="s">
        <v>79</v>
      </c>
      <c r="K3" s="3">
        <v>1</v>
      </c>
      <c r="L3" s="3">
        <v>2</v>
      </c>
      <c r="M3" s="3">
        <v>3</v>
      </c>
      <c r="N3" s="3">
        <v>4</v>
      </c>
      <c r="O3" s="3" t="s">
        <v>2</v>
      </c>
      <c r="P3" s="3" t="s">
        <v>62</v>
      </c>
      <c r="S3" s="5" t="s">
        <v>60</v>
      </c>
      <c r="T3" s="5" t="s">
        <v>84</v>
      </c>
      <c r="W3" s="5" t="s">
        <v>79</v>
      </c>
      <c r="X3" s="5" t="s">
        <v>85</v>
      </c>
      <c r="Y3" s="3" t="s">
        <v>62</v>
      </c>
    </row>
    <row r="4" spans="2:25" x14ac:dyDescent="0.3">
      <c r="B4" t="s">
        <v>63</v>
      </c>
      <c r="C4" s="4">
        <v>-24.774666666666661</v>
      </c>
      <c r="D4" s="4">
        <v>-21.068333333333328</v>
      </c>
      <c r="E4" s="4">
        <v>-41.834333333333376</v>
      </c>
      <c r="F4" s="4">
        <v>-29.22577777777779</v>
      </c>
      <c r="G4" s="4">
        <v>11.07546755638756</v>
      </c>
      <c r="J4" t="s">
        <v>80</v>
      </c>
      <c r="K4" s="4">
        <v>-29.22577777777779</v>
      </c>
      <c r="L4" s="4">
        <v>-34.51044444444446</v>
      </c>
      <c r="M4" s="4">
        <v>-36.960333333333352</v>
      </c>
      <c r="N4" s="4">
        <v>-33.418444444444425</v>
      </c>
      <c r="O4" s="7">
        <f>AVERAGE(K4:N4)</f>
        <v>-33.528750000000009</v>
      </c>
      <c r="P4" s="4">
        <f>STDEV(K4:N4)</f>
        <v>3.2283755159866767</v>
      </c>
      <c r="S4" s="8" t="s">
        <v>63</v>
      </c>
      <c r="T4" s="9">
        <f>F4/O4</f>
        <v>0.87166320777773643</v>
      </c>
      <c r="W4" t="s">
        <v>80</v>
      </c>
      <c r="X4" s="4">
        <f>AVERAGE(T4:T7)</f>
        <v>1</v>
      </c>
      <c r="Y4" s="4">
        <f>_xlfn.STDEV.P(T4:T7)</f>
        <v>8.338680117213311E-2</v>
      </c>
    </row>
    <row r="5" spans="2:25" x14ac:dyDescent="0.3">
      <c r="B5" t="s">
        <v>64</v>
      </c>
      <c r="C5" s="4">
        <v>-29.632333333333349</v>
      </c>
      <c r="D5" s="4">
        <v>-28.739000000000004</v>
      </c>
      <c r="E5" s="4">
        <v>-45.160000000000025</v>
      </c>
      <c r="F5" s="4">
        <v>-34.51044444444446</v>
      </c>
      <c r="G5" s="4">
        <v>9.2335955217487946</v>
      </c>
      <c r="J5" s="1" t="s">
        <v>81</v>
      </c>
      <c r="K5" s="4">
        <v>-15.917111111111106</v>
      </c>
      <c r="L5" s="4">
        <v>-16.324555555555548</v>
      </c>
      <c r="M5" s="4">
        <v>-13.546555555555557</v>
      </c>
      <c r="N5" s="4">
        <v>-12.309999999999983</v>
      </c>
      <c r="O5" s="4">
        <f t="shared" ref="O5:O7" si="0">AVERAGE(K5:N5)</f>
        <v>-14.524555555555548</v>
      </c>
      <c r="P5" s="4">
        <f t="shared" ref="P5:P7" si="1">STDEV(K5:N5)</f>
        <v>1.9183283768210639</v>
      </c>
      <c r="S5" s="8" t="s">
        <v>64</v>
      </c>
      <c r="T5" s="9">
        <f>F5/O4</f>
        <v>1.0292791841164508</v>
      </c>
      <c r="W5" s="1" t="s">
        <v>81</v>
      </c>
      <c r="X5" s="4">
        <f>AVERAGE(T8:T11)</f>
        <v>0.43319704896709671</v>
      </c>
      <c r="Y5" s="4">
        <f>_xlfn.STDEV.P(T8:T11)</f>
        <v>4.9549151314248252E-2</v>
      </c>
    </row>
    <row r="6" spans="2:25" x14ac:dyDescent="0.3">
      <c r="B6" t="s">
        <v>65</v>
      </c>
      <c r="C6" s="4">
        <v>-28.098666666666674</v>
      </c>
      <c r="D6" s="4">
        <v>-34.034666666666709</v>
      </c>
      <c r="E6" s="4">
        <v>-48.747666666666674</v>
      </c>
      <c r="F6" s="4">
        <v>-36.960333333333352</v>
      </c>
      <c r="G6" s="4">
        <v>10.63084871180723</v>
      </c>
      <c r="J6" s="1" t="s">
        <v>82</v>
      </c>
      <c r="K6" s="4">
        <v>-19.212333333333333</v>
      </c>
      <c r="L6" s="4">
        <v>-27.258444444444439</v>
      </c>
      <c r="M6" s="4">
        <v>-19.983888888888895</v>
      </c>
      <c r="N6" s="4">
        <v>-26.10188888888889</v>
      </c>
      <c r="O6" s="4">
        <f t="shared" si="0"/>
        <v>-23.13913888888889</v>
      </c>
      <c r="P6" s="4">
        <f t="shared" si="1"/>
        <v>4.1280330366964728</v>
      </c>
      <c r="S6" s="8" t="s">
        <v>65</v>
      </c>
      <c r="T6" s="9">
        <f>F6/O4</f>
        <v>1.1023474878524653</v>
      </c>
      <c r="W6" s="1" t="s">
        <v>82</v>
      </c>
      <c r="X6" s="4">
        <f>AVERAGE(T12:T15)</f>
        <v>0.74149879663804263</v>
      </c>
      <c r="Y6" s="4">
        <f>_xlfn.STDEV.P(T12:T15)</f>
        <v>8.5163158291262267E-2</v>
      </c>
    </row>
    <row r="7" spans="2:25" x14ac:dyDescent="0.3">
      <c r="B7" t="s">
        <v>66</v>
      </c>
      <c r="C7" s="4">
        <v>-30.4493333333333</v>
      </c>
      <c r="D7" s="4">
        <v>-25.783333333333331</v>
      </c>
      <c r="E7" s="4">
        <v>-44.022666666666652</v>
      </c>
      <c r="F7" s="4">
        <v>-33.418444444444425</v>
      </c>
      <c r="G7" s="4">
        <v>9.4752327519541062</v>
      </c>
      <c r="J7" s="1" t="s">
        <v>83</v>
      </c>
      <c r="K7" s="4">
        <v>-17.855555555555554</v>
      </c>
      <c r="L7" s="4">
        <v>-12.230888888888899</v>
      </c>
      <c r="M7" s="4">
        <v>-11.925999999999997</v>
      </c>
      <c r="N7" s="4">
        <v>-12.12211111111111</v>
      </c>
      <c r="O7" s="4">
        <f t="shared" si="0"/>
        <v>-13.533638888888889</v>
      </c>
      <c r="P7" s="4">
        <f t="shared" si="1"/>
        <v>2.8840385284422156</v>
      </c>
      <c r="S7" s="8" t="s">
        <v>66</v>
      </c>
      <c r="T7" s="9">
        <f>F7/O4</f>
        <v>0.99671012025334726</v>
      </c>
      <c r="W7" s="1" t="s">
        <v>83</v>
      </c>
      <c r="X7" s="4">
        <f>AVERAGE(T16:T19)</f>
        <v>0.40364281068900232</v>
      </c>
      <c r="Y7" s="4">
        <f>_xlfn.STDEV.P(T16:T19)</f>
        <v>7.4492804865198783E-2</v>
      </c>
    </row>
    <row r="8" spans="2:25" x14ac:dyDescent="0.3">
      <c r="B8" t="s">
        <v>67</v>
      </c>
      <c r="C8" s="4">
        <v>-12.03333333333336</v>
      </c>
      <c r="D8" s="4">
        <v>-9.6496666666666613</v>
      </c>
      <c r="E8" s="4">
        <v>-26.0683333333333</v>
      </c>
      <c r="F8" s="4">
        <v>-15.917111111111106</v>
      </c>
      <c r="G8" s="4">
        <v>8.8716374558560354</v>
      </c>
      <c r="S8" s="10" t="s">
        <v>67</v>
      </c>
      <c r="T8" s="11">
        <f>F8/O4</f>
        <v>0.47473022737534509</v>
      </c>
    </row>
    <row r="9" spans="2:25" x14ac:dyDescent="0.3">
      <c r="B9" t="s">
        <v>68</v>
      </c>
      <c r="C9" s="4">
        <v>-15.415999999999997</v>
      </c>
      <c r="D9" s="4">
        <v>-12.062333333333328</v>
      </c>
      <c r="E9" s="4">
        <v>-21.495333333333321</v>
      </c>
      <c r="F9" s="4">
        <v>-16.324555555555548</v>
      </c>
      <c r="G9" s="4">
        <v>4.7816814143299142</v>
      </c>
      <c r="S9" s="10" t="s">
        <v>68</v>
      </c>
      <c r="T9" s="11">
        <f>F9/O4</f>
        <v>0.4868823190711119</v>
      </c>
    </row>
    <row r="10" spans="2:25" x14ac:dyDescent="0.3">
      <c r="B10" t="s">
        <v>69</v>
      </c>
      <c r="C10" s="4">
        <v>-10.994</v>
      </c>
      <c r="D10" s="4">
        <v>-8.3870000000000289</v>
      </c>
      <c r="E10" s="4">
        <v>-21.258666666666642</v>
      </c>
      <c r="F10" s="4">
        <v>-13.546555555555557</v>
      </c>
      <c r="G10" s="4">
        <v>6.8048957076940049</v>
      </c>
      <c r="S10" s="10" t="s">
        <v>69</v>
      </c>
      <c r="T10" s="11">
        <f>F10/O4</f>
        <v>0.40402805221058208</v>
      </c>
    </row>
    <row r="11" spans="2:25" x14ac:dyDescent="0.3">
      <c r="B11" t="s">
        <v>70</v>
      </c>
      <c r="C11" s="4">
        <v>-7.2089999999999748</v>
      </c>
      <c r="D11" s="4">
        <v>-14.654999999999973</v>
      </c>
      <c r="E11" s="4">
        <v>-15.066000000000003</v>
      </c>
      <c r="F11" s="4">
        <v>-12.309999999999983</v>
      </c>
      <c r="G11" s="4">
        <v>4.4223727794024867</v>
      </c>
      <c r="S11" s="10" t="s">
        <v>70</v>
      </c>
      <c r="T11" s="11">
        <f>F11/O4</f>
        <v>0.36714759721134788</v>
      </c>
    </row>
    <row r="12" spans="2:25" x14ac:dyDescent="0.3">
      <c r="B12" t="s">
        <v>71</v>
      </c>
      <c r="C12" s="4">
        <v>-21.432999999999993</v>
      </c>
      <c r="D12" s="4">
        <v>-20.36366666666666</v>
      </c>
      <c r="E12" s="4">
        <v>-15.840333333333348</v>
      </c>
      <c r="F12" s="4">
        <v>-19.212333333333333</v>
      </c>
      <c r="G12" s="4">
        <v>2.9687802957518246</v>
      </c>
      <c r="S12" s="12" t="s">
        <v>71</v>
      </c>
      <c r="T12" s="13">
        <f>F13/O4</f>
        <v>0.81298719589738455</v>
      </c>
    </row>
    <row r="13" spans="2:25" x14ac:dyDescent="0.3">
      <c r="B13" t="s">
        <v>72</v>
      </c>
      <c r="C13" s="4">
        <v>-26.952333333333343</v>
      </c>
      <c r="D13" s="4">
        <v>-18.330999999999989</v>
      </c>
      <c r="E13" s="4">
        <v>-36.49199999999999</v>
      </c>
      <c r="F13" s="4">
        <v>-27.258444444444439</v>
      </c>
      <c r="G13" s="4">
        <v>9.0843688971364109</v>
      </c>
      <c r="S13" s="12" t="s">
        <v>72</v>
      </c>
      <c r="T13" s="13">
        <f>F14/O4</f>
        <v>0.59602248484923803</v>
      </c>
    </row>
    <row r="14" spans="2:25" x14ac:dyDescent="0.3">
      <c r="B14" t="s">
        <v>73</v>
      </c>
      <c r="C14" s="4">
        <v>-23.608000000000004</v>
      </c>
      <c r="D14" s="4">
        <v>-18.351666666666659</v>
      </c>
      <c r="E14" s="4">
        <v>-17.992000000000019</v>
      </c>
      <c r="F14" s="4">
        <v>-19.983888888888895</v>
      </c>
      <c r="G14" s="4">
        <v>3.1437200952115809</v>
      </c>
      <c r="S14" s="12" t="s">
        <v>73</v>
      </c>
      <c r="T14" s="13">
        <f>F15/O4</f>
        <v>0.77849275290277398</v>
      </c>
    </row>
    <row r="15" spans="2:25" x14ac:dyDescent="0.3">
      <c r="B15" t="s">
        <v>74</v>
      </c>
      <c r="C15" s="4">
        <v>-19.215000000000003</v>
      </c>
      <c r="D15" s="4">
        <v>-22.24666666666667</v>
      </c>
      <c r="E15" s="4">
        <v>-36.843999999999994</v>
      </c>
      <c r="F15" s="4">
        <v>-26.10188888888889</v>
      </c>
      <c r="G15" s="4">
        <v>9.4256280447000904</v>
      </c>
      <c r="S15" s="12" t="s">
        <v>74</v>
      </c>
      <c r="T15" s="13">
        <f>F15/O4</f>
        <v>0.77849275290277398</v>
      </c>
    </row>
    <row r="16" spans="2:25" x14ac:dyDescent="0.3">
      <c r="B16" t="s">
        <v>75</v>
      </c>
      <c r="C16" s="4">
        <v>-13.843999999999994</v>
      </c>
      <c r="D16" s="4">
        <v>-12.376666666666665</v>
      </c>
      <c r="E16" s="4">
        <v>-27.346000000000004</v>
      </c>
      <c r="F16" s="4">
        <v>-17.855555555555554</v>
      </c>
      <c r="G16" s="4">
        <v>8.2516464170850607</v>
      </c>
      <c r="S16" s="14" t="s">
        <v>75</v>
      </c>
      <c r="T16" s="15">
        <f>F16/O4</f>
        <v>0.53254462380958278</v>
      </c>
    </row>
    <row r="17" spans="2:20" x14ac:dyDescent="0.3">
      <c r="B17" t="s">
        <v>76</v>
      </c>
      <c r="C17" s="4">
        <v>-10.012666666666689</v>
      </c>
      <c r="D17" s="4">
        <v>-13.424333333333351</v>
      </c>
      <c r="E17" s="4">
        <v>-13.255666666666656</v>
      </c>
      <c r="F17" s="4">
        <v>-12.230888888888899</v>
      </c>
      <c r="G17" s="4">
        <v>1.9228870173469481</v>
      </c>
      <c r="S17" s="14" t="s">
        <v>76</v>
      </c>
      <c r="T17" s="15">
        <f>F17/O4</f>
        <v>0.36478809645122157</v>
      </c>
    </row>
    <row r="18" spans="2:20" x14ac:dyDescent="0.3">
      <c r="B18" t="s">
        <v>77</v>
      </c>
      <c r="C18" s="4">
        <v>-9.7463333333333537</v>
      </c>
      <c r="D18" s="4">
        <v>-14.155000000000001</v>
      </c>
      <c r="E18" s="4">
        <v>-11.876666666666637</v>
      </c>
      <c r="F18" s="4">
        <v>-11.925999999999997</v>
      </c>
      <c r="G18" s="4">
        <v>2.2047473274227474</v>
      </c>
      <c r="S18" s="14" t="s">
        <v>77</v>
      </c>
      <c r="T18" s="15">
        <f>F18/O4</f>
        <v>0.35569473958915837</v>
      </c>
    </row>
    <row r="19" spans="2:20" x14ac:dyDescent="0.3">
      <c r="B19" t="s">
        <v>78</v>
      </c>
      <c r="C19" s="4">
        <v>-15.226333333333315</v>
      </c>
      <c r="D19" s="4">
        <v>-9.554000000000002</v>
      </c>
      <c r="E19" s="4">
        <v>-11.586000000000013</v>
      </c>
      <c r="F19" s="4">
        <v>-12.12211111111111</v>
      </c>
      <c r="G19" s="4">
        <v>2.8739176577806842</v>
      </c>
      <c r="S19" s="14" t="s">
        <v>78</v>
      </c>
      <c r="T19" s="15">
        <f>F19/O4</f>
        <v>0.3615437829060465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DFB11-7E97-4134-875B-FE56B7BC3C0F}">
  <dimension ref="A1:C17"/>
  <sheetViews>
    <sheetView tabSelected="1" workbookViewId="0">
      <selection activeCell="C18" sqref="C18"/>
    </sheetView>
  </sheetViews>
  <sheetFormatPr defaultRowHeight="14.4" x14ac:dyDescent="0.3"/>
  <cols>
    <col min="1" max="1" width="15.6640625" bestFit="1" customWidth="1"/>
    <col min="2" max="2" width="19.21875" bestFit="1" customWidth="1"/>
  </cols>
  <sheetData>
    <row r="1" spans="1:3" x14ac:dyDescent="0.3">
      <c r="A1" t="s">
        <v>87</v>
      </c>
      <c r="B1" t="s">
        <v>86</v>
      </c>
      <c r="C1" t="s">
        <v>88</v>
      </c>
    </row>
    <row r="2" spans="1:3" x14ac:dyDescent="0.3">
      <c r="A2" t="s">
        <v>63</v>
      </c>
      <c r="B2">
        <v>0.87166320777773643</v>
      </c>
      <c r="C2" t="s">
        <v>89</v>
      </c>
    </row>
    <row r="3" spans="1:3" x14ac:dyDescent="0.3">
      <c r="A3" t="s">
        <v>64</v>
      </c>
      <c r="B3">
        <v>1.0292791841164508</v>
      </c>
      <c r="C3" t="s">
        <v>89</v>
      </c>
    </row>
    <row r="4" spans="1:3" x14ac:dyDescent="0.3">
      <c r="A4" t="s">
        <v>65</v>
      </c>
      <c r="B4">
        <v>1.1023474878524653</v>
      </c>
      <c r="C4" t="s">
        <v>89</v>
      </c>
    </row>
    <row r="5" spans="1:3" x14ac:dyDescent="0.3">
      <c r="A5" t="s">
        <v>66</v>
      </c>
      <c r="B5">
        <v>0.99671012025334726</v>
      </c>
      <c r="C5" t="s">
        <v>89</v>
      </c>
    </row>
    <row r="6" spans="1:3" x14ac:dyDescent="0.3">
      <c r="A6" t="s">
        <v>67</v>
      </c>
      <c r="B6">
        <v>0.47473022737534509</v>
      </c>
      <c r="C6" t="s">
        <v>90</v>
      </c>
    </row>
    <row r="7" spans="1:3" x14ac:dyDescent="0.3">
      <c r="A7" t="s">
        <v>68</v>
      </c>
      <c r="B7">
        <v>0.4868823190711119</v>
      </c>
      <c r="C7" t="s">
        <v>90</v>
      </c>
    </row>
    <row r="8" spans="1:3" x14ac:dyDescent="0.3">
      <c r="A8" t="s">
        <v>69</v>
      </c>
      <c r="B8">
        <v>0.40402805221058208</v>
      </c>
      <c r="C8" t="s">
        <v>90</v>
      </c>
    </row>
    <row r="9" spans="1:3" x14ac:dyDescent="0.3">
      <c r="A9" t="s">
        <v>70</v>
      </c>
      <c r="B9">
        <v>0.36714759721134788</v>
      </c>
      <c r="C9" t="s">
        <v>90</v>
      </c>
    </row>
    <row r="10" spans="1:3" x14ac:dyDescent="0.3">
      <c r="A10" t="s">
        <v>71</v>
      </c>
      <c r="B10">
        <v>0.81298719589738455</v>
      </c>
      <c r="C10" t="s">
        <v>91</v>
      </c>
    </row>
    <row r="11" spans="1:3" x14ac:dyDescent="0.3">
      <c r="A11" t="s">
        <v>72</v>
      </c>
      <c r="B11">
        <v>0.59602248484923803</v>
      </c>
      <c r="C11" t="s">
        <v>91</v>
      </c>
    </row>
    <row r="12" spans="1:3" x14ac:dyDescent="0.3">
      <c r="A12" t="s">
        <v>73</v>
      </c>
      <c r="B12">
        <v>0.77849275290277398</v>
      </c>
      <c r="C12" t="s">
        <v>91</v>
      </c>
    </row>
    <row r="13" spans="1:3" x14ac:dyDescent="0.3">
      <c r="A13" t="s">
        <v>74</v>
      </c>
      <c r="B13">
        <v>0.77849275290277398</v>
      </c>
      <c r="C13" t="s">
        <v>91</v>
      </c>
    </row>
    <row r="14" spans="1:3" x14ac:dyDescent="0.3">
      <c r="A14" t="s">
        <v>75</v>
      </c>
      <c r="B14">
        <v>0.53254462380958278</v>
      </c>
      <c r="C14" t="s">
        <v>92</v>
      </c>
    </row>
    <row r="15" spans="1:3" x14ac:dyDescent="0.3">
      <c r="A15" t="s">
        <v>76</v>
      </c>
      <c r="B15">
        <v>0.36478809645122157</v>
      </c>
      <c r="C15" t="s">
        <v>92</v>
      </c>
    </row>
    <row r="16" spans="1:3" x14ac:dyDescent="0.3">
      <c r="A16" t="s">
        <v>77</v>
      </c>
      <c r="B16">
        <v>0.35569473958915837</v>
      </c>
      <c r="C16" t="s">
        <v>92</v>
      </c>
    </row>
    <row r="17" spans="1:3" x14ac:dyDescent="0.3">
      <c r="A17" t="s">
        <v>78</v>
      </c>
      <c r="B17">
        <v>0.3615437829060465</v>
      </c>
      <c r="C17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 inner circle</vt:lpstr>
      <vt:lpstr>Three circles</vt:lpstr>
      <vt:lpstr>Normalization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Chavez Rodriguez, Luciana</cp:lastModifiedBy>
  <dcterms:created xsi:type="dcterms:W3CDTF">2025-08-19T19:52:38Z</dcterms:created>
  <dcterms:modified xsi:type="dcterms:W3CDTF">2025-08-19T22:25:15Z</dcterms:modified>
</cp:coreProperties>
</file>