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luciana_chavezrodriguez_wur_nl/Documents/UCI_projects/Project_8 (Reviews)/Family/Pere/doctorado/datasets/"/>
    </mc:Choice>
  </mc:AlternateContent>
  <xr:revisionPtr revIDLastSave="92" documentId="11_F259E0D325B1EFF6C33EB1C278D77CAF535ECB94" xr6:coauthVersionLast="47" xr6:coauthVersionMax="47" xr10:uidLastSave="{97C8D6F3-C06F-49C2-A10F-75ED3D06E647}"/>
  <bookViews>
    <workbookView xWindow="-108" yWindow="-108" windowWidth="23256" windowHeight="12456" activeTab="5" xr2:uid="{00000000-000D-0000-FFFF-FFFF00000000}"/>
  </bookViews>
  <sheets>
    <sheet name="SXM" sheetId="1" r:id="rId1"/>
    <sheet name="SXM - Only 2" sheetId="4" r:id="rId2"/>
    <sheet name="PDM" sheetId="2" r:id="rId3"/>
    <sheet name="PDM - Only 2" sheetId="5" r:id="rId4"/>
    <sheet name="PLATE" sheetId="3" r:id="rId5"/>
    <sheet name="PLATE - Only 2" sheetId="6" r:id="rId6"/>
    <sheet name="Sheet2" sheetId="8" r:id="rId7"/>
    <sheet name="Sheet1" sheetId="7" r:id="rId8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  <c r="E22" i="4"/>
  <c r="G22" i="4"/>
  <c r="B22" i="4"/>
  <c r="C21" i="4"/>
  <c r="E21" i="4"/>
  <c r="G21" i="4"/>
  <c r="B21" i="4"/>
  <c r="C15" i="4"/>
  <c r="E15" i="4"/>
  <c r="G15" i="4"/>
  <c r="B15" i="4"/>
  <c r="C14" i="4"/>
  <c r="E14" i="4"/>
  <c r="G14" i="4"/>
  <c r="B14" i="4"/>
  <c r="C8" i="4"/>
  <c r="E8" i="4"/>
  <c r="G8" i="4"/>
  <c r="B8" i="4"/>
  <c r="C7" i="4"/>
  <c r="E7" i="4"/>
  <c r="G7" i="4"/>
  <c r="B7" i="4"/>
  <c r="C22" i="5"/>
  <c r="E22" i="5"/>
  <c r="G22" i="5"/>
  <c r="B22" i="5"/>
  <c r="C21" i="5"/>
  <c r="E21" i="5"/>
  <c r="G21" i="5"/>
  <c r="B21" i="5"/>
  <c r="C15" i="5"/>
  <c r="E15" i="5"/>
  <c r="G15" i="5"/>
  <c r="B15" i="5"/>
  <c r="C14" i="5"/>
  <c r="E14" i="5"/>
  <c r="G14" i="5"/>
  <c r="B14" i="5"/>
  <c r="C8" i="5"/>
  <c r="E8" i="5"/>
  <c r="G8" i="5"/>
  <c r="B8" i="5"/>
  <c r="C7" i="5"/>
  <c r="E7" i="5"/>
  <c r="G7" i="5"/>
  <c r="B7" i="5"/>
  <c r="C22" i="6" l="1"/>
  <c r="E22" i="6"/>
  <c r="G22" i="6"/>
  <c r="B22" i="6"/>
  <c r="C21" i="6"/>
  <c r="E21" i="6"/>
  <c r="G21" i="6"/>
  <c r="B21" i="6"/>
  <c r="C15" i="6"/>
  <c r="E15" i="6"/>
  <c r="G15" i="6"/>
  <c r="B15" i="6"/>
  <c r="C14" i="6"/>
  <c r="E14" i="6"/>
  <c r="G14" i="6"/>
  <c r="B14" i="6"/>
  <c r="G8" i="6"/>
  <c r="E8" i="6"/>
  <c r="C8" i="6"/>
  <c r="B8" i="6"/>
  <c r="G7" i="6"/>
  <c r="E7" i="6"/>
  <c r="C7" i="6"/>
  <c r="B7" i="6"/>
  <c r="C31" i="3" l="1"/>
  <c r="D31" i="3"/>
  <c r="E31" i="3"/>
  <c r="B31" i="3"/>
  <c r="C30" i="3"/>
  <c r="D30" i="3"/>
  <c r="E30" i="3"/>
  <c r="B30" i="3"/>
  <c r="C11" i="3"/>
  <c r="D11" i="3"/>
  <c r="E11" i="3"/>
  <c r="B11" i="3"/>
  <c r="C10" i="3"/>
  <c r="D10" i="3"/>
  <c r="E10" i="3"/>
  <c r="B10" i="3"/>
</calcChain>
</file>

<file path=xl/sharedStrings.xml><?xml version="1.0" encoding="utf-8"?>
<sst xmlns="http://schemas.openxmlformats.org/spreadsheetml/2006/main" count="199" uniqueCount="61">
  <si>
    <t>SXM</t>
  </si>
  <si>
    <t>PDM</t>
  </si>
  <si>
    <t>PLATE</t>
  </si>
  <si>
    <t>WT</t>
  </si>
  <si>
    <t>ΔVel1</t>
  </si>
  <si>
    <t>ΔVel2</t>
  </si>
  <si>
    <r>
      <t>ΔVel2</t>
    </r>
    <r>
      <rPr>
        <b/>
        <vertAlign val="superscript"/>
        <sz val="10"/>
        <color theme="1"/>
        <rFont val="Calibri"/>
        <family val="2"/>
      </rPr>
      <t>IDD</t>
    </r>
  </si>
  <si>
    <t>Chr1g15480</t>
  </si>
  <si>
    <t>AVERAGE</t>
  </si>
  <si>
    <t>SD</t>
  </si>
  <si>
    <t>Chr4g08340</t>
  </si>
  <si>
    <t>Chr4g09760</t>
  </si>
  <si>
    <t>First replicate (twice)</t>
  </si>
  <si>
    <t>Third replicate (twice)</t>
  </si>
  <si>
    <t>First experiment</t>
  </si>
  <si>
    <t>Second experiment</t>
  </si>
  <si>
    <t>Welch's t-test: p=0.04661</t>
  </si>
  <si>
    <t>Welch's t-test: p=0.00205</t>
  </si>
  <si>
    <t>Welch's t-test: p=0.01603</t>
  </si>
  <si>
    <t>Welch's t-test: p=0.00527</t>
  </si>
  <si>
    <t>Welch's t-test: p=0.12608</t>
  </si>
  <si>
    <t>Welch's t-test: p=0.0372</t>
  </si>
  <si>
    <t>Welch's t-test: p=0.48816</t>
  </si>
  <si>
    <t>Welch's t-test: p=0.13218</t>
  </si>
  <si>
    <t>Welch's t-test: p=0.13637</t>
  </si>
  <si>
    <t>Welch's t-test: p=0.04322</t>
  </si>
  <si>
    <t>Welch's t-test: p=0.20073</t>
  </si>
  <si>
    <t>Welch's t-test: p=0.07725</t>
  </si>
  <si>
    <t>Welch's t-test: p=0.10229</t>
  </si>
  <si>
    <t>Welch's t-test: p=0.01079</t>
  </si>
  <si>
    <t>Welch's t-test: p=0.30673</t>
  </si>
  <si>
    <t>Welch's t-test: p=0.82442</t>
  </si>
  <si>
    <t>Welch's t-test: p=0.22953</t>
  </si>
  <si>
    <t>Welch's t-test: p=0.0109</t>
  </si>
  <si>
    <t>Welch's t-test: p=0.01938</t>
  </si>
  <si>
    <t>Welch's t-test: p=0.07489</t>
  </si>
  <si>
    <t>Welch's t-test: p=0.11455</t>
  </si>
  <si>
    <t>Welch's t-test: p=0.12306</t>
  </si>
  <si>
    <t>Welch's t-test: p=0.28248</t>
  </si>
  <si>
    <t>Welch's t-test: p=0.01479</t>
  </si>
  <si>
    <t>Welch's t-test: p=0.18785</t>
  </si>
  <si>
    <t>Welch's t-test: p=0.50834</t>
  </si>
  <si>
    <t>Welch's t-test: p=0.24469</t>
  </si>
  <si>
    <t>LLM1</t>
  </si>
  <si>
    <t>MET2</t>
  </si>
  <si>
    <t>MET1</t>
  </si>
  <si>
    <r>
      <t>Vel2</t>
    </r>
    <r>
      <rPr>
        <b/>
        <vertAlign val="superscript"/>
        <sz val="11"/>
        <color theme="1"/>
        <rFont val="Aptos Narrow"/>
        <family val="2"/>
      </rPr>
      <t>Δ</t>
    </r>
    <r>
      <rPr>
        <b/>
        <vertAlign val="superscript"/>
        <sz val="10"/>
        <color theme="1"/>
        <rFont val="Calibri"/>
        <family val="2"/>
      </rPr>
      <t>IDD</t>
    </r>
  </si>
  <si>
    <t>Conidiation</t>
  </si>
  <si>
    <t>Vegetative growth</t>
  </si>
  <si>
    <t>Microsclerotia formation</t>
  </si>
  <si>
    <t>PDM-L</t>
  </si>
  <si>
    <t>SXM-L</t>
  </si>
  <si>
    <t>SXM-PL</t>
  </si>
  <si>
    <t>ΔVEL1</t>
  </si>
  <si>
    <t>ΔVEL2</t>
  </si>
  <si>
    <r>
      <t>VEL2</t>
    </r>
    <r>
      <rPr>
        <b/>
        <vertAlign val="superscript"/>
        <sz val="11"/>
        <color theme="1"/>
        <rFont val="Calibri"/>
        <family val="2"/>
      </rPr>
      <t>ΔIDD</t>
    </r>
  </si>
  <si>
    <t>IDD</t>
  </si>
  <si>
    <t>Vel1</t>
  </si>
  <si>
    <t>Vel2</t>
  </si>
  <si>
    <t>Treatments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</si>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</sst>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##0.000;\-###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b/>
      <sz val="11"/>
      <color theme="8" tint="-0.249977111117893"/>
      <name val="Calibri"/>
      <family val="2"/>
      <scheme val="minor"/>
    </font>
    <font>
      <b/>
      <vertAlign val="superscript"/>
      <sz val="11"/>
      <color theme="1"/>
      <name val="Aptos Narrow"/>
      <family val="2"/>
    </font>
    <font>
      <b/>
      <i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5" borderId="0" xfId="0" applyFill="1"/>
    <xf numFmtId="164" fontId="0" fillId="5" borderId="0" xfId="0" applyNumberFormat="1" applyFill="1"/>
    <xf numFmtId="0" fontId="1" fillId="0" borderId="0" xfId="0" applyFont="1" applyAlignment="1">
      <alignment vertical="center"/>
    </xf>
    <xf numFmtId="164" fontId="0" fillId="6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164" fontId="0" fillId="7" borderId="0" xfId="0" applyNumberFormat="1" applyFill="1" applyAlignment="1">
      <alignment horizontal="right" vertical="center"/>
    </xf>
    <xf numFmtId="164" fontId="0" fillId="7" borderId="0" xfId="0" applyNumberFormat="1" applyFill="1"/>
    <xf numFmtId="164" fontId="0" fillId="8" borderId="0" xfId="0" applyNumberFormat="1" applyFill="1"/>
    <xf numFmtId="1" fontId="0" fillId="5" borderId="0" xfId="0" applyNumberFormat="1" applyFill="1" applyAlignment="1">
      <alignment horizontal="right"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164" fontId="0" fillId="3" borderId="0" xfId="0" applyNumberForma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SXM</a:t>
            </a:r>
          </a:p>
        </c:rich>
      </c:tx>
      <c:layout>
        <c:manualLayout>
          <c:xMode val="edge"/>
          <c:yMode val="edge"/>
          <c:x val="0.47552770487022461"/>
          <c:y val="1.8223234624145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'SXM - Only 2'!$L$2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2'!$L$3,'SXM - Only 2'!$L$5,'SXM - Only 2'!$L$7)</c:f>
              <c:numCache>
                <c:formatCode>0</c:formatCode>
                <c:ptCount val="3"/>
                <c:pt idx="0" formatCode="General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A-43A1-B60D-39DA421D8F3F}"/>
            </c:ext>
          </c:extLst>
        </c:ser>
        <c:ser>
          <c:idx val="1"/>
          <c:order val="1"/>
          <c:tx>
            <c:strRef>
              <c:f>'SXM - Only 2'!$M$2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('SXM - Only 2'!$M$4,'SXM - Only 2'!$M$6,'SXM - Only 2'!$M$8)</c:f>
                <c:numCache>
                  <c:formatCode>General</c:formatCode>
                  <c:ptCount val="3"/>
                  <c:pt idx="0">
                    <c:v>2.4759517447557386</c:v>
                  </c:pt>
                  <c:pt idx="1">
                    <c:v>22.882035940555561</c:v>
                  </c:pt>
                  <c:pt idx="2">
                    <c:v>22.996386670371592</c:v>
                  </c:pt>
                </c:numCache>
              </c:numRef>
            </c:plus>
            <c:minus>
              <c:numRef>
                <c:f>('SXM - Only 2'!$M$4,'SXM - Only 2'!$M$6,'SXM - Only 2'!$M$8)</c:f>
                <c:numCache>
                  <c:formatCode>General</c:formatCode>
                  <c:ptCount val="3"/>
                  <c:pt idx="0">
                    <c:v>2.4759517447557386</c:v>
                  </c:pt>
                  <c:pt idx="1">
                    <c:v>22.882035940555561</c:v>
                  </c:pt>
                  <c:pt idx="2">
                    <c:v>22.996386670371592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2'!$M$3,'SXM - Only 2'!$M$5,'SXM - Only 2'!$M$7)</c:f>
              <c:numCache>
                <c:formatCode>0.000</c:formatCode>
                <c:ptCount val="3"/>
                <c:pt idx="0">
                  <c:v>13.3928881998447</c:v>
                </c:pt>
                <c:pt idx="1">
                  <c:v>56.752390356325066</c:v>
                </c:pt>
                <c:pt idx="2">
                  <c:v>44.81396925790947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5A-43A1-B60D-39DA421D8F3F}"/>
            </c:ext>
          </c:extLst>
        </c:ser>
        <c:ser>
          <c:idx val="2"/>
          <c:order val="2"/>
          <c:tx>
            <c:strRef>
              <c:f>'SXM - Only 2'!$N$2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('SXM - Only 2'!$N$4,'SXM - Only 2'!$N$6,'SXM - Only 2'!$N$8)</c:f>
                <c:numCache>
                  <c:formatCode>General</c:formatCode>
                  <c:ptCount val="3"/>
                  <c:pt idx="0">
                    <c:v>1.3270283245264494</c:v>
                  </c:pt>
                  <c:pt idx="1">
                    <c:v>8.784197563654951</c:v>
                  </c:pt>
                  <c:pt idx="2">
                    <c:v>0.37325157298531608</c:v>
                  </c:pt>
                </c:numCache>
              </c:numRef>
            </c:plus>
            <c:minus>
              <c:numRef>
                <c:f>('SXM - Only 2'!$N$4,'SXM - Only 2'!$N$6,'SXM - Only 2'!$N$8)</c:f>
                <c:numCache>
                  <c:formatCode>General</c:formatCode>
                  <c:ptCount val="3"/>
                  <c:pt idx="0">
                    <c:v>1.3270283245264494</c:v>
                  </c:pt>
                  <c:pt idx="1">
                    <c:v>8.784197563654951</c:v>
                  </c:pt>
                  <c:pt idx="2">
                    <c:v>0.37325157298531608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2'!$N$3,'SXM - Only 2'!$N$5,'SXM - Only 2'!$N$7)</c:f>
              <c:numCache>
                <c:formatCode>0.000</c:formatCode>
                <c:ptCount val="3"/>
                <c:pt idx="0">
                  <c:v>3.4216726609022765</c:v>
                </c:pt>
                <c:pt idx="1">
                  <c:v>10.048873336565821</c:v>
                </c:pt>
                <c:pt idx="2">
                  <c:v>3.1443653303093835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5A-43A1-B60D-39DA421D8F3F}"/>
            </c:ext>
          </c:extLst>
        </c:ser>
        <c:ser>
          <c:idx val="3"/>
          <c:order val="3"/>
          <c:tx>
            <c:strRef>
              <c:f>'SXM - Only 2'!$O$2</c:f>
              <c:strCache>
                <c:ptCount val="1"/>
                <c:pt idx="0">
                  <c:v>ΔVel2IDD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('SXM - Only 2'!$O$4,'SXM - Only 2'!$O$6,'SXM - Only 2'!$O$8)</c:f>
                <c:numCache>
                  <c:formatCode>General</c:formatCode>
                  <c:ptCount val="3"/>
                  <c:pt idx="0">
                    <c:v>0.1876332314173807</c:v>
                  </c:pt>
                  <c:pt idx="1">
                    <c:v>1.2930494907630021</c:v>
                  </c:pt>
                  <c:pt idx="2">
                    <c:v>0.6365085637011817</c:v>
                  </c:pt>
                </c:numCache>
              </c:numRef>
            </c:plus>
            <c:minus>
              <c:numRef>
                <c:f>('SXM - Only 2'!$O$4,'SXM - Only 2'!$O$6,'SXM - Only 2'!$O$8)</c:f>
                <c:numCache>
                  <c:formatCode>General</c:formatCode>
                  <c:ptCount val="3"/>
                  <c:pt idx="0">
                    <c:v>0.1876332314173807</c:v>
                  </c:pt>
                  <c:pt idx="1">
                    <c:v>1.2930494907630021</c:v>
                  </c:pt>
                  <c:pt idx="2">
                    <c:v>0.6365085637011817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('SXM - Only 2'!$K$3,'SXM - Only 2'!$K$5,'SXM - Only 2'!$K$7)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('SXM - Only 2'!$O$3,'SXM - Only 2'!$O$5,'SXM - Only 2'!$O$7)</c:f>
              <c:numCache>
                <c:formatCode>0.000</c:formatCode>
                <c:ptCount val="3"/>
                <c:pt idx="0">
                  <c:v>0.73942013234227577</c:v>
                </c:pt>
                <c:pt idx="1">
                  <c:v>1.7300003750671182</c:v>
                </c:pt>
                <c:pt idx="2">
                  <c:v>1.7332233075396355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5A-43A1-B60D-39DA421D8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544863"/>
        <c:axId val="697548191"/>
      </c:barChart>
      <c:catAx>
        <c:axId val="69754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Selected Candidate Genes</a:t>
                </a:r>
              </a:p>
            </c:rich>
          </c:tx>
          <c:layout>
            <c:manualLayout>
              <c:xMode val="edge"/>
              <c:yMode val="edge"/>
              <c:x val="0.41736030912802569"/>
              <c:y val="0.859361828063063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7548191"/>
        <c:crosses val="autoZero"/>
        <c:auto val="1"/>
        <c:lblAlgn val="ctr"/>
        <c:lblOffset val="100"/>
        <c:noMultiLvlLbl val="0"/>
      </c:catAx>
      <c:valAx>
        <c:axId val="69754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Relative Normalized Expression</a:t>
                </a:r>
              </a:p>
            </c:rich>
          </c:tx>
          <c:layout>
            <c:manualLayout>
              <c:xMode val="edge"/>
              <c:yMode val="edge"/>
              <c:x val="7.4074074074074077E-3"/>
              <c:y val="0.22661572770374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754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28200641586469"/>
          <c:y val="0.93052355927035324"/>
          <c:w val="0.28699154272382621"/>
          <c:h val="5.1253206105501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PDM</a:t>
            </a:r>
          </a:p>
        </c:rich>
      </c:tx>
      <c:layout>
        <c:manualLayout>
          <c:xMode val="edge"/>
          <c:yMode val="edge"/>
          <c:x val="0.47431668021656381"/>
          <c:y val="1.7353575223649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'PDM - Only 2'!$K$2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2'!$K$3,'PDM - Only 2'!$K$5,'PDM - Only 2'!$K$7)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9-4380-A792-0A49C87EAEAB}"/>
            </c:ext>
          </c:extLst>
        </c:ser>
        <c:ser>
          <c:idx val="1"/>
          <c:order val="1"/>
          <c:tx>
            <c:strRef>
              <c:f>'PDM - Only 2'!$L$2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('PDM - Only 2'!$L$4,'PDM - Only 2'!$L$6,'PDM - Only 2'!$L$8)</c:f>
                <c:numCache>
                  <c:formatCode>General</c:formatCode>
                  <c:ptCount val="3"/>
                  <c:pt idx="0">
                    <c:v>0.83188055717628417</c:v>
                  </c:pt>
                  <c:pt idx="1">
                    <c:v>39.507973647363158</c:v>
                  </c:pt>
                  <c:pt idx="2">
                    <c:v>1.0195636090070346</c:v>
                  </c:pt>
                </c:numCache>
              </c:numRef>
            </c:plus>
            <c:minus>
              <c:numRef>
                <c:f>('PDM - Only 2'!$L$4,'PDM - Only 2'!$L$6,'PDM - Only 2'!$L$8)</c:f>
                <c:numCache>
                  <c:formatCode>General</c:formatCode>
                  <c:ptCount val="3"/>
                  <c:pt idx="0">
                    <c:v>0.83188055717628417</c:v>
                  </c:pt>
                  <c:pt idx="1">
                    <c:v>39.507973647363158</c:v>
                  </c:pt>
                  <c:pt idx="2">
                    <c:v>1.0195636090070346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2'!$L$3,'PDM - Only 2'!$L$5,'PDM - Only 2'!$L$7)</c:f>
              <c:numCache>
                <c:formatCode>0.000</c:formatCode>
                <c:ptCount val="3"/>
                <c:pt idx="0">
                  <c:v>3.7365890453350334</c:v>
                </c:pt>
                <c:pt idx="1">
                  <c:v>53.544915046169869</c:v>
                </c:pt>
                <c:pt idx="2">
                  <c:v>3.4406737449351064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9-4380-A792-0A49C87EAEAB}"/>
            </c:ext>
          </c:extLst>
        </c:ser>
        <c:ser>
          <c:idx val="2"/>
          <c:order val="2"/>
          <c:tx>
            <c:strRef>
              <c:f>'PDM - Only 2'!$M$2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('PDM - Only 2'!$M$4,'PDM - Only 2'!$M$6,'PDM - Only 2'!$M$8)</c:f>
                <c:numCache>
                  <c:formatCode>General</c:formatCode>
                  <c:ptCount val="3"/>
                  <c:pt idx="0">
                    <c:v>0.43325063897629462</c:v>
                  </c:pt>
                  <c:pt idx="1">
                    <c:v>0.27848755867212521</c:v>
                  </c:pt>
                  <c:pt idx="2">
                    <c:v>0.34331619509545269</c:v>
                  </c:pt>
                </c:numCache>
              </c:numRef>
            </c:plus>
            <c:minus>
              <c:numRef>
                <c:f>('PDM - Only 2'!$M$4,'PDM - Only 2'!$M$6,'PDM - Only 2'!$M$8)</c:f>
                <c:numCache>
                  <c:formatCode>General</c:formatCode>
                  <c:ptCount val="3"/>
                  <c:pt idx="0">
                    <c:v>0.43325063897629462</c:v>
                  </c:pt>
                  <c:pt idx="1">
                    <c:v>0.27848755867212521</c:v>
                  </c:pt>
                  <c:pt idx="2">
                    <c:v>0.34331619509545269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2'!$M$3,'PDM - Only 2'!$M$5,'PDM - Only 2'!$M$7)</c:f>
              <c:numCache>
                <c:formatCode>0.000</c:formatCode>
                <c:ptCount val="3"/>
                <c:pt idx="0">
                  <c:v>1.8823406639411768</c:v>
                </c:pt>
                <c:pt idx="1">
                  <c:v>2.8805237708687468</c:v>
                </c:pt>
                <c:pt idx="2">
                  <c:v>1.3300848322449152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9-4380-A792-0A49C87EAEAB}"/>
            </c:ext>
          </c:extLst>
        </c:ser>
        <c:ser>
          <c:idx val="3"/>
          <c:order val="3"/>
          <c:tx>
            <c:strRef>
              <c:f>'PDM - Only 2'!$N$2</c:f>
              <c:strCache>
                <c:ptCount val="1"/>
                <c:pt idx="0">
                  <c:v>ΔVel2IDD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('PDM - Only 2'!$N$4,'PDM - Only 2'!$N$6,'PDM - Only 2'!$N$8)</c:f>
                <c:numCache>
                  <c:formatCode>General</c:formatCode>
                  <c:ptCount val="3"/>
                  <c:pt idx="0">
                    <c:v>0.14034182893315331</c:v>
                  </c:pt>
                  <c:pt idx="1">
                    <c:v>0.14975131261632563</c:v>
                  </c:pt>
                  <c:pt idx="2">
                    <c:v>0.16231593474909936</c:v>
                  </c:pt>
                </c:numCache>
              </c:numRef>
            </c:plus>
            <c:minus>
              <c:numRef>
                <c:f>('PDM - Only 2'!$N$4,'PDM - Only 2'!$N$6,'PDM - Only 2'!$N$8)</c:f>
                <c:numCache>
                  <c:formatCode>General</c:formatCode>
                  <c:ptCount val="3"/>
                  <c:pt idx="0">
                    <c:v>0.14034182893315331</c:v>
                  </c:pt>
                  <c:pt idx="1">
                    <c:v>0.14975131261632563</c:v>
                  </c:pt>
                  <c:pt idx="2">
                    <c:v>0.16231593474909936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('PDM - Only 2'!$J$3,'PDM - Only 2'!$J$5,'PDM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('PDM - Only 2'!$N$3,'PDM - Only 2'!$N$5,'PDM - Only 2'!$N$7)</c:f>
              <c:numCache>
                <c:formatCode>0.000</c:formatCode>
                <c:ptCount val="3"/>
                <c:pt idx="0">
                  <c:v>1.0248417589153187</c:v>
                </c:pt>
                <c:pt idx="1">
                  <c:v>1.181255052664433</c:v>
                </c:pt>
                <c:pt idx="2">
                  <c:v>2.0909206912632663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89-4380-A792-0A49C87EA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383599"/>
        <c:axId val="699389839"/>
      </c:barChart>
      <c:catAx>
        <c:axId val="699383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Selected Candidate Genes</a:t>
                </a:r>
              </a:p>
            </c:rich>
          </c:tx>
          <c:layout>
            <c:manualLayout>
              <c:xMode val="edge"/>
              <c:yMode val="edge"/>
              <c:x val="0.42179969292070102"/>
              <c:y val="0.8631811790683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9389839"/>
        <c:crosses val="autoZero"/>
        <c:auto val="1"/>
        <c:lblAlgn val="ctr"/>
        <c:lblOffset val="100"/>
        <c:noMultiLvlLbl val="0"/>
      </c:catAx>
      <c:valAx>
        <c:axId val="6993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Relative Normalized Expression</a:t>
                </a:r>
              </a:p>
            </c:rich>
          </c:tx>
          <c:layout>
            <c:manualLayout>
              <c:xMode val="edge"/>
              <c:yMode val="edge"/>
              <c:x val="9.2336089989735418E-3"/>
              <c:y val="0.23966243880131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938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60249894904081"/>
          <c:y val="0.9309468903167506"/>
          <c:w val="0.28619651068459429"/>
          <c:h val="4.88072719223252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PLATE</a:t>
            </a:r>
          </a:p>
        </c:rich>
      </c:tx>
      <c:layout>
        <c:manualLayout>
          <c:xMode val="edge"/>
          <c:yMode val="edge"/>
          <c:x val="0.46679930705445893"/>
          <c:y val="2.0050125313283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'PLATE - Only 2'!$K$2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2'!$K$3,'PLATE - Only 2'!$K$5,'PLATE - Only 2'!$K$7)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3-493B-8C08-979AD4952197}"/>
            </c:ext>
          </c:extLst>
        </c:ser>
        <c:ser>
          <c:idx val="1"/>
          <c:order val="1"/>
          <c:tx>
            <c:strRef>
              <c:f>'PLATE - Only 2'!$L$2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('PLATE - Only 2'!$L$4,'PLATE - Only 2'!$L$6,'PLATE - Only 2'!$L$8)</c:f>
                <c:numCache>
                  <c:formatCode>General</c:formatCode>
                  <c:ptCount val="3"/>
                  <c:pt idx="0">
                    <c:v>5.6958326275888354</c:v>
                  </c:pt>
                  <c:pt idx="1">
                    <c:v>2.8259605439215481</c:v>
                  </c:pt>
                  <c:pt idx="2">
                    <c:v>2.3476267286380308</c:v>
                  </c:pt>
                </c:numCache>
              </c:numRef>
            </c:plus>
            <c:minus>
              <c:numRef>
                <c:f>('PLATE - Only 2'!$L$4,'PLATE - Only 2'!$L$6,'PLATE - Only 2'!$L$8)</c:f>
                <c:numCache>
                  <c:formatCode>General</c:formatCode>
                  <c:ptCount val="3"/>
                  <c:pt idx="0">
                    <c:v>5.6958326275888354</c:v>
                  </c:pt>
                  <c:pt idx="1">
                    <c:v>2.8259605439215481</c:v>
                  </c:pt>
                  <c:pt idx="2">
                    <c:v>2.3476267286380308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2'!$L$3,'PLATE - Only 2'!$L$5,'PLATE - Only 2'!$L$7)</c:f>
              <c:numCache>
                <c:formatCode>0.000</c:formatCode>
                <c:ptCount val="3"/>
                <c:pt idx="0">
                  <c:v>18.997470531789933</c:v>
                </c:pt>
                <c:pt idx="1">
                  <c:v>45.115825481094163</c:v>
                </c:pt>
                <c:pt idx="2">
                  <c:v>13.950732422259433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3-493B-8C08-979AD4952197}"/>
            </c:ext>
          </c:extLst>
        </c:ser>
        <c:ser>
          <c:idx val="2"/>
          <c:order val="2"/>
          <c:tx>
            <c:strRef>
              <c:f>'PLATE - Only 2'!$M$2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('PLATE - Only 2'!$M$4,'PLATE - Only 2'!$M$6,'PLATE - Only 2'!$M$8)</c:f>
                <c:numCache>
                  <c:formatCode>General</c:formatCode>
                  <c:ptCount val="3"/>
                  <c:pt idx="0">
                    <c:v>0.5178171242928743</c:v>
                  </c:pt>
                  <c:pt idx="1">
                    <c:v>1.0394928367500738</c:v>
                  </c:pt>
                  <c:pt idx="2">
                    <c:v>0.14411757712867046</c:v>
                  </c:pt>
                </c:numCache>
              </c:numRef>
            </c:plus>
            <c:minus>
              <c:numRef>
                <c:f>('PLATE - Only 2'!$M$4,'PLATE - Only 2'!$M$6,'PLATE - Only 2'!$M$8)</c:f>
                <c:numCache>
                  <c:formatCode>General</c:formatCode>
                  <c:ptCount val="3"/>
                  <c:pt idx="0">
                    <c:v>0.5178171242928743</c:v>
                  </c:pt>
                  <c:pt idx="1">
                    <c:v>1.0394928367500738</c:v>
                  </c:pt>
                  <c:pt idx="2">
                    <c:v>0.14411757712867046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2'!$M$3,'PLATE - Only 2'!$M$5,'PLATE - Only 2'!$M$7)</c:f>
              <c:numCache>
                <c:formatCode>0.000</c:formatCode>
                <c:ptCount val="3"/>
                <c:pt idx="0">
                  <c:v>6.0261252326222534</c:v>
                </c:pt>
                <c:pt idx="1">
                  <c:v>2.8691186523987802</c:v>
                </c:pt>
                <c:pt idx="2">
                  <c:v>0.48560026943251938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3-493B-8C08-979AD4952197}"/>
            </c:ext>
          </c:extLst>
        </c:ser>
        <c:ser>
          <c:idx val="3"/>
          <c:order val="3"/>
          <c:tx>
            <c:strRef>
              <c:f>'PLATE - Only 2'!$N$2</c:f>
              <c:strCache>
                <c:ptCount val="1"/>
                <c:pt idx="0">
                  <c:v>ΔVel2IDD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('PLATE - Only 2'!$N$4,'PLATE - Only 2'!$N$6,'PLATE - Only 2'!$N$8)</c:f>
                <c:numCache>
                  <c:formatCode>General</c:formatCode>
                  <c:ptCount val="3"/>
                  <c:pt idx="0">
                    <c:v>0.15091375520924374</c:v>
                  </c:pt>
                  <c:pt idx="1">
                    <c:v>0.20606102493750783</c:v>
                  </c:pt>
                  <c:pt idx="2">
                    <c:v>0.36515275060600977</c:v>
                  </c:pt>
                </c:numCache>
              </c:numRef>
            </c:plus>
            <c:minus>
              <c:numRef>
                <c:f>('PLATE - Only 2'!$N$4,'PLATE - Only 2'!$N$6,'PLATE - Only 2'!$N$8)</c:f>
                <c:numCache>
                  <c:formatCode>General</c:formatCode>
                  <c:ptCount val="3"/>
                  <c:pt idx="0">
                    <c:v>0.15091375520924374</c:v>
                  </c:pt>
                  <c:pt idx="1">
                    <c:v>0.20606102493750783</c:v>
                  </c:pt>
                  <c:pt idx="2">
                    <c:v>0.36515275060600977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('PLATE - Only 2'!$J$3,'PLATE - Only 2'!$J$5,'PLATE - Only 2'!$J$7)</c:f>
              <c:strCache>
                <c:ptCount val="3"/>
                <c:pt idx="0">
                  <c:v>LLM1</c:v>
                </c:pt>
                <c:pt idx="1">
                  <c:v>MET2</c:v>
                </c:pt>
                <c:pt idx="2">
                  <c:v>MET1</c:v>
                </c:pt>
              </c:strCache>
            </c:strRef>
          </c:cat>
          <c:val>
            <c:numRef>
              <c:f>('PLATE - Only 2'!$N$3,'PLATE - Only 2'!$N$5,'PLATE - Only 2'!$N$7)</c:f>
              <c:numCache>
                <c:formatCode>0.000</c:formatCode>
                <c:ptCount val="3"/>
                <c:pt idx="0">
                  <c:v>0.90973501259711453</c:v>
                </c:pt>
                <c:pt idx="1">
                  <c:v>0.64013332295684322</c:v>
                </c:pt>
                <c:pt idx="2">
                  <c:v>1.6254450017337334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13-493B-8C08-979AD4952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328927"/>
        <c:axId val="700328511"/>
      </c:barChart>
      <c:catAx>
        <c:axId val="700328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Selected candidate genes</a:t>
                </a:r>
              </a:p>
            </c:rich>
          </c:tx>
          <c:layout>
            <c:manualLayout>
              <c:xMode val="edge"/>
              <c:yMode val="edge"/>
              <c:x val="0.41070351657803877"/>
              <c:y val="0.83189601299837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00328511"/>
        <c:crosses val="autoZero"/>
        <c:auto val="1"/>
        <c:lblAlgn val="ctr"/>
        <c:lblOffset val="100"/>
        <c:noMultiLvlLbl val="0"/>
      </c:catAx>
      <c:valAx>
        <c:axId val="7003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/>
                  <a:t>Relative Normalized Expression</a:t>
                </a:r>
              </a:p>
            </c:rich>
          </c:tx>
          <c:layout>
            <c:manualLayout>
              <c:xMode val="edge"/>
              <c:yMode val="edge"/>
              <c:x val="1.0209290454313425E-2"/>
              <c:y val="0.19716219683065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0032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24088700244782"/>
          <c:y val="0.92355850255560168"/>
          <c:w val="0.31643784190069657"/>
          <c:h val="5.6391372131115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Sheet1!$C$13:$E$13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Sheet1!$C$14:$E$14</c:f>
              <c:numCache>
                <c:formatCode>0.000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4-404B-BC28-FE8E50B96E47}"/>
            </c:ext>
          </c:extLst>
        </c:ser>
        <c:ser>
          <c:idx val="1"/>
          <c:order val="1"/>
          <c:tx>
            <c:strRef>
              <c:f>Sheet1!$B$16</c:f>
              <c:strCache>
                <c:ptCount val="1"/>
                <c:pt idx="0">
                  <c:v>ΔVEL1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Sheet1!$C$17:$E$17</c:f>
                <c:numCache>
                  <c:formatCode>General</c:formatCode>
                  <c:ptCount val="3"/>
                  <c:pt idx="0">
                    <c:v>0.83188055717628417</c:v>
                  </c:pt>
                  <c:pt idx="1">
                    <c:v>2.4759517447557386</c:v>
                  </c:pt>
                  <c:pt idx="2">
                    <c:v>5.6958326275888354</c:v>
                  </c:pt>
                </c:numCache>
              </c:numRef>
            </c:plus>
            <c:minus>
              <c:numRef>
                <c:f>Sheet1!$C$17:$E$17</c:f>
                <c:numCache>
                  <c:formatCode>General</c:formatCode>
                  <c:ptCount val="3"/>
                  <c:pt idx="0">
                    <c:v>0.83188055717628417</c:v>
                  </c:pt>
                  <c:pt idx="1">
                    <c:v>2.4759517447557386</c:v>
                  </c:pt>
                  <c:pt idx="2">
                    <c:v>5.6958326275888354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Sheet1!$C$13:$E$13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Sheet1!$C$16:$E$16</c:f>
              <c:numCache>
                <c:formatCode>###0.000;\-###0.000</c:formatCode>
                <c:ptCount val="3"/>
                <c:pt idx="0">
                  <c:v>3.7365890453350334</c:v>
                </c:pt>
                <c:pt idx="1">
                  <c:v>13.3928881998447</c:v>
                </c:pt>
                <c:pt idx="2" formatCode="0.000">
                  <c:v>18.997470531789933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4-404B-BC28-FE8E50B96E47}"/>
            </c:ext>
          </c:extLst>
        </c:ser>
        <c:ser>
          <c:idx val="2"/>
          <c:order val="2"/>
          <c:tx>
            <c:strRef>
              <c:f>Sheet1!$B$18</c:f>
              <c:strCache>
                <c:ptCount val="1"/>
                <c:pt idx="0">
                  <c:v>ΔVEL2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Sheet1!$C$19:$E$19</c:f>
                <c:numCache>
                  <c:formatCode>General</c:formatCode>
                  <c:ptCount val="3"/>
                  <c:pt idx="0">
                    <c:v>0.43325063897629462</c:v>
                  </c:pt>
                  <c:pt idx="1">
                    <c:v>1.3270283245264494</c:v>
                  </c:pt>
                  <c:pt idx="2">
                    <c:v>0.5178171242928743</c:v>
                  </c:pt>
                </c:numCache>
              </c:numRef>
            </c:plus>
            <c:minus>
              <c:numRef>
                <c:f>Sheet1!$C$19:$E$19</c:f>
                <c:numCache>
                  <c:formatCode>General</c:formatCode>
                  <c:ptCount val="3"/>
                  <c:pt idx="0">
                    <c:v>0.43325063897629462</c:v>
                  </c:pt>
                  <c:pt idx="1">
                    <c:v>1.3270283245264494</c:v>
                  </c:pt>
                  <c:pt idx="2">
                    <c:v>0.5178171242928743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Sheet1!$C$13:$E$13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Sheet1!$C$18:$E$18</c:f>
              <c:numCache>
                <c:formatCode>0.000</c:formatCode>
                <c:ptCount val="3"/>
                <c:pt idx="0">
                  <c:v>1.8823406639411768</c:v>
                </c:pt>
                <c:pt idx="1">
                  <c:v>3.4216726609022765</c:v>
                </c:pt>
                <c:pt idx="2">
                  <c:v>6.0261252326222534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04-404B-BC28-FE8E50B96E47}"/>
            </c:ext>
          </c:extLst>
        </c:ser>
        <c:ser>
          <c:idx val="3"/>
          <c:order val="3"/>
          <c:tx>
            <c:strRef>
              <c:f>Sheet1!$B$20</c:f>
              <c:strCache>
                <c:ptCount val="1"/>
                <c:pt idx="0">
                  <c:v>VEL2ΔIDD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Sheet1!$C$21:$E$21</c:f>
                <c:numCache>
                  <c:formatCode>General</c:formatCode>
                  <c:ptCount val="3"/>
                  <c:pt idx="0">
                    <c:v>0.14034182893315331</c:v>
                  </c:pt>
                  <c:pt idx="1">
                    <c:v>0.1876332314173807</c:v>
                  </c:pt>
                  <c:pt idx="2">
                    <c:v>0.15091375520924374</c:v>
                  </c:pt>
                </c:numCache>
              </c:numRef>
            </c:plus>
            <c:minus>
              <c:numRef>
                <c:f>Sheet1!$C$21:$E$21</c:f>
                <c:numCache>
                  <c:formatCode>General</c:formatCode>
                  <c:ptCount val="3"/>
                  <c:pt idx="0">
                    <c:v>0.14034182893315331</c:v>
                  </c:pt>
                  <c:pt idx="1">
                    <c:v>0.1876332314173807</c:v>
                  </c:pt>
                  <c:pt idx="2">
                    <c:v>0.15091375520924374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Sheet1!$C$13:$E$13</c:f>
              <c:strCache>
                <c:ptCount val="3"/>
                <c:pt idx="0">
                  <c:v>PDM-L</c:v>
                </c:pt>
                <c:pt idx="1">
                  <c:v>SXM-L</c:v>
                </c:pt>
                <c:pt idx="2">
                  <c:v>SXM-PL</c:v>
                </c:pt>
              </c:strCache>
            </c:strRef>
          </c:cat>
          <c:val>
            <c:numRef>
              <c:f>Sheet1!$C$20:$E$20</c:f>
              <c:numCache>
                <c:formatCode>0.000</c:formatCode>
                <c:ptCount val="3"/>
                <c:pt idx="0">
                  <c:v>1.0248417589153187</c:v>
                </c:pt>
                <c:pt idx="1">
                  <c:v>0.73942013234227577</c:v>
                </c:pt>
                <c:pt idx="2">
                  <c:v>0.90973501259711453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04-404B-BC28-FE8E50B96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650575"/>
        <c:axId val="258652495"/>
      </c:barChart>
      <c:catAx>
        <c:axId val="25865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58652495"/>
        <c:crosses val="autoZero"/>
        <c:auto val="1"/>
        <c:lblAlgn val="ctr"/>
        <c:lblOffset val="100"/>
        <c:noMultiLvlLbl val="0"/>
      </c:catAx>
      <c:valAx>
        <c:axId val="2586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5865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8</xdr:row>
      <xdr:rowOff>190499</xdr:rowOff>
    </xdr:from>
    <xdr:to>
      <xdr:col>19</xdr:col>
      <xdr:colOff>600075</xdr:colOff>
      <xdr:row>30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666750</xdr:colOff>
      <xdr:row>22</xdr:row>
      <xdr:rowOff>38100</xdr:rowOff>
    </xdr:from>
    <xdr:to>
      <xdr:col>11</xdr:col>
      <xdr:colOff>170329</xdr:colOff>
      <xdr:row>23</xdr:row>
      <xdr:rowOff>109751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7575" y="4229100"/>
          <a:ext cx="256054" cy="262151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24</xdr:row>
      <xdr:rowOff>47625</xdr:rowOff>
    </xdr:from>
    <xdr:to>
      <xdr:col>18</xdr:col>
      <xdr:colOff>360829</xdr:colOff>
      <xdr:row>25</xdr:row>
      <xdr:rowOff>119276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25275" y="4619625"/>
          <a:ext cx="256054" cy="262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9</xdr:row>
      <xdr:rowOff>190499</xdr:rowOff>
    </xdr:from>
    <xdr:to>
      <xdr:col>19</xdr:col>
      <xdr:colOff>600075</xdr:colOff>
      <xdr:row>33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561975</xdr:colOff>
      <xdr:row>26</xdr:row>
      <xdr:rowOff>47625</xdr:rowOff>
    </xdr:from>
    <xdr:to>
      <xdr:col>11</xdr:col>
      <xdr:colOff>208429</xdr:colOff>
      <xdr:row>27</xdr:row>
      <xdr:rowOff>119276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3775" y="5000625"/>
          <a:ext cx="256054" cy="262151"/>
        </a:xfrm>
        <a:prstGeom prst="rect">
          <a:avLst/>
        </a:prstGeom>
      </xdr:spPr>
    </xdr:pic>
    <xdr:clientData/>
  </xdr:twoCellAnchor>
  <xdr:twoCellAnchor editAs="oneCell">
    <xdr:from>
      <xdr:col>14</xdr:col>
      <xdr:colOff>514350</xdr:colOff>
      <xdr:row>26</xdr:row>
      <xdr:rowOff>85725</xdr:rowOff>
    </xdr:from>
    <xdr:to>
      <xdr:col>15</xdr:col>
      <xdr:colOff>160804</xdr:colOff>
      <xdr:row>27</xdr:row>
      <xdr:rowOff>157376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4550" y="5038725"/>
          <a:ext cx="256054" cy="262151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476250</xdr:colOff>
      <xdr:row>26</xdr:row>
      <xdr:rowOff>114300</xdr:rowOff>
    </xdr:from>
    <xdr:to>
      <xdr:col>19</xdr:col>
      <xdr:colOff>122704</xdr:colOff>
      <xdr:row>27</xdr:row>
      <xdr:rowOff>185951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4850" y="5067300"/>
          <a:ext cx="256054" cy="2621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10</xdr:row>
      <xdr:rowOff>0</xdr:rowOff>
    </xdr:from>
    <xdr:to>
      <xdr:col>18</xdr:col>
      <xdr:colOff>581025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447675</xdr:colOff>
      <xdr:row>18</xdr:row>
      <xdr:rowOff>95250</xdr:rowOff>
    </xdr:from>
    <xdr:to>
      <xdr:col>11</xdr:col>
      <xdr:colOff>94129</xdr:colOff>
      <xdr:row>19</xdr:row>
      <xdr:rowOff>166901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8075" y="3524250"/>
          <a:ext cx="256054" cy="262151"/>
        </a:xfrm>
        <a:prstGeom prst="rect">
          <a:avLst/>
        </a:prstGeom>
      </xdr:spPr>
    </xdr:pic>
    <xdr:clientData/>
  </xdr:twoCellAnchor>
  <xdr:twoCellAnchor>
    <xdr:from>
      <xdr:col>13</xdr:col>
      <xdr:colOff>447675</xdr:colOff>
      <xdr:row>13</xdr:row>
      <xdr:rowOff>85725</xdr:rowOff>
    </xdr:from>
    <xdr:to>
      <xdr:col>14</xdr:col>
      <xdr:colOff>95251</xdr:colOff>
      <xdr:row>14</xdr:row>
      <xdr:rowOff>159012</xdr:rowOff>
    </xdr:to>
    <xdr:pic>
      <xdr:nvPicPr>
        <xdr:cNvPr id="4" name="Picture 3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2562225"/>
          <a:ext cx="257176" cy="263787"/>
        </a:xfrm>
        <a:prstGeom prst="rect">
          <a:avLst/>
        </a:prstGeom>
      </xdr:spPr>
    </xdr:pic>
    <xdr:clientData/>
  </xdr:twoCellAnchor>
  <xdr:twoCellAnchor>
    <xdr:from>
      <xdr:col>16</xdr:col>
      <xdr:colOff>447675</xdr:colOff>
      <xdr:row>20</xdr:row>
      <xdr:rowOff>47625</xdr:rowOff>
    </xdr:from>
    <xdr:to>
      <xdr:col>17</xdr:col>
      <xdr:colOff>95251</xdr:colOff>
      <xdr:row>21</xdr:row>
      <xdr:rowOff>120912</xdr:rowOff>
    </xdr:to>
    <xdr:pic>
      <xdr:nvPicPr>
        <xdr:cNvPr id="5" name="Picture 4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5675" y="3857625"/>
          <a:ext cx="257176" cy="263787"/>
        </a:xfrm>
        <a:prstGeom prst="rect">
          <a:avLst/>
        </a:prstGeom>
      </xdr:spPr>
    </xdr:pic>
    <xdr:clientData/>
  </xdr:twoCellAnchor>
  <xdr:twoCellAnchor>
    <xdr:from>
      <xdr:col>11</xdr:col>
      <xdr:colOff>171450</xdr:colOff>
      <xdr:row>22</xdr:row>
      <xdr:rowOff>76200</xdr:rowOff>
    </xdr:from>
    <xdr:to>
      <xdr:col>11</xdr:col>
      <xdr:colOff>428626</xdr:colOff>
      <xdr:row>23</xdr:row>
      <xdr:rowOff>149487</xdr:rowOff>
    </xdr:to>
    <xdr:pic>
      <xdr:nvPicPr>
        <xdr:cNvPr id="6" name="Picture 5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0" y="4267200"/>
          <a:ext cx="257176" cy="263787"/>
        </a:xfrm>
        <a:prstGeom prst="rect">
          <a:avLst/>
        </a:prstGeom>
      </xdr:spPr>
    </xdr:pic>
    <xdr:clientData/>
  </xdr:twoCellAnchor>
  <xdr:twoCellAnchor>
    <xdr:from>
      <xdr:col>17</xdr:col>
      <xdr:colOff>171450</xdr:colOff>
      <xdr:row>23</xdr:row>
      <xdr:rowOff>142875</xdr:rowOff>
    </xdr:from>
    <xdr:to>
      <xdr:col>17</xdr:col>
      <xdr:colOff>428626</xdr:colOff>
      <xdr:row>25</xdr:row>
      <xdr:rowOff>25662</xdr:rowOff>
    </xdr:to>
    <xdr:pic>
      <xdr:nvPicPr>
        <xdr:cNvPr id="7" name="Picture 6" descr="Asterisk Star Free Stock Photo - Public Domain Pictures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050" y="4524375"/>
          <a:ext cx="257176" cy="2637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11</xdr:row>
      <xdr:rowOff>3810</xdr:rowOff>
    </xdr:from>
    <xdr:to>
      <xdr:col>13</xdr:col>
      <xdr:colOff>312420</xdr:colOff>
      <xdr:row>25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98403-723E-7ABF-9428-72CD50025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opLeftCell="A13" workbookViewId="0">
      <selection activeCell="L17" sqref="L17"/>
    </sheetView>
  </sheetViews>
  <sheetFormatPr defaultRowHeight="14.4" x14ac:dyDescent="0.3"/>
  <cols>
    <col min="1" max="1" width="12.33203125" customWidth="1"/>
    <col min="8" max="8" width="9.88671875" customWidth="1"/>
    <col min="9" max="9" width="10" customWidth="1"/>
  </cols>
  <sheetData>
    <row r="2" spans="1:9" x14ac:dyDescent="0.3">
      <c r="A2" s="1"/>
      <c r="B2" s="34" t="s">
        <v>0</v>
      </c>
      <c r="C2" s="34"/>
      <c r="D2" s="34"/>
      <c r="E2" s="34"/>
    </row>
    <row r="3" spans="1:9" ht="15" x14ac:dyDescent="0.3">
      <c r="A3" s="2"/>
      <c r="B3" s="1" t="s">
        <v>3</v>
      </c>
      <c r="C3" s="3" t="s">
        <v>4</v>
      </c>
      <c r="D3" s="3" t="s">
        <v>5</v>
      </c>
      <c r="E3" s="3" t="s">
        <v>6</v>
      </c>
    </row>
    <row r="4" spans="1:9" x14ac:dyDescent="0.3">
      <c r="A4" s="4" t="s">
        <v>7</v>
      </c>
      <c r="B4" s="17">
        <v>1</v>
      </c>
      <c r="C4" s="14">
        <v>26.086829718147399</v>
      </c>
      <c r="D4" s="14">
        <v>4.5096997208098397</v>
      </c>
      <c r="E4" s="15">
        <v>1.2417478106875</v>
      </c>
      <c r="F4" s="35" t="s">
        <v>14</v>
      </c>
      <c r="G4" s="33"/>
    </row>
    <row r="5" spans="1:9" x14ac:dyDescent="0.3">
      <c r="A5" s="2"/>
      <c r="B5" s="17">
        <v>1</v>
      </c>
      <c r="C5" s="14">
        <v>24.403104968268298</v>
      </c>
      <c r="D5" s="14">
        <v>1.96805040583573</v>
      </c>
      <c r="E5" s="14">
        <v>2.14035014920122</v>
      </c>
      <c r="F5" s="35"/>
      <c r="G5" s="33"/>
    </row>
    <row r="6" spans="1:9" x14ac:dyDescent="0.3">
      <c r="A6" s="2"/>
      <c r="B6" s="17"/>
      <c r="C6" s="14"/>
      <c r="D6" s="14"/>
      <c r="E6" s="14"/>
      <c r="F6" s="35"/>
      <c r="G6" s="33"/>
    </row>
    <row r="7" spans="1:9" x14ac:dyDescent="0.3">
      <c r="A7" s="2"/>
      <c r="B7" s="18">
        <v>1</v>
      </c>
      <c r="C7" s="20">
        <v>16.198602961602301</v>
      </c>
      <c r="D7" s="20">
        <v>2.6853007827131101</v>
      </c>
      <c r="E7" s="20">
        <v>0.768230073493543</v>
      </c>
      <c r="F7" s="32" t="s">
        <v>12</v>
      </c>
      <c r="G7" s="32"/>
      <c r="H7" s="33" t="s">
        <v>15</v>
      </c>
      <c r="I7" s="33"/>
    </row>
    <row r="8" spans="1:9" x14ac:dyDescent="0.3">
      <c r="A8" s="2"/>
      <c r="B8" s="18">
        <v>1</v>
      </c>
      <c r="C8" s="21">
        <v>30.405197054179901</v>
      </c>
      <c r="D8" s="21">
        <v>6.3731587626515998</v>
      </c>
      <c r="E8" s="21">
        <v>1.78471264998099</v>
      </c>
      <c r="F8" s="32"/>
      <c r="G8" s="32"/>
      <c r="H8" s="33"/>
      <c r="I8" s="33"/>
    </row>
    <row r="9" spans="1:9" x14ac:dyDescent="0.3">
      <c r="A9" s="2"/>
      <c r="B9" s="18">
        <v>1</v>
      </c>
      <c r="C9" s="19">
        <v>13.804274206794499</v>
      </c>
      <c r="D9" s="19">
        <v>5.2847912419250296</v>
      </c>
      <c r="E9" s="19">
        <v>0.95345954179455605</v>
      </c>
      <c r="H9" s="33"/>
      <c r="I9" s="33"/>
    </row>
    <row r="10" spans="1:9" ht="15" customHeight="1" x14ac:dyDescent="0.3">
      <c r="A10" s="2"/>
      <c r="B10" s="18">
        <v>1</v>
      </c>
      <c r="C10" s="22">
        <v>14.9849686861113</v>
      </c>
      <c r="D10" s="22">
        <v>1.7284642777707599</v>
      </c>
      <c r="E10" s="22">
        <v>0.75410254983465497</v>
      </c>
      <c r="F10" s="32" t="s">
        <v>13</v>
      </c>
      <c r="G10" s="32"/>
      <c r="H10" s="33"/>
      <c r="I10" s="33"/>
    </row>
    <row r="11" spans="1:9" x14ac:dyDescent="0.3">
      <c r="A11" s="2"/>
      <c r="B11" s="18">
        <v>1</v>
      </c>
      <c r="C11" s="22">
        <v>10.1757874311372</v>
      </c>
      <c r="D11" s="22">
        <v>2.2949259580686898</v>
      </c>
      <c r="E11" s="22">
        <v>0.49657078173872798</v>
      </c>
      <c r="F11" s="32"/>
      <c r="G11" s="32"/>
      <c r="H11" s="33"/>
      <c r="I11" s="33"/>
    </row>
    <row r="12" spans="1:9" x14ac:dyDescent="0.3">
      <c r="A12" s="7" t="s">
        <v>8</v>
      </c>
      <c r="B12" s="10"/>
      <c r="C12" s="9"/>
      <c r="D12" s="9"/>
      <c r="E12" s="9"/>
    </row>
    <row r="13" spans="1:9" x14ac:dyDescent="0.3">
      <c r="A13" s="7" t="s">
        <v>9</v>
      </c>
      <c r="B13" s="10"/>
      <c r="C13" s="9"/>
      <c r="D13" s="9"/>
      <c r="E13" s="9"/>
    </row>
    <row r="14" spans="1:9" x14ac:dyDescent="0.3">
      <c r="A14" s="2"/>
      <c r="B14" s="18"/>
      <c r="C14" s="6"/>
      <c r="D14" s="6"/>
      <c r="E14" s="6"/>
    </row>
    <row r="15" spans="1:9" x14ac:dyDescent="0.3">
      <c r="A15" s="2"/>
      <c r="B15" s="18"/>
      <c r="C15" s="6"/>
      <c r="D15" s="6"/>
      <c r="E15" s="6"/>
    </row>
    <row r="16" spans="1:9" x14ac:dyDescent="0.3">
      <c r="A16" s="4" t="s">
        <v>10</v>
      </c>
      <c r="B16" s="17"/>
      <c r="C16" s="14"/>
      <c r="D16" s="14"/>
      <c r="E16" s="15"/>
      <c r="F16" s="35" t="s">
        <v>14</v>
      </c>
      <c r="G16" s="33"/>
    </row>
    <row r="17" spans="1:9" x14ac:dyDescent="0.3">
      <c r="A17" s="13"/>
      <c r="B17" s="17">
        <v>1</v>
      </c>
      <c r="C17" s="14">
        <v>6.0302531939764803</v>
      </c>
      <c r="D17" s="14">
        <v>1.9362869101480999</v>
      </c>
      <c r="E17" s="14">
        <v>0.118403714783284</v>
      </c>
      <c r="F17" s="35"/>
      <c r="G17" s="33"/>
    </row>
    <row r="18" spans="1:9" x14ac:dyDescent="0.3">
      <c r="A18" s="13"/>
      <c r="B18" s="17">
        <v>1</v>
      </c>
      <c r="C18" s="14">
        <v>0.80482180996964303</v>
      </c>
      <c r="D18" s="14">
        <v>0.19255847643173299</v>
      </c>
      <c r="E18" s="14">
        <v>0.40848253073691898</v>
      </c>
      <c r="F18" s="35"/>
      <c r="G18" s="33"/>
    </row>
    <row r="19" spans="1:9" ht="15" customHeight="1" x14ac:dyDescent="0.3">
      <c r="A19" s="13"/>
      <c r="B19" s="18">
        <v>1</v>
      </c>
      <c r="C19" s="20">
        <v>32.912675470318803</v>
      </c>
      <c r="D19" s="20">
        <v>4.4718052589171</v>
      </c>
      <c r="E19" s="20">
        <v>0.89923207272704697</v>
      </c>
      <c r="F19" s="32" t="s">
        <v>12</v>
      </c>
      <c r="G19" s="32"/>
      <c r="H19" s="33" t="s">
        <v>15</v>
      </c>
      <c r="I19" s="33"/>
    </row>
    <row r="20" spans="1:9" x14ac:dyDescent="0.3">
      <c r="A20" s="13"/>
      <c r="B20" s="18">
        <v>1</v>
      </c>
      <c r="C20" s="21">
        <v>123.492569188587</v>
      </c>
      <c r="D20" s="21">
        <v>14.2205155584571</v>
      </c>
      <c r="E20" s="21">
        <v>1.7010517792004001</v>
      </c>
      <c r="F20" s="32"/>
      <c r="G20" s="32"/>
      <c r="H20" s="33"/>
      <c r="I20" s="33"/>
    </row>
    <row r="21" spans="1:9" x14ac:dyDescent="0.3">
      <c r="A21" s="2"/>
      <c r="B21" s="18">
        <v>1</v>
      </c>
      <c r="C21" s="19">
        <v>87.623035350054494</v>
      </c>
      <c r="D21" s="19">
        <v>22.450701503780099</v>
      </c>
      <c r="E21" s="19">
        <v>3.5561763249140301</v>
      </c>
      <c r="H21" s="33"/>
      <c r="I21" s="33"/>
    </row>
    <row r="22" spans="1:9" ht="15" customHeight="1" x14ac:dyDescent="0.3">
      <c r="A22" s="2"/>
      <c r="B22" s="18">
        <v>1</v>
      </c>
      <c r="C22" s="22">
        <v>46.637547346987297</v>
      </c>
      <c r="D22" s="22">
        <v>2.2457681527840401</v>
      </c>
      <c r="E22" s="22"/>
      <c r="F22" s="32" t="s">
        <v>13</v>
      </c>
      <c r="G22" s="32"/>
      <c r="H22" s="33"/>
      <c r="I22" s="33"/>
    </row>
    <row r="23" spans="1:9" x14ac:dyDescent="0.3">
      <c r="A23" s="2"/>
      <c r="B23" s="18">
        <v>1</v>
      </c>
      <c r="C23" s="22">
        <v>49.7214602486019</v>
      </c>
      <c r="D23" s="22">
        <v>3.2241132470002598</v>
      </c>
      <c r="E23" s="22">
        <v>0.73459272756027805</v>
      </c>
      <c r="F23" s="32"/>
      <c r="G23" s="32"/>
      <c r="H23" s="33"/>
      <c r="I23" s="33"/>
    </row>
    <row r="24" spans="1:9" x14ac:dyDescent="0.3">
      <c r="A24" s="7" t="s">
        <v>8</v>
      </c>
      <c r="B24" s="10"/>
      <c r="C24" s="9"/>
      <c r="D24" s="9"/>
      <c r="E24" s="9"/>
    </row>
    <row r="25" spans="1:9" x14ac:dyDescent="0.3">
      <c r="A25" s="7" t="s">
        <v>9</v>
      </c>
      <c r="B25" s="10"/>
      <c r="C25" s="9"/>
      <c r="D25" s="9"/>
      <c r="E25" s="9"/>
    </row>
    <row r="26" spans="1:9" x14ac:dyDescent="0.3">
      <c r="A26" s="2"/>
      <c r="B26" s="18"/>
      <c r="C26" s="6"/>
      <c r="D26" s="6"/>
      <c r="E26" s="6"/>
    </row>
    <row r="27" spans="1:9" x14ac:dyDescent="0.3">
      <c r="A27" s="2"/>
      <c r="B27" s="18"/>
      <c r="C27" s="6"/>
      <c r="D27" s="6"/>
      <c r="E27" s="6"/>
    </row>
    <row r="28" spans="1:9" x14ac:dyDescent="0.3">
      <c r="A28" s="4" t="s">
        <v>11</v>
      </c>
      <c r="B28" s="17">
        <v>1</v>
      </c>
      <c r="C28" s="14">
        <v>24.741004254149001</v>
      </c>
      <c r="D28" s="14">
        <v>0.61829770971564801</v>
      </c>
      <c r="E28" s="15">
        <v>0.45130585286632702</v>
      </c>
      <c r="F28" s="35" t="s">
        <v>14</v>
      </c>
      <c r="G28" s="33"/>
    </row>
    <row r="29" spans="1:9" x14ac:dyDescent="0.3">
      <c r="A29" s="2"/>
      <c r="B29" s="17">
        <v>1</v>
      </c>
      <c r="C29" s="14">
        <v>17.659083239892102</v>
      </c>
      <c r="D29" s="14">
        <v>1.0328539793681399</v>
      </c>
      <c r="E29" s="14">
        <v>1.29608007329772</v>
      </c>
      <c r="F29" s="35"/>
      <c r="G29" s="33"/>
    </row>
    <row r="30" spans="1:9" x14ac:dyDescent="0.3">
      <c r="A30" s="2"/>
      <c r="B30" s="17">
        <v>1</v>
      </c>
      <c r="C30" s="14">
        <v>25.546400260850199</v>
      </c>
      <c r="D30" s="14">
        <v>1.9672413934785</v>
      </c>
      <c r="E30" s="14">
        <v>1.1982394383031501</v>
      </c>
      <c r="F30" s="35"/>
      <c r="G30" s="33"/>
    </row>
    <row r="31" spans="1:9" x14ac:dyDescent="0.3">
      <c r="A31" s="2"/>
      <c r="B31" s="18">
        <v>1</v>
      </c>
      <c r="C31" s="20">
        <v>48.864362006586802</v>
      </c>
      <c r="D31" s="20">
        <v>3.3244154026341501</v>
      </c>
      <c r="E31" s="20">
        <v>2.5482771356981599</v>
      </c>
      <c r="F31" s="32" t="s">
        <v>12</v>
      </c>
      <c r="G31" s="32"/>
      <c r="H31" s="33" t="s">
        <v>15</v>
      </c>
      <c r="I31" s="33"/>
    </row>
    <row r="32" spans="1:9" x14ac:dyDescent="0.3">
      <c r="A32" s="2"/>
      <c r="B32" s="18">
        <v>1</v>
      </c>
      <c r="C32" s="21">
        <v>95.619504296393401</v>
      </c>
      <c r="D32" s="21">
        <v>7.4032731566187699</v>
      </c>
      <c r="E32" s="21">
        <v>4.6341613948101701</v>
      </c>
      <c r="F32" s="32"/>
      <c r="G32" s="32"/>
      <c r="H32" s="33"/>
      <c r="I32" s="33"/>
    </row>
    <row r="33" spans="1:9" x14ac:dyDescent="0.3">
      <c r="A33" s="2"/>
      <c r="B33" s="18">
        <v>1</v>
      </c>
      <c r="C33" s="19">
        <v>14.843353960678201</v>
      </c>
      <c r="D33" s="19">
        <v>2.6246176118321101</v>
      </c>
      <c r="E33" s="19">
        <v>1.65657427183926</v>
      </c>
      <c r="H33" s="33"/>
      <c r="I33" s="33"/>
    </row>
    <row r="34" spans="1:9" x14ac:dyDescent="0.3">
      <c r="A34" s="2"/>
      <c r="B34" s="18">
        <v>1</v>
      </c>
      <c r="C34" s="22">
        <v>93.221941458539305</v>
      </c>
      <c r="D34" s="22">
        <v>3.4916852216096101</v>
      </c>
      <c r="E34" s="22">
        <v>1.9330998034365099</v>
      </c>
      <c r="F34" s="32" t="s">
        <v>13</v>
      </c>
      <c r="G34" s="32"/>
      <c r="H34" s="33"/>
      <c r="I34" s="33"/>
    </row>
    <row r="35" spans="1:9" x14ac:dyDescent="0.3">
      <c r="A35" s="2"/>
      <c r="B35" s="18">
        <v>1</v>
      </c>
      <c r="C35" s="22">
        <v>70.7341918064634</v>
      </c>
      <c r="D35" s="22">
        <v>3.4840629764618898</v>
      </c>
      <c r="E35" s="22">
        <v>0.994818515081486</v>
      </c>
      <c r="F35" s="32"/>
      <c r="G35" s="32"/>
      <c r="H35" s="33"/>
      <c r="I35" s="33"/>
    </row>
    <row r="36" spans="1:9" x14ac:dyDescent="0.3">
      <c r="A36" s="11" t="s">
        <v>8</v>
      </c>
      <c r="B36" s="8"/>
      <c r="C36" s="12"/>
      <c r="D36" s="12"/>
      <c r="E36" s="12"/>
    </row>
    <row r="37" spans="1:9" x14ac:dyDescent="0.3">
      <c r="A37" s="11" t="s">
        <v>9</v>
      </c>
      <c r="B37" s="11"/>
      <c r="C37" s="12"/>
      <c r="D37" s="12"/>
      <c r="E37" s="12"/>
    </row>
  </sheetData>
  <mergeCells count="13">
    <mergeCell ref="F31:G32"/>
    <mergeCell ref="H31:I35"/>
    <mergeCell ref="F34:G35"/>
    <mergeCell ref="B2:E2"/>
    <mergeCell ref="F7:G8"/>
    <mergeCell ref="F10:G11"/>
    <mergeCell ref="F4:G6"/>
    <mergeCell ref="F16:G18"/>
    <mergeCell ref="F28:G30"/>
    <mergeCell ref="H7:I11"/>
    <mergeCell ref="F19:G20"/>
    <mergeCell ref="H19:I23"/>
    <mergeCell ref="F22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7"/>
  <sheetViews>
    <sheetView workbookViewId="0">
      <selection activeCell="I6" sqref="I6"/>
    </sheetView>
  </sheetViews>
  <sheetFormatPr defaultRowHeight="14.4" x14ac:dyDescent="0.3"/>
  <cols>
    <col min="1" max="1" width="12.109375" customWidth="1"/>
    <col min="4" max="4" width="10.5546875" customWidth="1"/>
    <col min="6" max="6" width="10.5546875" customWidth="1"/>
    <col min="8" max="8" width="10.44140625" customWidth="1"/>
    <col min="10" max="10" width="9.5546875" customWidth="1"/>
    <col min="11" max="11" width="11.33203125" customWidth="1"/>
  </cols>
  <sheetData>
    <row r="2" spans="1:15" ht="15" x14ac:dyDescent="0.3">
      <c r="A2" s="1"/>
      <c r="B2" s="34" t="s">
        <v>0</v>
      </c>
      <c r="C2" s="34"/>
      <c r="D2" s="34"/>
      <c r="E2" s="34"/>
      <c r="F2" s="34"/>
      <c r="G2" s="34"/>
      <c r="J2" s="13"/>
      <c r="K2" s="2"/>
      <c r="L2" s="1" t="s">
        <v>3</v>
      </c>
      <c r="M2" s="3" t="s">
        <v>4</v>
      </c>
      <c r="N2" s="3" t="s">
        <v>5</v>
      </c>
      <c r="O2" s="3" t="s">
        <v>6</v>
      </c>
    </row>
    <row r="3" spans="1:15" ht="15" x14ac:dyDescent="0.3">
      <c r="A3" s="2"/>
      <c r="B3" s="1" t="s">
        <v>3</v>
      </c>
      <c r="C3" s="3" t="s">
        <v>4</v>
      </c>
      <c r="D3" s="3"/>
      <c r="E3" s="3" t="s">
        <v>5</v>
      </c>
      <c r="F3" s="3"/>
      <c r="G3" s="3" t="s">
        <v>6</v>
      </c>
      <c r="J3" s="13"/>
      <c r="K3" s="4" t="s">
        <v>43</v>
      </c>
      <c r="L3" s="18">
        <v>1</v>
      </c>
      <c r="M3" s="6">
        <v>13.3928881998447</v>
      </c>
      <c r="N3" s="6">
        <v>3.4216726609022765</v>
      </c>
      <c r="O3" s="6">
        <v>0.73942013234227577</v>
      </c>
    </row>
    <row r="4" spans="1:15" x14ac:dyDescent="0.3">
      <c r="A4" s="4" t="s">
        <v>7</v>
      </c>
      <c r="B4" s="29">
        <v>1</v>
      </c>
      <c r="C4" s="30">
        <v>16.198602961602301</v>
      </c>
      <c r="D4" s="36" t="s">
        <v>34</v>
      </c>
      <c r="E4" s="30">
        <v>2.6853007827131101</v>
      </c>
      <c r="F4" s="36" t="s">
        <v>37</v>
      </c>
      <c r="G4" s="30">
        <v>0.768230073493543</v>
      </c>
      <c r="H4" s="36" t="s">
        <v>40</v>
      </c>
      <c r="J4" s="13"/>
      <c r="K4" s="2"/>
      <c r="L4" s="18">
        <v>0</v>
      </c>
      <c r="M4" s="19">
        <v>2.4759517447557386</v>
      </c>
      <c r="N4" s="19">
        <v>1.3270283245264494</v>
      </c>
      <c r="O4" s="19">
        <v>0.1876332314173807</v>
      </c>
    </row>
    <row r="5" spans="1:15" x14ac:dyDescent="0.3">
      <c r="A5" s="2"/>
      <c r="B5" s="29">
        <v>1</v>
      </c>
      <c r="C5" s="31">
        <v>13.804274206794499</v>
      </c>
      <c r="D5" s="36"/>
      <c r="E5" s="31">
        <v>5.2847912419250296</v>
      </c>
      <c r="F5" s="36"/>
      <c r="G5" s="31">
        <v>0.95345954179455605</v>
      </c>
      <c r="H5" s="36"/>
      <c r="J5" s="13"/>
      <c r="K5" s="4" t="s">
        <v>44</v>
      </c>
      <c r="L5" s="25">
        <v>1</v>
      </c>
      <c r="M5" s="24">
        <v>56.752390356325066</v>
      </c>
      <c r="N5" s="24">
        <v>10.048873336565821</v>
      </c>
      <c r="O5" s="19">
        <v>1.7300003750671182</v>
      </c>
    </row>
    <row r="6" spans="1:15" x14ac:dyDescent="0.3">
      <c r="A6" s="2"/>
      <c r="B6" s="29">
        <v>1</v>
      </c>
      <c r="C6" s="31">
        <v>10.1757874311372</v>
      </c>
      <c r="D6" s="36"/>
      <c r="E6" s="31">
        <v>2.2949259580686898</v>
      </c>
      <c r="F6" s="36"/>
      <c r="G6" s="31">
        <v>0.49657078173872798</v>
      </c>
      <c r="H6" s="36"/>
      <c r="J6" s="13"/>
      <c r="K6" s="13"/>
      <c r="L6" s="25">
        <v>0</v>
      </c>
      <c r="M6" s="24">
        <v>22.882035940555561</v>
      </c>
      <c r="N6" s="24">
        <v>8.784197563654951</v>
      </c>
      <c r="O6" s="19">
        <v>1.2930494907630021</v>
      </c>
    </row>
    <row r="7" spans="1:15" x14ac:dyDescent="0.3">
      <c r="A7" s="7" t="s">
        <v>8</v>
      </c>
      <c r="B7" s="10">
        <f>AVERAGE(B4:B6)</f>
        <v>1</v>
      </c>
      <c r="C7" s="9">
        <f t="shared" ref="C7:G7" si="0">AVERAGE(C4:C6)</f>
        <v>13.392888199844668</v>
      </c>
      <c r="D7" s="19"/>
      <c r="E7" s="9">
        <f t="shared" si="0"/>
        <v>3.4216726609022765</v>
      </c>
      <c r="F7" s="19"/>
      <c r="G7" s="9">
        <f t="shared" si="0"/>
        <v>0.73942013234227577</v>
      </c>
      <c r="J7" s="13"/>
      <c r="K7" s="4" t="s">
        <v>45</v>
      </c>
      <c r="L7" s="25">
        <v>1</v>
      </c>
      <c r="M7" s="24">
        <v>44.81396925790947</v>
      </c>
      <c r="N7" s="24">
        <v>3.1443653303093835</v>
      </c>
      <c r="O7" s="19">
        <v>1.7332233075396355</v>
      </c>
    </row>
    <row r="8" spans="1:15" x14ac:dyDescent="0.3">
      <c r="A8" s="7" t="s">
        <v>9</v>
      </c>
      <c r="B8" s="10">
        <f>_xlfn.STDEV.P(B4:B6)</f>
        <v>0</v>
      </c>
      <c r="C8" s="9">
        <f t="shared" ref="C8:G8" si="1">_xlfn.STDEV.P(C4:C6)</f>
        <v>2.4759517447557386</v>
      </c>
      <c r="D8" s="19"/>
      <c r="E8" s="9">
        <f t="shared" si="1"/>
        <v>1.3270283245264494</v>
      </c>
      <c r="F8" s="19"/>
      <c r="G8" s="9">
        <f t="shared" si="1"/>
        <v>0.1876332314173807</v>
      </c>
      <c r="J8" s="13"/>
      <c r="K8" s="13"/>
      <c r="L8" s="25">
        <v>0</v>
      </c>
      <c r="M8" s="24">
        <v>22.996386670371592</v>
      </c>
      <c r="N8" s="24">
        <v>0.37325157298531608</v>
      </c>
      <c r="O8" s="19">
        <v>0.6365085637011817</v>
      </c>
    </row>
    <row r="9" spans="1:15" x14ac:dyDescent="0.3">
      <c r="A9" s="2"/>
      <c r="B9" s="18"/>
      <c r="C9" s="6"/>
      <c r="D9" s="19"/>
      <c r="E9" s="6"/>
      <c r="F9" s="19"/>
      <c r="G9" s="6"/>
      <c r="J9" s="13"/>
      <c r="K9" s="13"/>
      <c r="L9" s="13"/>
      <c r="M9" s="13"/>
      <c r="N9" s="13"/>
    </row>
    <row r="10" spans="1:15" x14ac:dyDescent="0.3">
      <c r="A10" s="2"/>
      <c r="B10" s="18"/>
      <c r="C10" s="6"/>
      <c r="D10" s="19"/>
      <c r="E10" s="6"/>
      <c r="F10" s="19"/>
      <c r="G10" s="6"/>
      <c r="J10" s="13"/>
      <c r="K10" s="13"/>
      <c r="L10" s="13"/>
      <c r="M10" s="13"/>
      <c r="N10" s="13"/>
    </row>
    <row r="11" spans="1:15" x14ac:dyDescent="0.3">
      <c r="A11" s="4" t="s">
        <v>10</v>
      </c>
      <c r="B11" s="18">
        <v>1</v>
      </c>
      <c r="C11" s="6">
        <v>32.912675470318803</v>
      </c>
      <c r="D11" s="36" t="s">
        <v>35</v>
      </c>
      <c r="E11" s="6">
        <v>4.4718052589171</v>
      </c>
      <c r="F11" s="36" t="s">
        <v>38</v>
      </c>
      <c r="G11" s="6">
        <v>0.89923207272704697</v>
      </c>
      <c r="H11" s="36" t="s">
        <v>41</v>
      </c>
      <c r="J11" s="13"/>
      <c r="K11" s="13"/>
      <c r="L11" s="13"/>
      <c r="M11" s="13"/>
      <c r="N11" s="13"/>
    </row>
    <row r="12" spans="1:15" x14ac:dyDescent="0.3">
      <c r="A12" s="13"/>
      <c r="B12" s="18">
        <v>1</v>
      </c>
      <c r="C12" s="19">
        <v>87.623035350054494</v>
      </c>
      <c r="D12" s="36"/>
      <c r="E12" s="19">
        <v>22.450701503780099</v>
      </c>
      <c r="F12" s="36"/>
      <c r="G12" s="19">
        <v>3.5561763249140301</v>
      </c>
      <c r="H12" s="36"/>
      <c r="J12" s="13"/>
      <c r="K12" s="13"/>
      <c r="L12" s="13"/>
      <c r="M12" s="13"/>
      <c r="N12" s="13"/>
    </row>
    <row r="13" spans="1:15" x14ac:dyDescent="0.3">
      <c r="A13" s="13"/>
      <c r="B13" s="18">
        <v>1</v>
      </c>
      <c r="C13" s="19">
        <v>49.7214602486019</v>
      </c>
      <c r="D13" s="36"/>
      <c r="E13" s="19">
        <v>3.2241132470002598</v>
      </c>
      <c r="F13" s="36"/>
      <c r="G13" s="19">
        <v>0.73459272756027805</v>
      </c>
      <c r="H13" s="36"/>
      <c r="J13" s="13"/>
      <c r="K13" s="13"/>
      <c r="L13" s="13"/>
      <c r="M13" s="13"/>
      <c r="N13" s="13"/>
    </row>
    <row r="14" spans="1:15" x14ac:dyDescent="0.3">
      <c r="A14" s="7" t="s">
        <v>8</v>
      </c>
      <c r="B14" s="10">
        <f>AVERAGE(B11:B13)</f>
        <v>1</v>
      </c>
      <c r="C14" s="9">
        <f t="shared" ref="C14:G14" si="2">AVERAGE(C11:C13)</f>
        <v>56.752390356325066</v>
      </c>
      <c r="D14" s="19"/>
      <c r="E14" s="9">
        <f t="shared" si="2"/>
        <v>10.048873336565821</v>
      </c>
      <c r="F14" s="19"/>
      <c r="G14" s="9">
        <f t="shared" si="2"/>
        <v>1.7300003750671182</v>
      </c>
      <c r="J14" s="13"/>
      <c r="K14" s="13"/>
      <c r="L14" s="13"/>
      <c r="M14" s="13"/>
      <c r="N14" s="13"/>
    </row>
    <row r="15" spans="1:15" x14ac:dyDescent="0.3">
      <c r="A15" s="7" t="s">
        <v>9</v>
      </c>
      <c r="B15" s="10">
        <f>_xlfn.STDEV.P(B11:B13)</f>
        <v>0</v>
      </c>
      <c r="C15" s="9">
        <f t="shared" ref="C15:G15" si="3">_xlfn.STDEV.P(C11:C13)</f>
        <v>22.882035940555561</v>
      </c>
      <c r="D15" s="19"/>
      <c r="E15" s="9">
        <f t="shared" si="3"/>
        <v>8.784197563654951</v>
      </c>
      <c r="F15" s="19"/>
      <c r="G15" s="9">
        <f t="shared" si="3"/>
        <v>1.2930494907630021</v>
      </c>
      <c r="J15" s="13"/>
      <c r="K15" s="13"/>
      <c r="L15" s="13"/>
      <c r="M15" s="13"/>
      <c r="N15" s="13"/>
    </row>
    <row r="16" spans="1:15" x14ac:dyDescent="0.3">
      <c r="A16" s="2"/>
      <c r="B16" s="18"/>
      <c r="C16" s="6"/>
      <c r="D16" s="19"/>
      <c r="E16" s="6"/>
      <c r="F16" s="19"/>
      <c r="G16" s="6"/>
      <c r="J16" s="13"/>
      <c r="K16" s="13"/>
      <c r="L16" s="13"/>
      <c r="M16" s="13"/>
      <c r="N16" s="13"/>
    </row>
    <row r="17" spans="1:14" x14ac:dyDescent="0.3">
      <c r="A17" s="2"/>
      <c r="B17" s="18"/>
      <c r="C17" s="6"/>
      <c r="D17" s="19"/>
      <c r="E17" s="6"/>
      <c r="F17" s="19"/>
      <c r="G17" s="6"/>
      <c r="J17" s="13"/>
      <c r="K17" s="13"/>
      <c r="L17" s="13"/>
      <c r="M17" s="13"/>
      <c r="N17" s="13"/>
    </row>
    <row r="18" spans="1:14" x14ac:dyDescent="0.3">
      <c r="A18" s="4" t="s">
        <v>11</v>
      </c>
      <c r="B18" s="18">
        <v>1</v>
      </c>
      <c r="C18" s="6">
        <v>48.864362006586802</v>
      </c>
      <c r="D18" s="36" t="s">
        <v>36</v>
      </c>
      <c r="E18" s="6">
        <v>3.3244154026341501</v>
      </c>
      <c r="F18" s="36" t="s">
        <v>39</v>
      </c>
      <c r="G18" s="6">
        <v>2.5482771356981599</v>
      </c>
      <c r="H18" s="36" t="s">
        <v>42</v>
      </c>
      <c r="J18" s="13"/>
      <c r="K18" s="13"/>
      <c r="L18" s="13"/>
      <c r="M18" s="13"/>
      <c r="N18" s="13"/>
    </row>
    <row r="19" spans="1:14" x14ac:dyDescent="0.3">
      <c r="A19" s="2"/>
      <c r="B19" s="18">
        <v>1</v>
      </c>
      <c r="C19" s="19">
        <v>14.843353960678201</v>
      </c>
      <c r="D19" s="36"/>
      <c r="E19" s="19">
        <v>2.6246176118321101</v>
      </c>
      <c r="F19" s="36"/>
      <c r="G19" s="19">
        <v>1.65657427183926</v>
      </c>
      <c r="H19" s="36"/>
      <c r="J19" s="13"/>
      <c r="K19" s="13"/>
      <c r="L19" s="13"/>
      <c r="M19" s="13"/>
      <c r="N19" s="13"/>
    </row>
    <row r="20" spans="1:14" x14ac:dyDescent="0.3">
      <c r="A20" s="2"/>
      <c r="B20" s="18">
        <v>1</v>
      </c>
      <c r="C20" s="19">
        <v>70.7341918064634</v>
      </c>
      <c r="D20" s="36"/>
      <c r="E20" s="19">
        <v>3.4840629764618898</v>
      </c>
      <c r="F20" s="36"/>
      <c r="G20" s="19">
        <v>0.994818515081486</v>
      </c>
      <c r="H20" s="36"/>
      <c r="J20" s="13"/>
      <c r="K20" s="13"/>
      <c r="L20" s="13"/>
      <c r="M20" s="13"/>
      <c r="N20" s="13"/>
    </row>
    <row r="21" spans="1:14" x14ac:dyDescent="0.3">
      <c r="A21" s="11" t="s">
        <v>8</v>
      </c>
      <c r="B21" s="10">
        <f>AVERAGE(B18:B20)</f>
        <v>1</v>
      </c>
      <c r="C21" s="9">
        <f t="shared" ref="C21:G21" si="4">AVERAGE(C18:C20)</f>
        <v>44.81396925790947</v>
      </c>
      <c r="D21" s="19"/>
      <c r="E21" s="9">
        <f t="shared" si="4"/>
        <v>3.1443653303093835</v>
      </c>
      <c r="F21" s="19"/>
      <c r="G21" s="9">
        <f t="shared" si="4"/>
        <v>1.7332233075396355</v>
      </c>
      <c r="J21" s="13"/>
      <c r="K21" s="13"/>
      <c r="L21" s="13"/>
      <c r="M21" s="13"/>
      <c r="N21" s="13"/>
    </row>
    <row r="22" spans="1:14" x14ac:dyDescent="0.3">
      <c r="A22" s="11" t="s">
        <v>9</v>
      </c>
      <c r="B22" s="11">
        <f>_xlfn.STDEV.P(B18:B20)</f>
        <v>0</v>
      </c>
      <c r="C22" s="12">
        <f t="shared" ref="C22:G22" si="5">_xlfn.STDEV.P(C18:C20)</f>
        <v>22.996386670371592</v>
      </c>
      <c r="D22" s="19"/>
      <c r="E22" s="12">
        <f t="shared" si="5"/>
        <v>0.37325157298531608</v>
      </c>
      <c r="F22" s="19"/>
      <c r="G22" s="12">
        <f t="shared" si="5"/>
        <v>0.6365085637011817</v>
      </c>
      <c r="J22" s="13"/>
      <c r="K22" s="13"/>
      <c r="L22" s="13"/>
      <c r="M22" s="13"/>
      <c r="N22" s="13"/>
    </row>
    <row r="23" spans="1:14" x14ac:dyDescent="0.3">
      <c r="A23" s="2"/>
      <c r="D23" s="19"/>
      <c r="F23" s="19"/>
      <c r="J23" s="13"/>
      <c r="K23" s="13"/>
      <c r="L23" s="13"/>
      <c r="M23" s="13"/>
      <c r="N23" s="13"/>
    </row>
    <row r="24" spans="1:14" x14ac:dyDescent="0.3">
      <c r="D24" s="19"/>
      <c r="J24" s="13"/>
      <c r="K24" s="13"/>
      <c r="L24" s="13"/>
      <c r="M24" s="13"/>
      <c r="N24" s="13"/>
    </row>
    <row r="25" spans="1:14" x14ac:dyDescent="0.3">
      <c r="J25" s="13"/>
      <c r="K25" s="13"/>
      <c r="L25" s="13"/>
      <c r="M25" s="13"/>
      <c r="N25" s="13"/>
    </row>
    <row r="26" spans="1:14" x14ac:dyDescent="0.3">
      <c r="J26" s="13"/>
      <c r="K26" s="13"/>
      <c r="L26" s="13"/>
      <c r="M26" s="13"/>
      <c r="N26" s="13"/>
    </row>
    <row r="27" spans="1:14" x14ac:dyDescent="0.3">
      <c r="J27" s="13"/>
      <c r="K27" s="13"/>
      <c r="L27" s="13"/>
      <c r="M27" s="13"/>
      <c r="N27" s="13"/>
    </row>
    <row r="28" spans="1:14" x14ac:dyDescent="0.3">
      <c r="J28" s="13"/>
      <c r="K28" s="13"/>
      <c r="L28" s="13"/>
      <c r="M28" s="13"/>
      <c r="N28" s="13"/>
    </row>
    <row r="29" spans="1:14" x14ac:dyDescent="0.3">
      <c r="J29" s="13"/>
      <c r="K29" s="13"/>
      <c r="L29" s="13"/>
      <c r="M29" s="13"/>
      <c r="N29" s="13"/>
    </row>
    <row r="30" spans="1:14" x14ac:dyDescent="0.3">
      <c r="J30" s="13"/>
      <c r="K30" s="13"/>
      <c r="L30" s="13"/>
      <c r="M30" s="13"/>
      <c r="N30" s="13"/>
    </row>
    <row r="31" spans="1:14" x14ac:dyDescent="0.3">
      <c r="J31" s="13"/>
      <c r="K31" s="13"/>
      <c r="L31" s="13"/>
      <c r="M31" s="13"/>
      <c r="N31" s="13"/>
    </row>
    <row r="32" spans="1:14" x14ac:dyDescent="0.3">
      <c r="J32" s="13"/>
      <c r="K32" s="13"/>
      <c r="L32" s="13"/>
      <c r="M32" s="13"/>
      <c r="N32" s="13"/>
    </row>
    <row r="33" spans="10:14" x14ac:dyDescent="0.3">
      <c r="J33" s="13"/>
      <c r="K33" s="13"/>
      <c r="L33" s="13"/>
      <c r="M33" s="13"/>
      <c r="N33" s="13"/>
    </row>
    <row r="34" spans="10:14" x14ac:dyDescent="0.3">
      <c r="J34" s="13"/>
      <c r="K34" s="13"/>
      <c r="L34" s="13"/>
      <c r="M34" s="13"/>
      <c r="N34" s="13"/>
    </row>
    <row r="35" spans="10:14" x14ac:dyDescent="0.3">
      <c r="J35" s="13"/>
      <c r="K35" s="13"/>
      <c r="L35" s="13"/>
      <c r="M35" s="13"/>
      <c r="N35" s="13"/>
    </row>
    <row r="36" spans="10:14" x14ac:dyDescent="0.3">
      <c r="J36" s="13"/>
      <c r="K36" s="13"/>
      <c r="L36" s="13"/>
      <c r="M36" s="13"/>
      <c r="N36" s="13"/>
    </row>
    <row r="37" spans="10:14" x14ac:dyDescent="0.3">
      <c r="J37" s="13"/>
      <c r="K37" s="13"/>
      <c r="L37" s="13"/>
      <c r="M37" s="13"/>
      <c r="N37" s="13"/>
    </row>
  </sheetData>
  <mergeCells count="10">
    <mergeCell ref="H4:H6"/>
    <mergeCell ref="H11:H13"/>
    <mergeCell ref="H18:H20"/>
    <mergeCell ref="B2:G2"/>
    <mergeCell ref="D4:D6"/>
    <mergeCell ref="D11:D13"/>
    <mergeCell ref="D18:D20"/>
    <mergeCell ref="F4:F6"/>
    <mergeCell ref="F11:F13"/>
    <mergeCell ref="F18:F2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1"/>
  <sheetViews>
    <sheetView workbookViewId="0">
      <selection activeCell="F4" sqref="F4:G6"/>
    </sheetView>
  </sheetViews>
  <sheetFormatPr defaultRowHeight="14.4" x14ac:dyDescent="0.3"/>
  <cols>
    <col min="1" max="1" width="12.6640625" customWidth="1"/>
    <col min="3" max="5" width="9.5546875" bestFit="1" customWidth="1"/>
  </cols>
  <sheetData>
    <row r="2" spans="1:7" x14ac:dyDescent="0.3">
      <c r="A2" s="1"/>
      <c r="B2" s="37" t="s">
        <v>1</v>
      </c>
      <c r="C2" s="37"/>
      <c r="D2" s="37"/>
      <c r="E2" s="37"/>
    </row>
    <row r="3" spans="1:7" ht="15" x14ac:dyDescent="0.3">
      <c r="A3" s="2"/>
      <c r="B3" s="1" t="s">
        <v>3</v>
      </c>
      <c r="C3" s="1" t="s">
        <v>4</v>
      </c>
      <c r="D3" s="1" t="s">
        <v>5</v>
      </c>
      <c r="E3" s="3" t="s">
        <v>6</v>
      </c>
    </row>
    <row r="4" spans="1:7" x14ac:dyDescent="0.3">
      <c r="A4" s="4" t="s">
        <v>7</v>
      </c>
      <c r="B4" s="17">
        <v>1</v>
      </c>
      <c r="C4" s="14">
        <v>8.3704321467260296</v>
      </c>
      <c r="D4" s="14">
        <v>2.2415362762346702</v>
      </c>
      <c r="E4" s="14">
        <v>0.66870854405337199</v>
      </c>
      <c r="F4" s="35" t="s">
        <v>14</v>
      </c>
      <c r="G4" s="33"/>
    </row>
    <row r="5" spans="1:7" x14ac:dyDescent="0.3">
      <c r="A5" s="2"/>
      <c r="B5" s="17">
        <v>1</v>
      </c>
      <c r="C5" s="14">
        <v>9.4604135301175702</v>
      </c>
      <c r="D5" s="14">
        <v>1.36756044374104</v>
      </c>
      <c r="E5" s="14">
        <v>1.0254453091292599</v>
      </c>
      <c r="F5" s="35"/>
      <c r="G5" s="33"/>
    </row>
    <row r="6" spans="1:7" x14ac:dyDescent="0.3">
      <c r="A6" s="2"/>
      <c r="B6" s="17">
        <v>1</v>
      </c>
      <c r="C6" s="14">
        <v>7.46197304183897</v>
      </c>
      <c r="D6" s="14">
        <v>2.29783319007861</v>
      </c>
      <c r="E6" s="14">
        <v>0.72048906418630698</v>
      </c>
      <c r="F6" s="35"/>
      <c r="G6" s="33"/>
    </row>
    <row r="7" spans="1:7" x14ac:dyDescent="0.3">
      <c r="A7" s="2"/>
      <c r="B7" s="18">
        <v>1</v>
      </c>
      <c r="C7" s="6">
        <v>4.9050852792114696</v>
      </c>
      <c r="D7" s="6">
        <v>2.0399913580878599</v>
      </c>
      <c r="E7" s="6">
        <v>1.01582147398281</v>
      </c>
      <c r="F7" s="33" t="s">
        <v>15</v>
      </c>
      <c r="G7" s="33"/>
    </row>
    <row r="8" spans="1:7" x14ac:dyDescent="0.3">
      <c r="A8" s="2"/>
      <c r="B8" s="18">
        <v>1</v>
      </c>
      <c r="C8" s="6">
        <v>3.27066381576154</v>
      </c>
      <c r="D8" s="6">
        <v>2.3162714657693901</v>
      </c>
      <c r="E8" s="6">
        <v>1.2010572282274701</v>
      </c>
      <c r="F8" s="33"/>
      <c r="G8" s="33"/>
    </row>
    <row r="9" spans="1:7" x14ac:dyDescent="0.3">
      <c r="A9" s="2"/>
      <c r="B9" s="18">
        <v>1</v>
      </c>
      <c r="C9" s="6">
        <v>3.0340180410320898</v>
      </c>
      <c r="D9" s="6">
        <v>1.29075916796628</v>
      </c>
      <c r="E9" s="6">
        <v>0.85764657453567605</v>
      </c>
      <c r="F9" s="33"/>
      <c r="G9" s="33"/>
    </row>
    <row r="10" spans="1:7" x14ac:dyDescent="0.3">
      <c r="A10" s="7" t="s">
        <v>8</v>
      </c>
      <c r="B10" s="10"/>
      <c r="C10" s="9"/>
      <c r="D10" s="9"/>
      <c r="E10" s="9"/>
    </row>
    <row r="11" spans="1:7" x14ac:dyDescent="0.3">
      <c r="A11" s="7" t="s">
        <v>9</v>
      </c>
      <c r="B11" s="23"/>
      <c r="C11" s="9"/>
      <c r="D11" s="9"/>
      <c r="E11" s="9"/>
    </row>
    <row r="12" spans="1:7" x14ac:dyDescent="0.3">
      <c r="A12" s="2"/>
      <c r="B12" s="5"/>
      <c r="C12" s="6"/>
      <c r="D12" s="6"/>
      <c r="E12" s="6"/>
    </row>
    <row r="13" spans="1:7" x14ac:dyDescent="0.3">
      <c r="A13" s="2"/>
      <c r="B13" s="5"/>
      <c r="C13" s="6"/>
      <c r="D13" s="6"/>
      <c r="E13" s="6"/>
    </row>
    <row r="14" spans="1:7" x14ac:dyDescent="0.3">
      <c r="A14" s="4" t="s">
        <v>10</v>
      </c>
      <c r="B14" s="17">
        <v>1</v>
      </c>
      <c r="C14" s="14">
        <v>8.1128201199594692</v>
      </c>
      <c r="D14" s="14">
        <v>2.8268315475466799</v>
      </c>
      <c r="E14" s="14">
        <v>0.82062956197480597</v>
      </c>
      <c r="F14" s="35" t="s">
        <v>14</v>
      </c>
      <c r="G14" s="33"/>
    </row>
    <row r="15" spans="1:7" x14ac:dyDescent="0.3">
      <c r="A15" s="13"/>
      <c r="B15" s="17">
        <v>1</v>
      </c>
      <c r="C15" s="14">
        <v>5.7295904389213197</v>
      </c>
      <c r="D15" s="14">
        <v>5.1613866035286504</v>
      </c>
      <c r="E15" s="14">
        <v>16.443194621865</v>
      </c>
      <c r="F15" s="35"/>
      <c r="G15" s="33"/>
    </row>
    <row r="16" spans="1:7" x14ac:dyDescent="0.3">
      <c r="A16" s="13"/>
      <c r="B16" s="17">
        <v>1</v>
      </c>
      <c r="C16" s="14">
        <v>6.0645058732284003</v>
      </c>
      <c r="D16" s="14">
        <v>3.8951474784550499</v>
      </c>
      <c r="E16" s="14">
        <v>1.0230131062722101</v>
      </c>
      <c r="F16" s="35"/>
      <c r="G16" s="33"/>
    </row>
    <row r="17" spans="1:7" x14ac:dyDescent="0.3">
      <c r="A17" s="13"/>
      <c r="B17" s="18">
        <v>1</v>
      </c>
      <c r="C17" s="6">
        <v>109.382563137555</v>
      </c>
      <c r="D17" s="6">
        <v>3.2266327839666702</v>
      </c>
      <c r="E17" s="6">
        <v>1.2555351763487601</v>
      </c>
      <c r="F17" s="33" t="s">
        <v>15</v>
      </c>
      <c r="G17" s="33"/>
    </row>
    <row r="18" spans="1:7" x14ac:dyDescent="0.3">
      <c r="A18" s="2"/>
      <c r="B18" s="18">
        <v>1</v>
      </c>
      <c r="C18" s="6">
        <v>23.912100248434601</v>
      </c>
      <c r="D18" s="6">
        <v>2.5447136383278499</v>
      </c>
      <c r="E18" s="6">
        <v>1.3158707210456</v>
      </c>
      <c r="F18" s="33"/>
      <c r="G18" s="33"/>
    </row>
    <row r="19" spans="1:7" x14ac:dyDescent="0.3">
      <c r="A19" s="2"/>
      <c r="B19" s="18">
        <v>1</v>
      </c>
      <c r="C19" s="6">
        <v>27.34008175252</v>
      </c>
      <c r="D19" s="6">
        <v>2.8702248903117198</v>
      </c>
      <c r="E19" s="6">
        <v>0.97235926059893896</v>
      </c>
      <c r="F19" s="33"/>
      <c r="G19" s="33"/>
    </row>
    <row r="20" spans="1:7" x14ac:dyDescent="0.3">
      <c r="A20" s="7" t="s">
        <v>8</v>
      </c>
      <c r="B20" s="8"/>
      <c r="C20" s="9"/>
      <c r="D20" s="9"/>
      <c r="E20" s="9"/>
    </row>
    <row r="21" spans="1:7" x14ac:dyDescent="0.3">
      <c r="A21" s="7" t="s">
        <v>9</v>
      </c>
      <c r="B21" s="10"/>
      <c r="C21" s="9"/>
      <c r="D21" s="9"/>
      <c r="E21" s="9"/>
    </row>
    <row r="22" spans="1:7" x14ac:dyDescent="0.3">
      <c r="A22" s="2"/>
      <c r="B22" s="5"/>
      <c r="C22" s="6"/>
      <c r="D22" s="6"/>
      <c r="E22" s="6"/>
    </row>
    <row r="23" spans="1:7" x14ac:dyDescent="0.3">
      <c r="A23" s="2"/>
      <c r="B23" s="5"/>
      <c r="C23" s="6"/>
      <c r="D23" s="6"/>
      <c r="E23" s="6"/>
    </row>
    <row r="24" spans="1:7" x14ac:dyDescent="0.3">
      <c r="A24" s="4" t="s">
        <v>11</v>
      </c>
      <c r="B24" s="17">
        <v>1</v>
      </c>
      <c r="C24" s="14">
        <v>10.660638155069901</v>
      </c>
      <c r="D24" s="14">
        <v>0.99456614535013799</v>
      </c>
      <c r="E24" s="14">
        <v>2.2184264172182302</v>
      </c>
      <c r="F24" s="35" t="s">
        <v>14</v>
      </c>
      <c r="G24" s="33"/>
    </row>
    <row r="25" spans="1:7" x14ac:dyDescent="0.3">
      <c r="A25" s="2"/>
      <c r="B25" s="17">
        <v>1</v>
      </c>
      <c r="C25" s="14">
        <v>23.556509344798101</v>
      </c>
      <c r="D25" s="14">
        <v>1.51407120295624</v>
      </c>
      <c r="E25" s="14">
        <v>2.35748328433076</v>
      </c>
      <c r="F25" s="35"/>
      <c r="G25" s="33"/>
    </row>
    <row r="26" spans="1:7" x14ac:dyDescent="0.3">
      <c r="A26" s="2"/>
      <c r="B26" s="17">
        <v>1</v>
      </c>
      <c r="C26" s="14">
        <v>14.5111232160902</v>
      </c>
      <c r="D26" s="14">
        <v>3.3846224840793999</v>
      </c>
      <c r="E26" s="14">
        <v>4.5809077008207399</v>
      </c>
      <c r="F26" s="35"/>
      <c r="G26" s="33"/>
    </row>
    <row r="27" spans="1:7" x14ac:dyDescent="0.3">
      <c r="A27" s="2"/>
      <c r="B27" s="18">
        <v>1</v>
      </c>
      <c r="C27" s="6">
        <v>3.3501456436288102</v>
      </c>
      <c r="D27" s="6">
        <v>1.71247483982947</v>
      </c>
      <c r="E27" s="6">
        <v>1.8782721145427199</v>
      </c>
      <c r="F27" s="33" t="s">
        <v>15</v>
      </c>
      <c r="G27" s="33"/>
    </row>
    <row r="28" spans="1:7" x14ac:dyDescent="0.3">
      <c r="A28" s="2"/>
      <c r="B28" s="18">
        <v>1</v>
      </c>
      <c r="C28" s="6">
        <v>2.23969607490459</v>
      </c>
      <c r="D28" s="6">
        <v>1.3979890879977801</v>
      </c>
      <c r="E28" s="6">
        <v>2.2721124032753202</v>
      </c>
      <c r="F28" s="33"/>
      <c r="G28" s="33"/>
    </row>
    <row r="29" spans="1:7" x14ac:dyDescent="0.3">
      <c r="A29" s="2"/>
      <c r="B29" s="18">
        <v>1</v>
      </c>
      <c r="C29" s="6">
        <v>4.7321795162719198</v>
      </c>
      <c r="D29" s="6">
        <v>0.87979056890749596</v>
      </c>
      <c r="E29" s="6">
        <v>2.1223775559717599</v>
      </c>
      <c r="F29" s="33"/>
      <c r="G29" s="33"/>
    </row>
    <row r="30" spans="1:7" x14ac:dyDescent="0.3">
      <c r="A30" s="11" t="s">
        <v>8</v>
      </c>
      <c r="B30" s="8"/>
      <c r="C30" s="12"/>
      <c r="D30" s="12"/>
      <c r="E30" s="12"/>
    </row>
    <row r="31" spans="1:7" x14ac:dyDescent="0.3">
      <c r="A31" s="11" t="s">
        <v>9</v>
      </c>
      <c r="B31" s="11"/>
      <c r="C31" s="12"/>
      <c r="D31" s="12"/>
      <c r="E31" s="12"/>
    </row>
  </sheetData>
  <mergeCells count="7">
    <mergeCell ref="F27:G29"/>
    <mergeCell ref="B2:E2"/>
    <mergeCell ref="F4:G6"/>
    <mergeCell ref="F14:G16"/>
    <mergeCell ref="F24:G26"/>
    <mergeCell ref="F7:G9"/>
    <mergeCell ref="F17:G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23"/>
  <sheetViews>
    <sheetView workbookViewId="0">
      <selection activeCell="G4" sqref="G4:G6"/>
    </sheetView>
  </sheetViews>
  <sheetFormatPr defaultRowHeight="14.4" x14ac:dyDescent="0.3"/>
  <cols>
    <col min="1" max="1" width="12.44140625" customWidth="1"/>
    <col min="4" max="4" width="11.109375" customWidth="1"/>
    <col min="6" max="6" width="10.33203125" customWidth="1"/>
    <col min="8" max="8" width="10.33203125" customWidth="1"/>
    <col min="10" max="10" width="11.88671875" customWidth="1"/>
  </cols>
  <sheetData>
    <row r="2" spans="1:14" ht="15" x14ac:dyDescent="0.3">
      <c r="A2" s="1"/>
      <c r="B2" s="37" t="s">
        <v>1</v>
      </c>
      <c r="C2" s="37"/>
      <c r="D2" s="37"/>
      <c r="E2" s="37"/>
      <c r="F2" s="37"/>
      <c r="G2" s="37"/>
      <c r="K2" s="1" t="s">
        <v>3</v>
      </c>
      <c r="L2" s="1" t="s">
        <v>4</v>
      </c>
      <c r="M2" s="1" t="s">
        <v>5</v>
      </c>
      <c r="N2" s="3" t="s">
        <v>6</v>
      </c>
    </row>
    <row r="3" spans="1:14" ht="15" x14ac:dyDescent="0.3">
      <c r="A3" s="2"/>
      <c r="B3" s="1" t="s">
        <v>3</v>
      </c>
      <c r="C3" s="1" t="s">
        <v>4</v>
      </c>
      <c r="D3" s="1"/>
      <c r="E3" s="1" t="s">
        <v>5</v>
      </c>
      <c r="F3" s="1"/>
      <c r="G3" s="3" t="s">
        <v>6</v>
      </c>
      <c r="J3" s="4" t="s">
        <v>43</v>
      </c>
      <c r="K3">
        <v>1</v>
      </c>
      <c r="L3" s="19">
        <v>3.7365890453350334</v>
      </c>
      <c r="M3" s="19">
        <v>1.8823406639411768</v>
      </c>
      <c r="N3" s="19">
        <v>1.0248417589153187</v>
      </c>
    </row>
    <row r="4" spans="1:14" x14ac:dyDescent="0.3">
      <c r="A4" s="4" t="s">
        <v>7</v>
      </c>
      <c r="B4" s="29">
        <v>1</v>
      </c>
      <c r="C4" s="30">
        <v>4.9050852792114696</v>
      </c>
      <c r="D4" s="36" t="s">
        <v>25</v>
      </c>
      <c r="E4" s="30">
        <v>2.0399913580878599</v>
      </c>
      <c r="F4" s="36" t="s">
        <v>28</v>
      </c>
      <c r="G4" s="30">
        <v>1.01582147398281</v>
      </c>
      <c r="H4" s="36" t="s">
        <v>31</v>
      </c>
      <c r="K4">
        <v>0</v>
      </c>
      <c r="L4" s="19">
        <v>0.83188055717628417</v>
      </c>
      <c r="M4" s="19">
        <v>0.43325063897629462</v>
      </c>
      <c r="N4" s="19">
        <v>0.14034182893315331</v>
      </c>
    </row>
    <row r="5" spans="1:14" x14ac:dyDescent="0.3">
      <c r="A5" s="2"/>
      <c r="B5" s="29">
        <v>1</v>
      </c>
      <c r="C5" s="30">
        <v>3.27066381576154</v>
      </c>
      <c r="D5" s="36"/>
      <c r="E5" s="30">
        <v>2.3162714657693901</v>
      </c>
      <c r="F5" s="36"/>
      <c r="G5" s="30">
        <v>1.2010572282274701</v>
      </c>
      <c r="H5" s="36"/>
      <c r="J5" s="4" t="s">
        <v>44</v>
      </c>
      <c r="K5">
        <v>1</v>
      </c>
      <c r="L5" s="19">
        <v>53.544915046169869</v>
      </c>
      <c r="M5" s="19">
        <v>2.8805237708687468</v>
      </c>
      <c r="N5" s="19">
        <v>1.181255052664433</v>
      </c>
    </row>
    <row r="6" spans="1:14" x14ac:dyDescent="0.3">
      <c r="A6" s="2"/>
      <c r="B6" s="29">
        <v>1</v>
      </c>
      <c r="C6" s="30">
        <v>3.0340180410320898</v>
      </c>
      <c r="D6" s="36"/>
      <c r="E6" s="30">
        <v>1.29075916796628</v>
      </c>
      <c r="F6" s="36"/>
      <c r="G6" s="30">
        <v>0.85764657453567605</v>
      </c>
      <c r="H6" s="36"/>
      <c r="K6">
        <v>0</v>
      </c>
      <c r="L6" s="19">
        <v>39.507973647363158</v>
      </c>
      <c r="M6" s="19">
        <v>0.27848755867212521</v>
      </c>
      <c r="N6" s="19">
        <v>0.14975131261632563</v>
      </c>
    </row>
    <row r="7" spans="1:14" x14ac:dyDescent="0.3">
      <c r="A7" s="7" t="s">
        <v>8</v>
      </c>
      <c r="B7" s="23">
        <f>AVERAGE(B4:B6)</f>
        <v>1</v>
      </c>
      <c r="C7" s="9">
        <f t="shared" ref="C7:G7" si="0">AVERAGE(C4:C6)</f>
        <v>3.7365890453350334</v>
      </c>
      <c r="D7" s="6"/>
      <c r="E7" s="9">
        <f t="shared" si="0"/>
        <v>1.8823406639411768</v>
      </c>
      <c r="F7" s="6"/>
      <c r="G7" s="9">
        <f t="shared" si="0"/>
        <v>1.0248417589153187</v>
      </c>
      <c r="J7" s="4" t="s">
        <v>45</v>
      </c>
      <c r="K7">
        <v>1</v>
      </c>
      <c r="L7" s="19">
        <v>3.4406737449351064</v>
      </c>
      <c r="M7" s="19">
        <v>1.3300848322449152</v>
      </c>
      <c r="N7" s="19">
        <v>2.0909206912632663</v>
      </c>
    </row>
    <row r="8" spans="1:14" x14ac:dyDescent="0.3">
      <c r="A8" s="7" t="s">
        <v>9</v>
      </c>
      <c r="B8" s="23">
        <f>_xlfn.STDEV.P(B4:B6)</f>
        <v>0</v>
      </c>
      <c r="C8" s="9">
        <f t="shared" ref="C8:G8" si="1">_xlfn.STDEV.P(C4:C6)</f>
        <v>0.83188055717628417</v>
      </c>
      <c r="D8" s="6"/>
      <c r="E8" s="9">
        <f t="shared" si="1"/>
        <v>0.43325063897629462</v>
      </c>
      <c r="F8" s="6"/>
      <c r="G8" s="9">
        <f t="shared" si="1"/>
        <v>0.14034182893315331</v>
      </c>
      <c r="K8">
        <v>0</v>
      </c>
      <c r="L8" s="19">
        <v>1.0195636090070346</v>
      </c>
      <c r="M8" s="19">
        <v>0.34331619509545269</v>
      </c>
      <c r="N8" s="19">
        <v>0.16231593474909936</v>
      </c>
    </row>
    <row r="9" spans="1:14" x14ac:dyDescent="0.3">
      <c r="A9" s="2"/>
      <c r="B9" s="5"/>
      <c r="C9" s="6"/>
      <c r="D9" s="6"/>
      <c r="E9" s="6"/>
      <c r="F9" s="6"/>
      <c r="G9" s="6"/>
    </row>
    <row r="10" spans="1:14" x14ac:dyDescent="0.3">
      <c r="A10" s="2"/>
      <c r="B10" s="18"/>
      <c r="C10" s="6"/>
      <c r="D10" s="6"/>
      <c r="E10" s="6"/>
      <c r="F10" s="6"/>
      <c r="G10" s="6"/>
    </row>
    <row r="11" spans="1:14" x14ac:dyDescent="0.3">
      <c r="A11" s="4" t="s">
        <v>10</v>
      </c>
      <c r="B11" s="18">
        <v>1</v>
      </c>
      <c r="C11" s="6">
        <v>109.382563137555</v>
      </c>
      <c r="D11" s="36" t="s">
        <v>26</v>
      </c>
      <c r="E11" s="6">
        <v>3.2266327839666702</v>
      </c>
      <c r="F11" s="36" t="s">
        <v>29</v>
      </c>
      <c r="G11" s="6">
        <v>1.2555351763487601</v>
      </c>
      <c r="H11" s="36" t="s">
        <v>32</v>
      </c>
    </row>
    <row r="12" spans="1:14" x14ac:dyDescent="0.3">
      <c r="A12" s="13"/>
      <c r="B12" s="18">
        <v>1</v>
      </c>
      <c r="C12" s="6">
        <v>23.912100248434601</v>
      </c>
      <c r="D12" s="36"/>
      <c r="E12" s="6">
        <v>2.5447136383278499</v>
      </c>
      <c r="F12" s="36"/>
      <c r="G12" s="6">
        <v>1.3158707210456</v>
      </c>
      <c r="H12" s="36"/>
    </row>
    <row r="13" spans="1:14" x14ac:dyDescent="0.3">
      <c r="A13" s="13"/>
      <c r="B13" s="18">
        <v>1</v>
      </c>
      <c r="C13" s="6">
        <v>27.34008175252</v>
      </c>
      <c r="D13" s="36"/>
      <c r="E13" s="6">
        <v>2.8702248903117198</v>
      </c>
      <c r="F13" s="36"/>
      <c r="G13" s="6">
        <v>0.97235926059893896</v>
      </c>
      <c r="H13" s="36"/>
    </row>
    <row r="14" spans="1:14" x14ac:dyDescent="0.3">
      <c r="A14" s="7" t="s">
        <v>8</v>
      </c>
      <c r="B14" s="10">
        <f>AVERAGE(B11:B13)</f>
        <v>1</v>
      </c>
      <c r="C14" s="9">
        <f t="shared" ref="C14:G14" si="2">AVERAGE(C11:C13)</f>
        <v>53.544915046169869</v>
      </c>
      <c r="D14" s="6"/>
      <c r="E14" s="9">
        <f t="shared" si="2"/>
        <v>2.8805237708687468</v>
      </c>
      <c r="F14" s="6"/>
      <c r="G14" s="9">
        <f t="shared" si="2"/>
        <v>1.181255052664433</v>
      </c>
      <c r="H14" s="26"/>
    </row>
    <row r="15" spans="1:14" x14ac:dyDescent="0.3">
      <c r="A15" s="7" t="s">
        <v>9</v>
      </c>
      <c r="B15" s="10">
        <f>_xlfn.STDEV.P(B11:B13)</f>
        <v>0</v>
      </c>
      <c r="C15" s="9">
        <f t="shared" ref="C15:G15" si="3">_xlfn.STDEV.P(C11:C13)</f>
        <v>39.507973647363158</v>
      </c>
      <c r="D15" s="6"/>
      <c r="E15" s="9">
        <f t="shared" si="3"/>
        <v>0.27848755867212521</v>
      </c>
      <c r="F15" s="6"/>
      <c r="G15" s="9">
        <f t="shared" si="3"/>
        <v>0.14975131261632563</v>
      </c>
    </row>
    <row r="16" spans="1:14" x14ac:dyDescent="0.3">
      <c r="A16" s="2"/>
      <c r="B16" s="5"/>
      <c r="C16" s="6"/>
      <c r="D16" s="6"/>
      <c r="E16" s="6"/>
      <c r="F16" s="6"/>
      <c r="G16" s="6"/>
    </row>
    <row r="17" spans="1:8" x14ac:dyDescent="0.3">
      <c r="A17" s="2"/>
      <c r="B17" s="18"/>
      <c r="C17" s="6"/>
      <c r="D17" s="6"/>
      <c r="E17" s="6"/>
      <c r="F17" s="6"/>
      <c r="G17" s="6"/>
    </row>
    <row r="18" spans="1:8" x14ac:dyDescent="0.3">
      <c r="A18" s="4" t="s">
        <v>11</v>
      </c>
      <c r="B18" s="18">
        <v>1</v>
      </c>
      <c r="C18" s="6">
        <v>3.3501456436288102</v>
      </c>
      <c r="D18" s="36" t="s">
        <v>27</v>
      </c>
      <c r="E18" s="6">
        <v>1.71247483982947</v>
      </c>
      <c r="F18" s="36" t="s">
        <v>30</v>
      </c>
      <c r="G18" s="6">
        <v>1.8782721145427199</v>
      </c>
      <c r="H18" s="36" t="s">
        <v>33</v>
      </c>
    </row>
    <row r="19" spans="1:8" x14ac:dyDescent="0.3">
      <c r="A19" s="2"/>
      <c r="B19" s="18">
        <v>1</v>
      </c>
      <c r="C19" s="6">
        <v>2.23969607490459</v>
      </c>
      <c r="D19" s="36"/>
      <c r="E19" s="6">
        <v>1.3979890879977801</v>
      </c>
      <c r="F19" s="36"/>
      <c r="G19" s="6">
        <v>2.2721124032753202</v>
      </c>
      <c r="H19" s="36"/>
    </row>
    <row r="20" spans="1:8" x14ac:dyDescent="0.3">
      <c r="A20" s="2"/>
      <c r="B20" s="18">
        <v>1</v>
      </c>
      <c r="C20" s="6">
        <v>4.7321795162719198</v>
      </c>
      <c r="D20" s="36"/>
      <c r="E20" s="6">
        <v>0.87979056890749596</v>
      </c>
      <c r="F20" s="36"/>
      <c r="G20" s="6">
        <v>2.1223775559717599</v>
      </c>
      <c r="H20" s="36"/>
    </row>
    <row r="21" spans="1:8" x14ac:dyDescent="0.3">
      <c r="A21" s="11" t="s">
        <v>8</v>
      </c>
      <c r="B21" s="10">
        <f>AVERAGE(B18:B20)</f>
        <v>1</v>
      </c>
      <c r="C21" s="9">
        <f t="shared" ref="C21:G21" si="4">AVERAGE(C18:C20)</f>
        <v>3.4406737449351064</v>
      </c>
      <c r="D21" s="6"/>
      <c r="E21" s="9">
        <f t="shared" si="4"/>
        <v>1.3300848322449152</v>
      </c>
      <c r="F21" s="6"/>
      <c r="G21" s="9">
        <f t="shared" si="4"/>
        <v>2.0909206912632663</v>
      </c>
    </row>
    <row r="22" spans="1:8" x14ac:dyDescent="0.3">
      <c r="A22" s="11" t="s">
        <v>9</v>
      </c>
      <c r="B22" s="11">
        <f>_xlfn.STDEV.P(B18:B20)</f>
        <v>0</v>
      </c>
      <c r="C22" s="12">
        <f t="shared" ref="C22:G22" si="5">_xlfn.STDEV.P(C18:C20)</f>
        <v>1.0195636090070346</v>
      </c>
      <c r="D22" s="6"/>
      <c r="E22" s="12">
        <f t="shared" si="5"/>
        <v>0.34331619509545269</v>
      </c>
      <c r="F22" s="6"/>
      <c r="G22" s="12">
        <f t="shared" si="5"/>
        <v>0.16231593474909936</v>
      </c>
    </row>
    <row r="23" spans="1:8" x14ac:dyDescent="0.3">
      <c r="A23" s="2"/>
    </row>
  </sheetData>
  <mergeCells count="10">
    <mergeCell ref="H4:H6"/>
    <mergeCell ref="H11:H13"/>
    <mergeCell ref="H18:H20"/>
    <mergeCell ref="B2:G2"/>
    <mergeCell ref="D4:D6"/>
    <mergeCell ref="D11:D13"/>
    <mergeCell ref="D18:D20"/>
    <mergeCell ref="F4:F6"/>
    <mergeCell ref="F11:F13"/>
    <mergeCell ref="F18:F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31"/>
  <sheetViews>
    <sheetView workbookViewId="0">
      <selection activeCell="F17" sqref="F17:G19"/>
    </sheetView>
  </sheetViews>
  <sheetFormatPr defaultRowHeight="14.4" x14ac:dyDescent="0.3"/>
  <cols>
    <col min="1" max="1" width="12.33203125" customWidth="1"/>
    <col min="6" max="6" width="10.6640625" customWidth="1"/>
    <col min="7" max="7" width="10.88671875" customWidth="1"/>
  </cols>
  <sheetData>
    <row r="2" spans="1:7" x14ac:dyDescent="0.3">
      <c r="A2" s="1"/>
      <c r="B2" s="38" t="s">
        <v>2</v>
      </c>
      <c r="C2" s="38"/>
      <c r="D2" s="38"/>
      <c r="E2" s="38"/>
    </row>
    <row r="3" spans="1:7" ht="15" x14ac:dyDescent="0.3">
      <c r="A3" s="2"/>
      <c r="B3" s="1" t="s">
        <v>3</v>
      </c>
      <c r="C3" s="1" t="s">
        <v>4</v>
      </c>
      <c r="D3" s="1" t="s">
        <v>5</v>
      </c>
      <c r="E3" s="3" t="s">
        <v>6</v>
      </c>
    </row>
    <row r="4" spans="1:7" x14ac:dyDescent="0.3">
      <c r="A4" s="4" t="s">
        <v>7</v>
      </c>
      <c r="B4" s="16">
        <v>1</v>
      </c>
      <c r="C4" s="14">
        <v>15.7627142159155</v>
      </c>
      <c r="D4" s="14">
        <v>9.5155166555003898</v>
      </c>
      <c r="E4" s="14">
        <v>1.6003006070271599</v>
      </c>
      <c r="F4" s="35" t="s">
        <v>14</v>
      </c>
      <c r="G4" s="33"/>
    </row>
    <row r="5" spans="1:7" x14ac:dyDescent="0.3">
      <c r="A5" s="2"/>
      <c r="B5" s="16">
        <v>1</v>
      </c>
      <c r="C5" s="14">
        <v>11.7815431683517</v>
      </c>
      <c r="D5" s="14">
        <v>1.4754794225382299</v>
      </c>
      <c r="E5" s="14">
        <v>0.46603575261647401</v>
      </c>
      <c r="F5" s="35"/>
      <c r="G5" s="33"/>
    </row>
    <row r="6" spans="1:7" x14ac:dyDescent="0.3">
      <c r="A6" s="2"/>
      <c r="B6" s="16">
        <v>1</v>
      </c>
      <c r="C6" s="14">
        <v>10.5520095623018</v>
      </c>
      <c r="D6" s="14">
        <v>9.3555053858718402</v>
      </c>
      <c r="E6" s="14">
        <v>2.1757983622169199</v>
      </c>
      <c r="F6" s="35"/>
      <c r="G6" s="33"/>
    </row>
    <row r="7" spans="1:7" x14ac:dyDescent="0.3">
      <c r="A7" s="2"/>
      <c r="B7" s="18">
        <v>1</v>
      </c>
      <c r="C7" s="6">
        <v>14.9733609152594</v>
      </c>
      <c r="D7" s="6">
        <v>5.9602162784990798</v>
      </c>
      <c r="E7" s="6">
        <v>0.907796706908784</v>
      </c>
      <c r="F7" s="33" t="s">
        <v>15</v>
      </c>
      <c r="G7" s="33"/>
    </row>
    <row r="8" spans="1:7" x14ac:dyDescent="0.3">
      <c r="A8" s="2"/>
      <c r="B8" s="18">
        <v>1</v>
      </c>
      <c r="C8" s="6">
        <v>27.052593296637198</v>
      </c>
      <c r="D8" s="6">
        <v>5.4274596746618302</v>
      </c>
      <c r="E8" s="6">
        <v>0.72588094045230001</v>
      </c>
      <c r="F8" s="33"/>
      <c r="G8" s="33"/>
    </row>
    <row r="9" spans="1:7" x14ac:dyDescent="0.3">
      <c r="A9" s="2"/>
      <c r="B9" s="18">
        <v>1</v>
      </c>
      <c r="C9" s="6">
        <v>14.9664573834732</v>
      </c>
      <c r="D9" s="6">
        <v>6.6906997447058503</v>
      </c>
      <c r="E9" s="6">
        <v>1.09552739043026</v>
      </c>
      <c r="F9" s="33"/>
      <c r="G9" s="33"/>
    </row>
    <row r="10" spans="1:7" x14ac:dyDescent="0.3">
      <c r="A10" s="7" t="s">
        <v>8</v>
      </c>
      <c r="B10" s="10">
        <f>AVERAGE(B4:B9)</f>
        <v>1</v>
      </c>
      <c r="C10" s="9">
        <f t="shared" ref="C10:E10" si="0">AVERAGE(C4:C9)</f>
        <v>15.848113090323132</v>
      </c>
      <c r="D10" s="9">
        <f t="shared" si="0"/>
        <v>6.4041461936295363</v>
      </c>
      <c r="E10" s="9">
        <f t="shared" si="0"/>
        <v>1.161889959941983</v>
      </c>
    </row>
    <row r="11" spans="1:7" x14ac:dyDescent="0.3">
      <c r="A11" s="7" t="s">
        <v>9</v>
      </c>
      <c r="B11" s="23">
        <f>_xlfn.STDEV.P(B4:B9)</f>
        <v>0</v>
      </c>
      <c r="C11" s="9">
        <f t="shared" ref="C11:E11" si="1">_xlfn.STDEV.P(C4:C9)</f>
        <v>5.3490790690927437</v>
      </c>
      <c r="D11" s="9">
        <f t="shared" si="1"/>
        <v>2.7054268497660607</v>
      </c>
      <c r="E11" s="9">
        <f t="shared" si="1"/>
        <v>0.57205746484065667</v>
      </c>
    </row>
    <row r="12" spans="1:7" x14ac:dyDescent="0.3">
      <c r="A12" s="2"/>
      <c r="B12" s="5"/>
      <c r="C12" s="6"/>
      <c r="D12" s="6"/>
      <c r="E12" s="6"/>
    </row>
    <row r="13" spans="1:7" x14ac:dyDescent="0.3">
      <c r="A13" s="2"/>
      <c r="B13" s="5"/>
      <c r="C13" s="6"/>
      <c r="D13" s="6"/>
      <c r="E13" s="6"/>
    </row>
    <row r="14" spans="1:7" x14ac:dyDescent="0.3">
      <c r="A14" s="4" t="s">
        <v>10</v>
      </c>
      <c r="B14" s="16">
        <v>1</v>
      </c>
      <c r="C14" s="14">
        <v>3.4753699910884102</v>
      </c>
      <c r="D14" s="14">
        <v>0.50949921093363404</v>
      </c>
      <c r="E14" s="14">
        <v>0.373000791603952</v>
      </c>
      <c r="F14" s="35" t="s">
        <v>14</v>
      </c>
      <c r="G14" s="33"/>
    </row>
    <row r="15" spans="1:7" x14ac:dyDescent="0.3">
      <c r="A15" s="13"/>
      <c r="B15" s="16">
        <v>1</v>
      </c>
      <c r="C15" s="14">
        <v>22.740652940834099</v>
      </c>
      <c r="D15" s="14">
        <v>1.6428357838391801</v>
      </c>
      <c r="E15" s="14">
        <v>5.9913967960547803</v>
      </c>
      <c r="F15" s="35"/>
      <c r="G15" s="33"/>
    </row>
    <row r="16" spans="1:7" x14ac:dyDescent="0.3">
      <c r="A16" s="13"/>
      <c r="B16" s="16">
        <v>1</v>
      </c>
      <c r="C16" s="14">
        <v>6.5643648788902604</v>
      </c>
      <c r="D16" s="14">
        <v>1.0177092301239099</v>
      </c>
      <c r="E16" s="14">
        <v>0.63105556279670005</v>
      </c>
      <c r="F16" s="35"/>
      <c r="G16" s="33"/>
    </row>
    <row r="17" spans="1:7" x14ac:dyDescent="0.3">
      <c r="A17" s="13"/>
      <c r="B17" s="18">
        <v>1</v>
      </c>
      <c r="C17" s="6">
        <v>41.136258309919498</v>
      </c>
      <c r="D17" s="6">
        <v>2.3627062711852398</v>
      </c>
      <c r="E17" s="6">
        <v>0.43833596990982698</v>
      </c>
      <c r="F17" s="33" t="s">
        <v>15</v>
      </c>
      <c r="G17" s="33"/>
    </row>
    <row r="18" spans="1:7" x14ac:dyDescent="0.3">
      <c r="A18" s="2"/>
      <c r="B18" s="18">
        <v>1</v>
      </c>
      <c r="C18" s="6">
        <v>46.787232966316402</v>
      </c>
      <c r="D18" s="6">
        <v>1.92713535526844</v>
      </c>
      <c r="E18" s="6">
        <v>0.55896033714692395</v>
      </c>
      <c r="F18" s="33"/>
      <c r="G18" s="33"/>
    </row>
    <row r="19" spans="1:7" x14ac:dyDescent="0.3">
      <c r="A19" s="2"/>
      <c r="B19" s="18">
        <v>1</v>
      </c>
      <c r="C19" s="6">
        <v>47.423985167046602</v>
      </c>
      <c r="D19" s="6">
        <v>4.31751433074266</v>
      </c>
      <c r="E19" s="6">
        <v>0.92310366181377901</v>
      </c>
      <c r="F19" s="33"/>
      <c r="G19" s="33"/>
    </row>
    <row r="20" spans="1:7" x14ac:dyDescent="0.3">
      <c r="A20" s="7" t="s">
        <v>8</v>
      </c>
      <c r="B20" s="8"/>
      <c r="C20" s="9"/>
      <c r="D20" s="9"/>
      <c r="E20" s="9"/>
    </row>
    <row r="21" spans="1:7" x14ac:dyDescent="0.3">
      <c r="A21" s="7" t="s">
        <v>9</v>
      </c>
      <c r="B21" s="10"/>
      <c r="C21" s="9"/>
      <c r="D21" s="9"/>
      <c r="E21" s="9"/>
    </row>
    <row r="22" spans="1:7" x14ac:dyDescent="0.3">
      <c r="A22" s="2"/>
      <c r="B22" s="5"/>
      <c r="C22" s="6"/>
      <c r="D22" s="6"/>
      <c r="E22" s="6"/>
    </row>
    <row r="23" spans="1:7" x14ac:dyDescent="0.3">
      <c r="A23" s="2"/>
      <c r="B23" s="5"/>
      <c r="C23" s="6"/>
      <c r="D23" s="6"/>
      <c r="E23" s="6"/>
    </row>
    <row r="24" spans="1:7" x14ac:dyDescent="0.3">
      <c r="A24" s="4" t="s">
        <v>11</v>
      </c>
      <c r="B24" s="16">
        <v>1</v>
      </c>
      <c r="C24" s="14">
        <v>21.1965010727404</v>
      </c>
      <c r="D24" s="14">
        <v>0.72482292400442405</v>
      </c>
      <c r="E24" s="14">
        <v>2.49227774785775</v>
      </c>
      <c r="F24" s="35" t="s">
        <v>14</v>
      </c>
      <c r="G24" s="33"/>
    </row>
    <row r="25" spans="1:7" x14ac:dyDescent="0.3">
      <c r="A25" s="2"/>
      <c r="B25" s="16">
        <v>1</v>
      </c>
      <c r="C25" s="14">
        <v>14.6552353736611</v>
      </c>
      <c r="D25" s="14">
        <v>0.63884091661334397</v>
      </c>
      <c r="E25" s="14">
        <v>1.93483665345711</v>
      </c>
      <c r="F25" s="35"/>
      <c r="G25" s="33"/>
    </row>
    <row r="26" spans="1:7" x14ac:dyDescent="0.3">
      <c r="A26" s="2"/>
      <c r="B26" s="16">
        <v>1</v>
      </c>
      <c r="C26" s="14">
        <v>15.5957031250905</v>
      </c>
      <c r="D26" s="14">
        <v>0.53936886782687399</v>
      </c>
      <c r="E26" s="14">
        <v>2.3303615086354599</v>
      </c>
      <c r="F26" s="35"/>
      <c r="G26" s="33"/>
    </row>
    <row r="27" spans="1:7" x14ac:dyDescent="0.3">
      <c r="A27" s="2"/>
      <c r="B27" s="18">
        <v>1</v>
      </c>
      <c r="C27" s="6">
        <v>15.511725995950799</v>
      </c>
      <c r="D27" s="6">
        <v>0.50462087704057301</v>
      </c>
      <c r="E27" s="6">
        <v>1.5335294301467699</v>
      </c>
      <c r="F27" s="33" t="s">
        <v>15</v>
      </c>
      <c r="G27" s="33"/>
    </row>
    <row r="28" spans="1:7" x14ac:dyDescent="0.3">
      <c r="A28" s="2"/>
      <c r="B28" s="18">
        <v>1</v>
      </c>
      <c r="C28" s="6">
        <v>15.707852860823101</v>
      </c>
      <c r="D28" s="6">
        <v>0.300353013279754</v>
      </c>
      <c r="E28" s="6">
        <v>1.2313250186186</v>
      </c>
      <c r="F28" s="33"/>
      <c r="G28" s="33"/>
    </row>
    <row r="29" spans="1:7" x14ac:dyDescent="0.3">
      <c r="A29" s="2"/>
      <c r="B29" s="18">
        <v>1</v>
      </c>
      <c r="C29" s="6">
        <v>10.632618410004399</v>
      </c>
      <c r="D29" s="6">
        <v>0.65182691797723102</v>
      </c>
      <c r="E29" s="6">
        <v>2.1114805564358301</v>
      </c>
      <c r="F29" s="33"/>
      <c r="G29" s="33"/>
    </row>
    <row r="30" spans="1:7" x14ac:dyDescent="0.3">
      <c r="A30" s="11" t="s">
        <v>8</v>
      </c>
      <c r="B30" s="23">
        <f>AVERAGE(B24:B29)</f>
        <v>1</v>
      </c>
      <c r="C30" s="9">
        <f t="shared" ref="C30:E30" si="2">AVERAGE(C24:C29)</f>
        <v>15.54993947304505</v>
      </c>
      <c r="D30" s="9">
        <f t="shared" si="2"/>
        <v>0.55997225279036666</v>
      </c>
      <c r="E30" s="9">
        <f t="shared" si="2"/>
        <v>1.9389684858585869</v>
      </c>
    </row>
    <row r="31" spans="1:7" x14ac:dyDescent="0.3">
      <c r="A31" s="11" t="s">
        <v>9</v>
      </c>
      <c r="B31" s="11">
        <f>_xlfn.STDEV.P(B24:B29)</f>
        <v>0</v>
      </c>
      <c r="C31" s="12">
        <f t="shared" ref="C31:E31" si="3">_xlfn.STDEV.P(C24:C29)</f>
        <v>3.0793043311044412</v>
      </c>
      <c r="D31" s="12">
        <f t="shared" si="3"/>
        <v>0.13706671930301861</v>
      </c>
      <c r="E31" s="12">
        <f t="shared" si="3"/>
        <v>0.43860711896681748</v>
      </c>
    </row>
  </sheetData>
  <mergeCells count="7">
    <mergeCell ref="F27:G29"/>
    <mergeCell ref="B2:E2"/>
    <mergeCell ref="F4:G6"/>
    <mergeCell ref="F7:G9"/>
    <mergeCell ref="F14:G16"/>
    <mergeCell ref="F24:G26"/>
    <mergeCell ref="F17:G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24"/>
  <sheetViews>
    <sheetView tabSelected="1" workbookViewId="0">
      <selection activeCell="D4" sqref="D4:D6"/>
    </sheetView>
  </sheetViews>
  <sheetFormatPr defaultRowHeight="14.4" x14ac:dyDescent="0.3"/>
  <cols>
    <col min="1" max="1" width="13" customWidth="1"/>
    <col min="4" max="4" width="12.33203125" customWidth="1"/>
    <col min="6" max="6" width="11.44140625" customWidth="1"/>
    <col min="8" max="8" width="11.44140625" customWidth="1"/>
    <col min="10" max="10" width="11.33203125" customWidth="1"/>
  </cols>
  <sheetData>
    <row r="2" spans="1:14" ht="15" x14ac:dyDescent="0.3">
      <c r="A2" s="1"/>
      <c r="B2" s="38" t="s">
        <v>2</v>
      </c>
      <c r="C2" s="38"/>
      <c r="D2" s="38"/>
      <c r="E2" s="38"/>
      <c r="F2" s="38"/>
      <c r="G2" s="38"/>
      <c r="K2" s="1" t="s">
        <v>3</v>
      </c>
      <c r="L2" s="1" t="s">
        <v>4</v>
      </c>
      <c r="M2" s="1" t="s">
        <v>5</v>
      </c>
      <c r="N2" s="3" t="s">
        <v>6</v>
      </c>
    </row>
    <row r="3" spans="1:14" ht="15" x14ac:dyDescent="0.3">
      <c r="A3" s="2"/>
      <c r="B3" s="1" t="s">
        <v>3</v>
      </c>
      <c r="C3" s="1" t="s">
        <v>4</v>
      </c>
      <c r="D3" s="1"/>
      <c r="E3" s="1" t="s">
        <v>5</v>
      </c>
      <c r="F3" s="1"/>
      <c r="G3" s="3" t="s">
        <v>6</v>
      </c>
      <c r="J3" s="4" t="s">
        <v>43</v>
      </c>
      <c r="K3">
        <v>1</v>
      </c>
      <c r="L3" s="19">
        <v>18.997470531789933</v>
      </c>
      <c r="M3" s="19">
        <v>6.0261252326222534</v>
      </c>
      <c r="N3" s="19">
        <v>0.90973501259711453</v>
      </c>
    </row>
    <row r="4" spans="1:14" x14ac:dyDescent="0.3">
      <c r="A4" s="4" t="s">
        <v>7</v>
      </c>
      <c r="B4" s="29">
        <v>1</v>
      </c>
      <c r="C4" s="30">
        <v>14.9733609152594</v>
      </c>
      <c r="D4" s="36" t="s">
        <v>16</v>
      </c>
      <c r="E4" s="30">
        <v>5.9602162784990798</v>
      </c>
      <c r="F4" s="36" t="s">
        <v>19</v>
      </c>
      <c r="G4" s="30">
        <v>0.907796706908784</v>
      </c>
      <c r="H4" s="36" t="s">
        <v>22</v>
      </c>
      <c r="K4">
        <v>0</v>
      </c>
      <c r="L4" s="19">
        <v>5.6958326275888354</v>
      </c>
      <c r="M4" s="19">
        <v>0.5178171242928743</v>
      </c>
      <c r="N4" s="19">
        <v>0.15091375520924374</v>
      </c>
    </row>
    <row r="5" spans="1:14" x14ac:dyDescent="0.3">
      <c r="A5" s="2"/>
      <c r="B5" s="29">
        <v>1</v>
      </c>
      <c r="C5" s="30">
        <v>27.052593296637198</v>
      </c>
      <c r="D5" s="36"/>
      <c r="E5" s="30">
        <v>5.4274596746618302</v>
      </c>
      <c r="F5" s="36"/>
      <c r="G5" s="30">
        <v>0.72588094045230001</v>
      </c>
      <c r="H5" s="36"/>
      <c r="J5" s="4" t="s">
        <v>44</v>
      </c>
      <c r="K5">
        <v>1</v>
      </c>
      <c r="L5" s="19">
        <v>45.115825481094163</v>
      </c>
      <c r="M5" s="19">
        <v>2.8691186523987802</v>
      </c>
      <c r="N5" s="19">
        <v>0.64013332295684322</v>
      </c>
    </row>
    <row r="6" spans="1:14" x14ac:dyDescent="0.3">
      <c r="A6" s="2"/>
      <c r="B6" s="29">
        <v>1</v>
      </c>
      <c r="C6" s="30">
        <v>14.9664573834732</v>
      </c>
      <c r="D6" s="36"/>
      <c r="E6" s="30">
        <v>6.6906997447058503</v>
      </c>
      <c r="F6" s="36"/>
      <c r="G6" s="30">
        <v>1.09552739043026</v>
      </c>
      <c r="H6" s="36"/>
      <c r="K6">
        <v>0</v>
      </c>
      <c r="L6" s="19">
        <v>2.8259605439215481</v>
      </c>
      <c r="M6" s="19">
        <v>1.0394928367500738</v>
      </c>
      <c r="N6" s="19">
        <v>0.20606102493750783</v>
      </c>
    </row>
    <row r="7" spans="1:14" x14ac:dyDescent="0.3">
      <c r="A7" s="7" t="s">
        <v>8</v>
      </c>
      <c r="B7" s="10">
        <f>AVERAGE(B4:B6)</f>
        <v>1</v>
      </c>
      <c r="C7" s="9">
        <f>AVERAGE(C4:C6)</f>
        <v>18.997470531789933</v>
      </c>
      <c r="D7" s="6"/>
      <c r="E7" s="9">
        <f>AVERAGE(E4:E6)</f>
        <v>6.0261252326222534</v>
      </c>
      <c r="F7" s="6"/>
      <c r="G7" s="9">
        <f>AVERAGE(G4:G6)</f>
        <v>0.90973501259711453</v>
      </c>
      <c r="J7" s="4" t="s">
        <v>45</v>
      </c>
      <c r="K7">
        <v>1</v>
      </c>
      <c r="L7" s="19">
        <v>13.950732422259433</v>
      </c>
      <c r="M7" s="19">
        <v>0.48560026943251938</v>
      </c>
      <c r="N7" s="19">
        <v>1.6254450017337334</v>
      </c>
    </row>
    <row r="8" spans="1:14" x14ac:dyDescent="0.3">
      <c r="A8" s="7" t="s">
        <v>9</v>
      </c>
      <c r="B8" s="23">
        <f>_xlfn.STDEV.P(B4:B6)</f>
        <v>0</v>
      </c>
      <c r="C8" s="9">
        <f>_xlfn.STDEV.P(C4:C6)</f>
        <v>5.6958326275888354</v>
      </c>
      <c r="D8" s="6"/>
      <c r="E8" s="9">
        <f>_xlfn.STDEV.P(E4:E6)</f>
        <v>0.5178171242928743</v>
      </c>
      <c r="F8" s="6"/>
      <c r="G8" s="9">
        <f>_xlfn.STDEV.P(G4:G6)</f>
        <v>0.15091375520924374</v>
      </c>
      <c r="K8">
        <v>0</v>
      </c>
      <c r="L8" s="19">
        <v>2.3476267286380308</v>
      </c>
      <c r="M8" s="19">
        <v>0.14411757712867046</v>
      </c>
      <c r="N8" s="19">
        <v>0.36515275060600977</v>
      </c>
    </row>
    <row r="9" spans="1:14" x14ac:dyDescent="0.3">
      <c r="A9" s="2"/>
      <c r="B9" s="5"/>
      <c r="C9" s="6"/>
      <c r="D9" s="6"/>
      <c r="E9" s="6"/>
      <c r="F9" s="6"/>
      <c r="G9" s="6"/>
    </row>
    <row r="10" spans="1:14" x14ac:dyDescent="0.3">
      <c r="A10" s="2"/>
      <c r="B10" s="2"/>
      <c r="C10" s="6"/>
      <c r="D10" s="6"/>
      <c r="E10" s="6"/>
      <c r="F10" s="6"/>
      <c r="G10" s="6"/>
    </row>
    <row r="11" spans="1:14" x14ac:dyDescent="0.3">
      <c r="A11" s="4" t="s">
        <v>10</v>
      </c>
      <c r="B11" s="18">
        <v>1</v>
      </c>
      <c r="C11" s="6">
        <v>41.136258309919498</v>
      </c>
      <c r="D11" s="36" t="s">
        <v>17</v>
      </c>
      <c r="E11" s="6">
        <v>2.3627062711852398</v>
      </c>
      <c r="F11" s="36" t="s">
        <v>20</v>
      </c>
      <c r="G11" s="6">
        <v>0.43833596990982698</v>
      </c>
      <c r="H11" s="36" t="s">
        <v>23</v>
      </c>
    </row>
    <row r="12" spans="1:14" x14ac:dyDescent="0.3">
      <c r="A12" s="13"/>
      <c r="B12" s="18">
        <v>1</v>
      </c>
      <c r="C12" s="6">
        <v>46.787232966316402</v>
      </c>
      <c r="D12" s="36"/>
      <c r="E12" s="6">
        <v>1.92713535526844</v>
      </c>
      <c r="F12" s="36"/>
      <c r="G12" s="6">
        <v>0.55896033714692395</v>
      </c>
      <c r="H12" s="36"/>
    </row>
    <row r="13" spans="1:14" x14ac:dyDescent="0.3">
      <c r="A13" s="13"/>
      <c r="B13" s="18">
        <v>1</v>
      </c>
      <c r="C13" s="6">
        <v>47.423985167046602</v>
      </c>
      <c r="D13" s="36"/>
      <c r="E13" s="6">
        <v>4.31751433074266</v>
      </c>
      <c r="F13" s="36"/>
      <c r="G13" s="6">
        <v>0.92310366181377901</v>
      </c>
      <c r="H13" s="36"/>
    </row>
    <row r="14" spans="1:14" x14ac:dyDescent="0.3">
      <c r="A14" s="7" t="s">
        <v>8</v>
      </c>
      <c r="B14" s="10">
        <f>AVERAGE(B11:B13)</f>
        <v>1</v>
      </c>
      <c r="C14" s="9">
        <f t="shared" ref="C14:G14" si="0">AVERAGE(C11:C13)</f>
        <v>45.115825481094163</v>
      </c>
      <c r="D14" s="6"/>
      <c r="E14" s="9">
        <f t="shared" si="0"/>
        <v>2.8691186523987802</v>
      </c>
      <c r="F14" s="6"/>
      <c r="G14" s="9">
        <f t="shared" si="0"/>
        <v>0.64013332295684322</v>
      </c>
    </row>
    <row r="15" spans="1:14" x14ac:dyDescent="0.3">
      <c r="A15" s="7" t="s">
        <v>9</v>
      </c>
      <c r="B15" s="10">
        <f>_xlfn.STDEV.P(B11:B13)</f>
        <v>0</v>
      </c>
      <c r="C15" s="9">
        <f t="shared" ref="C15:G15" si="1">_xlfn.STDEV.P(C11:C13)</f>
        <v>2.8259605439215481</v>
      </c>
      <c r="D15" s="6"/>
      <c r="E15" s="9">
        <f t="shared" si="1"/>
        <v>1.0394928367500738</v>
      </c>
      <c r="F15" s="6"/>
      <c r="G15" s="9">
        <f t="shared" si="1"/>
        <v>0.20606102493750783</v>
      </c>
    </row>
    <row r="16" spans="1:14" x14ac:dyDescent="0.3">
      <c r="A16" s="2"/>
      <c r="B16" s="5"/>
      <c r="C16" s="6"/>
      <c r="D16" s="6"/>
      <c r="E16" s="6"/>
      <c r="F16" s="6"/>
      <c r="G16" s="6"/>
    </row>
    <row r="17" spans="1:8" x14ac:dyDescent="0.3">
      <c r="A17" s="2"/>
      <c r="B17" s="2"/>
      <c r="C17" s="6"/>
      <c r="D17" s="6"/>
      <c r="E17" s="6"/>
      <c r="F17" s="6"/>
      <c r="G17" s="6"/>
    </row>
    <row r="18" spans="1:8" x14ac:dyDescent="0.3">
      <c r="A18" s="4" t="s">
        <v>11</v>
      </c>
      <c r="B18" s="18">
        <v>1</v>
      </c>
      <c r="C18" s="6">
        <v>15.511725995950799</v>
      </c>
      <c r="D18" s="36" t="s">
        <v>18</v>
      </c>
      <c r="E18" s="6">
        <v>0.50462087704057301</v>
      </c>
      <c r="F18" s="36" t="s">
        <v>21</v>
      </c>
      <c r="G18" s="6">
        <v>1.5335294301467699</v>
      </c>
      <c r="H18" s="36" t="s">
        <v>24</v>
      </c>
    </row>
    <row r="19" spans="1:8" x14ac:dyDescent="0.3">
      <c r="A19" s="2"/>
      <c r="B19" s="18">
        <v>1</v>
      </c>
      <c r="C19" s="6">
        <v>15.707852860823101</v>
      </c>
      <c r="D19" s="36"/>
      <c r="E19" s="6">
        <v>0.300353013279754</v>
      </c>
      <c r="F19" s="36"/>
      <c r="G19" s="6">
        <v>1.2313250186186</v>
      </c>
      <c r="H19" s="36"/>
    </row>
    <row r="20" spans="1:8" x14ac:dyDescent="0.3">
      <c r="A20" s="2"/>
      <c r="B20" s="18">
        <v>1</v>
      </c>
      <c r="C20" s="6">
        <v>10.632618410004399</v>
      </c>
      <c r="D20" s="36"/>
      <c r="E20" s="6">
        <v>0.65182691797723102</v>
      </c>
      <c r="F20" s="36"/>
      <c r="G20" s="6">
        <v>2.1114805564358301</v>
      </c>
      <c r="H20" s="36"/>
    </row>
    <row r="21" spans="1:8" x14ac:dyDescent="0.3">
      <c r="A21" s="11" t="s">
        <v>8</v>
      </c>
      <c r="B21" s="23">
        <f>AVERAGE(B18:B20)</f>
        <v>1</v>
      </c>
      <c r="C21" s="9">
        <f t="shared" ref="C21:G21" si="2">AVERAGE(C18:C20)</f>
        <v>13.950732422259433</v>
      </c>
      <c r="D21" s="6"/>
      <c r="E21" s="9">
        <f t="shared" si="2"/>
        <v>0.48560026943251938</v>
      </c>
      <c r="F21" s="6"/>
      <c r="G21" s="9">
        <f t="shared" si="2"/>
        <v>1.6254450017337334</v>
      </c>
    </row>
    <row r="22" spans="1:8" x14ac:dyDescent="0.3">
      <c r="A22" s="11" t="s">
        <v>9</v>
      </c>
      <c r="B22" s="11">
        <f>_xlfn.STDEV.P(B18:B20)</f>
        <v>0</v>
      </c>
      <c r="C22" s="12">
        <f t="shared" ref="C22:G22" si="3">_xlfn.STDEV.P(C18:C20)</f>
        <v>2.3476267286380308</v>
      </c>
      <c r="D22" s="6"/>
      <c r="E22" s="12">
        <f t="shared" si="3"/>
        <v>0.14411757712867046</v>
      </c>
      <c r="F22" s="6"/>
      <c r="G22" s="12">
        <f t="shared" si="3"/>
        <v>0.36515275060600977</v>
      </c>
    </row>
    <row r="23" spans="1:8" x14ac:dyDescent="0.3">
      <c r="A23" s="2"/>
      <c r="D23" s="6"/>
      <c r="F23" s="6"/>
    </row>
    <row r="24" spans="1:8" x14ac:dyDescent="0.3">
      <c r="F24" s="6"/>
    </row>
  </sheetData>
  <mergeCells count="10">
    <mergeCell ref="B2:G2"/>
    <mergeCell ref="D4:D6"/>
    <mergeCell ref="F4:F6"/>
    <mergeCell ref="D11:D13"/>
    <mergeCell ref="F11:F13"/>
    <mergeCell ref="F18:F20"/>
    <mergeCell ref="D18:D20"/>
    <mergeCell ref="H4:H6"/>
    <mergeCell ref="H11:H13"/>
    <mergeCell ref="H18:H20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C772-549F-407B-A6B9-32F2ED2FF002}">
  <dimension ref="B1:J13"/>
  <sheetViews>
    <sheetView workbookViewId="0">
      <selection activeCell="G23" sqref="G23"/>
    </sheetView>
  </sheetViews>
  <sheetFormatPr defaultRowHeight="14.4" x14ac:dyDescent="0.3"/>
  <sheetData>
    <row r="1" spans="2:10" ht="15" x14ac:dyDescent="0.3">
      <c r="B1" s="1" t="s">
        <v>3</v>
      </c>
      <c r="C1" s="1" t="s">
        <v>57</v>
      </c>
      <c r="D1" s="1" t="s">
        <v>58</v>
      </c>
      <c r="E1" s="3" t="s">
        <v>56</v>
      </c>
      <c r="I1" t="s">
        <v>59</v>
      </c>
      <c r="J1" t="s">
        <v>60</v>
      </c>
    </row>
    <row r="2" spans="2:10" x14ac:dyDescent="0.3">
      <c r="B2" s="29">
        <v>1</v>
      </c>
      <c r="C2" s="30">
        <v>14.9733609152594</v>
      </c>
      <c r="D2" s="30">
        <v>5.9602162784990798</v>
      </c>
      <c r="E2" s="30">
        <v>0.907796706908784</v>
      </c>
      <c r="I2" s="1" t="s">
        <v>3</v>
      </c>
      <c r="J2" s="29">
        <v>1</v>
      </c>
    </row>
    <row r="3" spans="2:10" x14ac:dyDescent="0.3">
      <c r="B3" s="29">
        <v>1</v>
      </c>
      <c r="C3" s="30">
        <v>27.052593296637198</v>
      </c>
      <c r="D3" s="30">
        <v>5.4274596746618302</v>
      </c>
      <c r="E3" s="30">
        <v>0.72588094045230001</v>
      </c>
      <c r="I3" s="1" t="s">
        <v>3</v>
      </c>
      <c r="J3" s="29">
        <v>1</v>
      </c>
    </row>
    <row r="4" spans="2:10" x14ac:dyDescent="0.3">
      <c r="B4" s="29">
        <v>1</v>
      </c>
      <c r="C4" s="30">
        <v>14.9664573834732</v>
      </c>
      <c r="D4" s="30">
        <v>6.6906997447058503</v>
      </c>
      <c r="E4" s="30">
        <v>1.09552739043026</v>
      </c>
      <c r="I4" s="1" t="s">
        <v>3</v>
      </c>
      <c r="J4" s="29">
        <v>1</v>
      </c>
    </row>
    <row r="5" spans="2:10" x14ac:dyDescent="0.3">
      <c r="I5" s="1" t="s">
        <v>57</v>
      </c>
      <c r="J5" s="30">
        <v>14.9733609152594</v>
      </c>
    </row>
    <row r="6" spans="2:10" x14ac:dyDescent="0.3">
      <c r="I6" s="1" t="s">
        <v>57</v>
      </c>
      <c r="J6" s="30">
        <v>27.052593296637198</v>
      </c>
    </row>
    <row r="7" spans="2:10" x14ac:dyDescent="0.3">
      <c r="I7" s="1" t="s">
        <v>57</v>
      </c>
      <c r="J7" s="30">
        <v>14.9664573834732</v>
      </c>
    </row>
    <row r="8" spans="2:10" x14ac:dyDescent="0.3">
      <c r="I8" s="1" t="s">
        <v>58</v>
      </c>
      <c r="J8" s="30">
        <v>5.9602162784990798</v>
      </c>
    </row>
    <row r="9" spans="2:10" x14ac:dyDescent="0.3">
      <c r="I9" s="1" t="s">
        <v>58</v>
      </c>
      <c r="J9" s="30">
        <v>5.4274596746618302</v>
      </c>
    </row>
    <row r="10" spans="2:10" x14ac:dyDescent="0.3">
      <c r="I10" s="1" t="s">
        <v>58</v>
      </c>
      <c r="J10" s="30">
        <v>6.6906997447058503</v>
      </c>
    </row>
    <row r="11" spans="2:10" x14ac:dyDescent="0.3">
      <c r="I11" s="3" t="s">
        <v>56</v>
      </c>
      <c r="J11" s="30">
        <v>0.907796706908784</v>
      </c>
    </row>
    <row r="12" spans="2:10" x14ac:dyDescent="0.3">
      <c r="I12" s="3" t="s">
        <v>56</v>
      </c>
      <c r="J12" s="30">
        <v>0.72588094045230001</v>
      </c>
    </row>
    <row r="13" spans="2:10" x14ac:dyDescent="0.3">
      <c r="I13" s="3" t="s">
        <v>56</v>
      </c>
      <c r="J13" s="30">
        <v>1.09552739043026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17E4-6A38-4A6A-A147-FDFAD753ACEF}">
  <dimension ref="B2:N21"/>
  <sheetViews>
    <sheetView workbookViewId="0">
      <selection activeCell="D4" sqref="D4"/>
    </sheetView>
  </sheetViews>
  <sheetFormatPr defaultRowHeight="14.4" x14ac:dyDescent="0.3"/>
  <sheetData>
    <row r="2" spans="2:14" x14ac:dyDescent="0.3">
      <c r="C2" s="39" t="s">
        <v>47</v>
      </c>
      <c r="D2" s="39"/>
      <c r="E2" s="39"/>
      <c r="F2" s="39"/>
      <c r="G2" s="39" t="s">
        <v>48</v>
      </c>
      <c r="H2" s="39"/>
      <c r="I2" s="39"/>
      <c r="J2" s="39"/>
      <c r="K2" s="39" t="s">
        <v>49</v>
      </c>
      <c r="L2" s="39"/>
      <c r="M2" s="39"/>
      <c r="N2" s="39"/>
    </row>
    <row r="3" spans="2:14" ht="16.2" x14ac:dyDescent="0.3">
      <c r="B3" s="2"/>
      <c r="C3" s="1" t="s">
        <v>3</v>
      </c>
      <c r="D3" s="3" t="s">
        <v>5</v>
      </c>
      <c r="E3" s="3" t="s">
        <v>4</v>
      </c>
      <c r="F3" s="3" t="s">
        <v>46</v>
      </c>
      <c r="G3" s="1" t="s">
        <v>3</v>
      </c>
      <c r="H3" s="1" t="s">
        <v>5</v>
      </c>
      <c r="I3" s="1" t="s">
        <v>4</v>
      </c>
      <c r="J3" s="3" t="s">
        <v>6</v>
      </c>
      <c r="K3" s="1" t="s">
        <v>3</v>
      </c>
      <c r="L3" s="1" t="s">
        <v>5</v>
      </c>
      <c r="M3" s="1" t="s">
        <v>4</v>
      </c>
      <c r="N3" s="3" t="s">
        <v>6</v>
      </c>
    </row>
    <row r="4" spans="2:14" x14ac:dyDescent="0.3">
      <c r="B4" s="4" t="s">
        <v>43</v>
      </c>
      <c r="C4" s="18">
        <v>1</v>
      </c>
      <c r="D4" s="6">
        <v>3.4216726609022765</v>
      </c>
      <c r="E4" s="6">
        <v>13.3928881998447</v>
      </c>
      <c r="F4" s="6">
        <v>0.73942013234227577</v>
      </c>
      <c r="G4">
        <v>1</v>
      </c>
      <c r="H4" s="19">
        <v>1.8823406639411768</v>
      </c>
      <c r="I4" s="19">
        <v>3.7365890453350334</v>
      </c>
      <c r="J4" s="19">
        <v>1.0248417589153187</v>
      </c>
      <c r="K4">
        <v>1</v>
      </c>
      <c r="L4" s="19">
        <v>6.0261252326222534</v>
      </c>
      <c r="M4" s="19">
        <v>18.997470531789933</v>
      </c>
      <c r="N4" s="19">
        <v>0.90973501259711453</v>
      </c>
    </row>
    <row r="5" spans="2:14" x14ac:dyDescent="0.3">
      <c r="B5" s="2"/>
      <c r="C5" s="18">
        <v>0</v>
      </c>
      <c r="D5" s="19">
        <v>1.3270283245264494</v>
      </c>
      <c r="E5" s="19">
        <v>2.4759517447557386</v>
      </c>
      <c r="F5" s="19">
        <v>0.1876332314173807</v>
      </c>
      <c r="G5">
        <v>0</v>
      </c>
      <c r="H5" s="19">
        <v>0.43325063897629462</v>
      </c>
      <c r="I5" s="19">
        <v>0.83188055717628417</v>
      </c>
      <c r="J5" s="19">
        <v>0.14034182893315331</v>
      </c>
      <c r="K5">
        <v>0</v>
      </c>
      <c r="L5" s="19">
        <v>0.5178171242928743</v>
      </c>
      <c r="M5" s="19">
        <v>5.6958326275888354</v>
      </c>
      <c r="N5" s="19">
        <v>0.15091375520924374</v>
      </c>
    </row>
    <row r="6" spans="2:14" x14ac:dyDescent="0.3">
      <c r="B6" s="4" t="s">
        <v>44</v>
      </c>
      <c r="C6" s="25">
        <v>1</v>
      </c>
      <c r="D6" s="24">
        <v>10.048873336565821</v>
      </c>
      <c r="E6" s="24">
        <v>56.752390356325066</v>
      </c>
      <c r="F6" s="19">
        <v>1.7300003750671182</v>
      </c>
      <c r="G6">
        <v>1</v>
      </c>
      <c r="H6" s="19">
        <v>2.8805237708687468</v>
      </c>
      <c r="I6" s="19">
        <v>53.544915046169869</v>
      </c>
      <c r="J6" s="19">
        <v>1.181255052664433</v>
      </c>
      <c r="K6">
        <v>1</v>
      </c>
      <c r="L6" s="19">
        <v>2.8691186523987802</v>
      </c>
      <c r="M6" s="19">
        <v>45.115825481094163</v>
      </c>
      <c r="N6" s="19">
        <v>0.64013332295684322</v>
      </c>
    </row>
    <row r="7" spans="2:14" x14ac:dyDescent="0.3">
      <c r="B7" s="13"/>
      <c r="C7" s="25">
        <v>0</v>
      </c>
      <c r="D7" s="24">
        <v>8.784197563654951</v>
      </c>
      <c r="E7" s="24">
        <v>22.882035940555561</v>
      </c>
      <c r="F7" s="19">
        <v>1.2930494907630021</v>
      </c>
      <c r="G7">
        <v>0</v>
      </c>
      <c r="H7" s="19">
        <v>0.27848755867212521</v>
      </c>
      <c r="I7" s="19">
        <v>39.507973647363158</v>
      </c>
      <c r="J7" s="19">
        <v>0.14975131261632563</v>
      </c>
      <c r="K7">
        <v>0</v>
      </c>
      <c r="L7" s="19">
        <v>1.0394928367500738</v>
      </c>
      <c r="M7" s="19">
        <v>2.8259605439215481</v>
      </c>
      <c r="N7" s="19">
        <v>0.20606102493750783</v>
      </c>
    </row>
    <row r="8" spans="2:14" x14ac:dyDescent="0.3">
      <c r="B8" s="4" t="s">
        <v>45</v>
      </c>
      <c r="C8" s="25">
        <v>1</v>
      </c>
      <c r="D8" s="24">
        <v>3.1443653303093835</v>
      </c>
      <c r="E8" s="24">
        <v>44.81396925790947</v>
      </c>
      <c r="F8" s="19">
        <v>1.7332233075396355</v>
      </c>
      <c r="G8">
        <v>1</v>
      </c>
      <c r="H8" s="19">
        <v>1.3300848322449152</v>
      </c>
      <c r="I8" s="19">
        <v>3.4406737449351064</v>
      </c>
      <c r="J8" s="19">
        <v>2.0909206912632663</v>
      </c>
      <c r="K8">
        <v>1</v>
      </c>
      <c r="L8" s="19">
        <v>0.48560026943251938</v>
      </c>
      <c r="M8" s="19">
        <v>13.950732422259433</v>
      </c>
      <c r="N8" s="19">
        <v>1.6254450017337334</v>
      </c>
    </row>
    <row r="9" spans="2:14" x14ac:dyDescent="0.3">
      <c r="B9" s="13"/>
      <c r="C9" s="25">
        <v>0</v>
      </c>
      <c r="D9" s="24">
        <v>0.37325157298531608</v>
      </c>
      <c r="E9" s="24">
        <v>22.996386670371592</v>
      </c>
      <c r="F9" s="19">
        <v>0.6365085637011817</v>
      </c>
      <c r="G9">
        <v>0</v>
      </c>
      <c r="H9" s="19">
        <v>0.34331619509545269</v>
      </c>
      <c r="I9" s="19">
        <v>1.0195636090070346</v>
      </c>
      <c r="J9" s="19">
        <v>0.16231593474909936</v>
      </c>
      <c r="K9">
        <v>0</v>
      </c>
      <c r="L9" s="19">
        <v>0.14411757712867046</v>
      </c>
      <c r="M9" s="19">
        <v>2.3476267286380308</v>
      </c>
      <c r="N9" s="19">
        <v>0.36515275060600977</v>
      </c>
    </row>
    <row r="13" spans="2:14" x14ac:dyDescent="0.3">
      <c r="B13" s="5"/>
      <c r="C13" s="3" t="s">
        <v>50</v>
      </c>
      <c r="D13" s="3" t="s">
        <v>51</v>
      </c>
      <c r="E13" s="3" t="s">
        <v>52</v>
      </c>
    </row>
    <row r="14" spans="2:14" x14ac:dyDescent="0.3">
      <c r="B14" s="3" t="s">
        <v>3</v>
      </c>
      <c r="C14" s="26">
        <v>1</v>
      </c>
      <c r="D14" s="26">
        <v>1</v>
      </c>
      <c r="E14" s="26">
        <v>1</v>
      </c>
    </row>
    <row r="15" spans="2:14" x14ac:dyDescent="0.3">
      <c r="B15" s="3"/>
      <c r="C15" s="26">
        <v>0</v>
      </c>
      <c r="D15" s="26">
        <v>0</v>
      </c>
      <c r="E15" s="26">
        <v>0</v>
      </c>
    </row>
    <row r="16" spans="2:14" x14ac:dyDescent="0.3">
      <c r="B16" s="27" t="s">
        <v>53</v>
      </c>
      <c r="C16" s="28">
        <v>3.7365890453350334</v>
      </c>
      <c r="D16" s="28">
        <v>13.3928881998447</v>
      </c>
      <c r="E16" s="26">
        <v>18.997470531789933</v>
      </c>
    </row>
    <row r="17" spans="2:5" x14ac:dyDescent="0.3">
      <c r="B17" s="27"/>
      <c r="C17" s="28">
        <v>0.83188055717628417</v>
      </c>
      <c r="D17" s="28">
        <v>2.4759517447557386</v>
      </c>
      <c r="E17" s="26">
        <v>5.6958326275888354</v>
      </c>
    </row>
    <row r="18" spans="2:5" x14ac:dyDescent="0.3">
      <c r="B18" s="27" t="s">
        <v>54</v>
      </c>
      <c r="C18" s="26">
        <v>1.8823406639411768</v>
      </c>
      <c r="D18" s="26">
        <v>3.4216726609022765</v>
      </c>
      <c r="E18" s="26">
        <v>6.0261252326222534</v>
      </c>
    </row>
    <row r="19" spans="2:5" x14ac:dyDescent="0.3">
      <c r="B19" s="27"/>
      <c r="C19" s="26">
        <v>0.43325063897629462</v>
      </c>
      <c r="D19" s="26">
        <v>1.3270283245264494</v>
      </c>
      <c r="E19" s="26">
        <v>0.5178171242928743</v>
      </c>
    </row>
    <row r="20" spans="2:5" ht="16.2" x14ac:dyDescent="0.3">
      <c r="B20" s="27" t="s">
        <v>55</v>
      </c>
      <c r="C20" s="26">
        <v>1.0248417589153187</v>
      </c>
      <c r="D20" s="26">
        <v>0.73942013234227577</v>
      </c>
      <c r="E20" s="26">
        <v>0.90973501259711453</v>
      </c>
    </row>
    <row r="21" spans="2:5" x14ac:dyDescent="0.3">
      <c r="C21">
        <v>0.14034182893315331</v>
      </c>
      <c r="D21">
        <v>0.1876332314173807</v>
      </c>
      <c r="E21">
        <v>0.15091375520924374</v>
      </c>
    </row>
  </sheetData>
  <mergeCells count="3">
    <mergeCell ref="C2:F2"/>
    <mergeCell ref="G2:J2"/>
    <mergeCell ref="K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SXM</vt:lpstr>
      <vt:lpstr>SXM - Only 2</vt:lpstr>
      <vt:lpstr>PDM</vt:lpstr>
      <vt:lpstr>PDM - Only 2</vt:lpstr>
      <vt:lpstr>PLATE</vt:lpstr>
      <vt:lpstr>PLATE - Only 2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2023-10-11T09:37:12Z</dcterms:created>
  <dcterms:modified xsi:type="dcterms:W3CDTF">2025-03-26T23:07:46Z</dcterms:modified>
</cp:coreProperties>
</file>