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C:\Users\lucia\OneDrive - Wageningen University &amp; Research\UCI_projects\Project_8 (Reviews)\Family\Pere\doctorado\datasets\"/>
    </mc:Choice>
  </mc:AlternateContent>
  <xr:revisionPtr revIDLastSave="0" documentId="13_ncr:1_{5E6DAE14-AD91-4714-BBEB-840F5992E8A5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Tabelle 1" sheetId="1" r:id="rId1"/>
    <sheet name="Summary" sheetId="2" r:id="rId2"/>
    <sheet name="Degree of Symptoms" sheetId="4" r:id="rId3"/>
    <sheet name="Diagramm con" sheetId="6" r:id="rId4"/>
    <sheet name="Tabelle1 (con)" sheetId="7" r:id="rId5"/>
    <sheet name="Tabelle1 (sin)" sheetId="9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3" i="7" l="1"/>
  <c r="Z4" i="7"/>
  <c r="Z5" i="7"/>
  <c r="Z6" i="7"/>
  <c r="Z2" i="7"/>
  <c r="Y3" i="7"/>
  <c r="Y4" i="7"/>
  <c r="Y5" i="7"/>
  <c r="Y6" i="7"/>
  <c r="Y2" i="7"/>
  <c r="X3" i="7"/>
  <c r="X4" i="7"/>
  <c r="X5" i="7"/>
  <c r="X6" i="7"/>
  <c r="X2" i="7"/>
  <c r="W3" i="7"/>
  <c r="W4" i="7"/>
  <c r="W5" i="7"/>
  <c r="W6" i="7"/>
  <c r="W2" i="7"/>
  <c r="V3" i="7"/>
  <c r="V4" i="7"/>
  <c r="V5" i="7"/>
  <c r="V6" i="7"/>
  <c r="V2" i="7"/>
  <c r="U3" i="7"/>
  <c r="U4" i="7"/>
  <c r="U5" i="7"/>
  <c r="U6" i="7"/>
  <c r="U2" i="7"/>
  <c r="R4" i="9"/>
  <c r="R3" i="9"/>
  <c r="R2" i="9"/>
  <c r="N4" i="9"/>
  <c r="N3" i="9"/>
  <c r="N2" i="9"/>
  <c r="M2" i="9"/>
  <c r="F249" i="9"/>
  <c r="D247" i="9"/>
  <c r="C247" i="9"/>
  <c r="B247" i="9"/>
  <c r="E247" i="9" s="1"/>
  <c r="D246" i="9"/>
  <c r="C246" i="9"/>
  <c r="B246" i="9"/>
  <c r="E246" i="9" s="1"/>
  <c r="D245" i="9"/>
  <c r="C245" i="9"/>
  <c r="E245" i="9" s="1"/>
  <c r="B245" i="9"/>
  <c r="D244" i="9"/>
  <c r="C244" i="9"/>
  <c r="B244" i="9"/>
  <c r="E244" i="9" s="1"/>
  <c r="D243" i="9"/>
  <c r="C243" i="9"/>
  <c r="B243" i="9"/>
  <c r="E243" i="9" s="1"/>
  <c r="D242" i="9"/>
  <c r="C242" i="9"/>
  <c r="B242" i="9"/>
  <c r="E242" i="9" s="1"/>
  <c r="D241" i="9"/>
  <c r="C241" i="9"/>
  <c r="B241" i="9"/>
  <c r="E241" i="9" s="1"/>
  <c r="D240" i="9"/>
  <c r="C240" i="9"/>
  <c r="E240" i="9" s="1"/>
  <c r="B240" i="9"/>
  <c r="D239" i="9"/>
  <c r="C239" i="9"/>
  <c r="B239" i="9"/>
  <c r="E239" i="9" s="1"/>
  <c r="D238" i="9"/>
  <c r="C238" i="9"/>
  <c r="B238" i="9"/>
  <c r="E238" i="9" s="1"/>
  <c r="D237" i="9"/>
  <c r="C237" i="9"/>
  <c r="B237" i="9"/>
  <c r="E237" i="9" s="1"/>
  <c r="D236" i="9"/>
  <c r="C236" i="9"/>
  <c r="E236" i="9" s="1"/>
  <c r="B236" i="9"/>
  <c r="D235" i="9"/>
  <c r="C235" i="9"/>
  <c r="B235" i="9"/>
  <c r="E235" i="9" s="1"/>
  <c r="D234" i="9"/>
  <c r="C234" i="9"/>
  <c r="B234" i="9"/>
  <c r="E234" i="9" s="1"/>
  <c r="D233" i="9"/>
  <c r="C233" i="9"/>
  <c r="B233" i="9"/>
  <c r="B249" i="9" s="1"/>
  <c r="A232" i="9"/>
  <c r="B229" i="9"/>
  <c r="F228" i="9"/>
  <c r="D226" i="9"/>
  <c r="C226" i="9"/>
  <c r="B226" i="9"/>
  <c r="E226" i="9" s="1"/>
  <c r="D225" i="9"/>
  <c r="C225" i="9"/>
  <c r="B225" i="9"/>
  <c r="E225" i="9" s="1"/>
  <c r="D224" i="9"/>
  <c r="C224" i="9"/>
  <c r="B224" i="9"/>
  <c r="E224" i="9" s="1"/>
  <c r="D223" i="9"/>
  <c r="C223" i="9"/>
  <c r="E223" i="9" s="1"/>
  <c r="B223" i="9"/>
  <c r="D222" i="9"/>
  <c r="C222" i="9"/>
  <c r="B222" i="9"/>
  <c r="E222" i="9" s="1"/>
  <c r="D221" i="9"/>
  <c r="C221" i="9"/>
  <c r="B221" i="9"/>
  <c r="E221" i="9" s="1"/>
  <c r="D220" i="9"/>
  <c r="C220" i="9"/>
  <c r="B220" i="9"/>
  <c r="E220" i="9" s="1"/>
  <c r="D219" i="9"/>
  <c r="C219" i="9"/>
  <c r="B219" i="9"/>
  <c r="D218" i="9"/>
  <c r="C218" i="9"/>
  <c r="E218" i="9" s="1"/>
  <c r="B218" i="9"/>
  <c r="D217" i="9"/>
  <c r="C217" i="9"/>
  <c r="B217" i="9"/>
  <c r="E217" i="9" s="1"/>
  <c r="D216" i="9"/>
  <c r="C216" i="9"/>
  <c r="B216" i="9"/>
  <c r="E216" i="9" s="1"/>
  <c r="D215" i="9"/>
  <c r="C215" i="9"/>
  <c r="B215" i="9"/>
  <c r="E215" i="9" s="1"/>
  <c r="D214" i="9"/>
  <c r="D229" i="9" s="1"/>
  <c r="C214" i="9"/>
  <c r="C229" i="9" s="1"/>
  <c r="B214" i="9"/>
  <c r="D213" i="9"/>
  <c r="C213" i="9"/>
  <c r="B213" i="9"/>
  <c r="E213" i="9" s="1"/>
  <c r="D212" i="9"/>
  <c r="C212" i="9"/>
  <c r="B212" i="9"/>
  <c r="A211" i="9"/>
  <c r="F207" i="9"/>
  <c r="D205" i="9"/>
  <c r="C205" i="9"/>
  <c r="B205" i="9"/>
  <c r="E205" i="9" s="1"/>
  <c r="D204" i="9"/>
  <c r="C204" i="9"/>
  <c r="B204" i="9"/>
  <c r="E204" i="9" s="1"/>
  <c r="D203" i="9"/>
  <c r="C203" i="9"/>
  <c r="B203" i="9"/>
  <c r="E203" i="9" s="1"/>
  <c r="D202" i="9"/>
  <c r="C202" i="9"/>
  <c r="B202" i="9"/>
  <c r="E202" i="9" s="1"/>
  <c r="D201" i="9"/>
  <c r="C201" i="9"/>
  <c r="E201" i="9" s="1"/>
  <c r="B201" i="9"/>
  <c r="D200" i="9"/>
  <c r="C200" i="9"/>
  <c r="B200" i="9"/>
  <c r="E200" i="9" s="1"/>
  <c r="D199" i="9"/>
  <c r="C199" i="9"/>
  <c r="B199" i="9"/>
  <c r="E199" i="9" s="1"/>
  <c r="D198" i="9"/>
  <c r="C198" i="9"/>
  <c r="B198" i="9"/>
  <c r="E198" i="9" s="1"/>
  <c r="D197" i="9"/>
  <c r="C197" i="9"/>
  <c r="B197" i="9"/>
  <c r="E197" i="9" s="1"/>
  <c r="D196" i="9"/>
  <c r="E196" i="9" s="1"/>
  <c r="C196" i="9"/>
  <c r="B196" i="9"/>
  <c r="D195" i="9"/>
  <c r="C195" i="9"/>
  <c r="B195" i="9"/>
  <c r="E195" i="9" s="1"/>
  <c r="D194" i="9"/>
  <c r="C194" i="9"/>
  <c r="B194" i="9"/>
  <c r="E194" i="9" s="1"/>
  <c r="D193" i="9"/>
  <c r="C193" i="9"/>
  <c r="B193" i="9"/>
  <c r="E193" i="9" s="1"/>
  <c r="D192" i="9"/>
  <c r="D208" i="9" s="1"/>
  <c r="C192" i="9"/>
  <c r="B192" i="9"/>
  <c r="D191" i="9"/>
  <c r="C191" i="9"/>
  <c r="B191" i="9"/>
  <c r="A190" i="9"/>
  <c r="F186" i="9"/>
  <c r="D184" i="9"/>
  <c r="C184" i="9"/>
  <c r="E184" i="9" s="1"/>
  <c r="B184" i="9"/>
  <c r="D183" i="9"/>
  <c r="C183" i="9"/>
  <c r="B183" i="9"/>
  <c r="E183" i="9" s="1"/>
  <c r="D182" i="9"/>
  <c r="C182" i="9"/>
  <c r="B182" i="9"/>
  <c r="E182" i="9" s="1"/>
  <c r="D181" i="9"/>
  <c r="C181" i="9"/>
  <c r="B181" i="9"/>
  <c r="E181" i="9" s="1"/>
  <c r="D180" i="9"/>
  <c r="C180" i="9"/>
  <c r="B180" i="9"/>
  <c r="D179" i="9"/>
  <c r="C179" i="9"/>
  <c r="E179" i="9" s="1"/>
  <c r="B179" i="9"/>
  <c r="D178" i="9"/>
  <c r="C178" i="9"/>
  <c r="B178" i="9"/>
  <c r="E178" i="9" s="1"/>
  <c r="D177" i="9"/>
  <c r="C177" i="9"/>
  <c r="B177" i="9"/>
  <c r="E177" i="9" s="1"/>
  <c r="D176" i="9"/>
  <c r="C176" i="9"/>
  <c r="B176" i="9"/>
  <c r="E176" i="9" s="1"/>
  <c r="D175" i="9"/>
  <c r="C175" i="9"/>
  <c r="B175" i="9"/>
  <c r="E175" i="9" s="1"/>
  <c r="E174" i="9"/>
  <c r="D174" i="9"/>
  <c r="C174" i="9"/>
  <c r="B174" i="9"/>
  <c r="D173" i="9"/>
  <c r="C173" i="9"/>
  <c r="B173" i="9"/>
  <c r="E173" i="9" s="1"/>
  <c r="D172" i="9"/>
  <c r="C172" i="9"/>
  <c r="B172" i="9"/>
  <c r="E172" i="9" s="1"/>
  <c r="D171" i="9"/>
  <c r="C171" i="9"/>
  <c r="B171" i="9"/>
  <c r="B186" i="9" s="1"/>
  <c r="E170" i="9"/>
  <c r="D170" i="9"/>
  <c r="C170" i="9"/>
  <c r="B170" i="9"/>
  <c r="A169" i="9"/>
  <c r="F165" i="9"/>
  <c r="D163" i="9"/>
  <c r="C163" i="9"/>
  <c r="B163" i="9"/>
  <c r="D162" i="9"/>
  <c r="C162" i="9"/>
  <c r="E162" i="9" s="1"/>
  <c r="B162" i="9"/>
  <c r="D161" i="9"/>
  <c r="C161" i="9"/>
  <c r="B161" i="9"/>
  <c r="E161" i="9" s="1"/>
  <c r="D160" i="9"/>
  <c r="C160" i="9"/>
  <c r="B160" i="9"/>
  <c r="E160" i="9" s="1"/>
  <c r="D159" i="9"/>
  <c r="C159" i="9"/>
  <c r="B159" i="9"/>
  <c r="E159" i="9" s="1"/>
  <c r="D158" i="9"/>
  <c r="C158" i="9"/>
  <c r="B158" i="9"/>
  <c r="E158" i="9" s="1"/>
  <c r="D157" i="9"/>
  <c r="C157" i="9"/>
  <c r="E157" i="9" s="1"/>
  <c r="B157" i="9"/>
  <c r="D156" i="9"/>
  <c r="C156" i="9"/>
  <c r="B156" i="9"/>
  <c r="E156" i="9" s="1"/>
  <c r="D155" i="9"/>
  <c r="C155" i="9"/>
  <c r="B155" i="9"/>
  <c r="E155" i="9" s="1"/>
  <c r="D154" i="9"/>
  <c r="C154" i="9"/>
  <c r="B154" i="9"/>
  <c r="E154" i="9" s="1"/>
  <c r="D153" i="9"/>
  <c r="C153" i="9"/>
  <c r="B153" i="9"/>
  <c r="E153" i="9" s="1"/>
  <c r="D152" i="9"/>
  <c r="C152" i="9"/>
  <c r="B152" i="9"/>
  <c r="E152" i="9" s="1"/>
  <c r="D151" i="9"/>
  <c r="C151" i="9"/>
  <c r="B151" i="9"/>
  <c r="E151" i="9" s="1"/>
  <c r="D150" i="9"/>
  <c r="C150" i="9"/>
  <c r="B150" i="9"/>
  <c r="E150" i="9" s="1"/>
  <c r="D149" i="9"/>
  <c r="C149" i="9"/>
  <c r="B149" i="9"/>
  <c r="A148" i="9"/>
  <c r="F144" i="9"/>
  <c r="D142" i="9"/>
  <c r="C142" i="9"/>
  <c r="B142" i="9"/>
  <c r="E142" i="9" s="1"/>
  <c r="D141" i="9"/>
  <c r="C141" i="9"/>
  <c r="B141" i="9"/>
  <c r="E141" i="9" s="1"/>
  <c r="D140" i="9"/>
  <c r="C140" i="9"/>
  <c r="E140" i="9" s="1"/>
  <c r="B140" i="9"/>
  <c r="D139" i="9"/>
  <c r="C139" i="9"/>
  <c r="B139" i="9"/>
  <c r="E139" i="9" s="1"/>
  <c r="D138" i="9"/>
  <c r="C138" i="9"/>
  <c r="B138" i="9"/>
  <c r="E138" i="9" s="1"/>
  <c r="D137" i="9"/>
  <c r="C137" i="9"/>
  <c r="B137" i="9"/>
  <c r="E137" i="9" s="1"/>
  <c r="D136" i="9"/>
  <c r="C136" i="9"/>
  <c r="B136" i="9"/>
  <c r="E136" i="9" s="1"/>
  <c r="D135" i="9"/>
  <c r="C135" i="9"/>
  <c r="E135" i="9" s="1"/>
  <c r="B135" i="9"/>
  <c r="D134" i="9"/>
  <c r="C134" i="9"/>
  <c r="B134" i="9"/>
  <c r="E134" i="9" s="1"/>
  <c r="D133" i="9"/>
  <c r="C133" i="9"/>
  <c r="B133" i="9"/>
  <c r="E133" i="9" s="1"/>
  <c r="D132" i="9"/>
  <c r="C132" i="9"/>
  <c r="B132" i="9"/>
  <c r="E132" i="9" s="1"/>
  <c r="D131" i="9"/>
  <c r="C131" i="9"/>
  <c r="B131" i="9"/>
  <c r="E131" i="9" s="1"/>
  <c r="D130" i="9"/>
  <c r="C130" i="9"/>
  <c r="B130" i="9"/>
  <c r="E130" i="9" s="1"/>
  <c r="D129" i="9"/>
  <c r="C129" i="9"/>
  <c r="B129" i="9"/>
  <c r="E129" i="9" s="1"/>
  <c r="D128" i="9"/>
  <c r="C128" i="9"/>
  <c r="B128" i="9"/>
  <c r="E128" i="9" s="1"/>
  <c r="A127" i="9"/>
  <c r="F123" i="9"/>
  <c r="D121" i="9"/>
  <c r="C121" i="9"/>
  <c r="B121" i="9"/>
  <c r="E121" i="9" s="1"/>
  <c r="D120" i="9"/>
  <c r="C120" i="9"/>
  <c r="B120" i="9"/>
  <c r="E120" i="9" s="1"/>
  <c r="D119" i="9"/>
  <c r="C119" i="9"/>
  <c r="B119" i="9"/>
  <c r="E119" i="9" s="1"/>
  <c r="D118" i="9"/>
  <c r="C118" i="9"/>
  <c r="E118" i="9" s="1"/>
  <c r="B118" i="9"/>
  <c r="D117" i="9"/>
  <c r="C117" i="9"/>
  <c r="B117" i="9"/>
  <c r="E117" i="9" s="1"/>
  <c r="D116" i="9"/>
  <c r="C116" i="9"/>
  <c r="B116" i="9"/>
  <c r="E116" i="9" s="1"/>
  <c r="D115" i="9"/>
  <c r="C115" i="9"/>
  <c r="B115" i="9"/>
  <c r="E115" i="9" s="1"/>
  <c r="D114" i="9"/>
  <c r="C114" i="9"/>
  <c r="B114" i="9"/>
  <c r="E114" i="9" s="1"/>
  <c r="D113" i="9"/>
  <c r="C113" i="9"/>
  <c r="E113" i="9" s="1"/>
  <c r="B113" i="9"/>
  <c r="D112" i="9"/>
  <c r="C112" i="9"/>
  <c r="B112" i="9"/>
  <c r="E112" i="9" s="1"/>
  <c r="D111" i="9"/>
  <c r="C111" i="9"/>
  <c r="B111" i="9"/>
  <c r="E111" i="9" s="1"/>
  <c r="D110" i="9"/>
  <c r="C110" i="9"/>
  <c r="B110" i="9"/>
  <c r="E110" i="9" s="1"/>
  <c r="D109" i="9"/>
  <c r="D124" i="9" s="1"/>
  <c r="C109" i="9"/>
  <c r="C124" i="9" s="1"/>
  <c r="B109" i="9"/>
  <c r="D108" i="9"/>
  <c r="C108" i="9"/>
  <c r="B108" i="9"/>
  <c r="E108" i="9" s="1"/>
  <c r="D107" i="9"/>
  <c r="C107" i="9"/>
  <c r="B107" i="9"/>
  <c r="B123" i="9" s="1"/>
  <c r="A106" i="9"/>
  <c r="B103" i="9"/>
  <c r="F102" i="9"/>
  <c r="D102" i="9"/>
  <c r="C102" i="9"/>
  <c r="D100" i="9"/>
  <c r="C100" i="9"/>
  <c r="B100" i="9"/>
  <c r="E100" i="9" s="1"/>
  <c r="D99" i="9"/>
  <c r="C99" i="9"/>
  <c r="B99" i="9"/>
  <c r="E99" i="9" s="1"/>
  <c r="D98" i="9"/>
  <c r="C98" i="9"/>
  <c r="B98" i="9"/>
  <c r="E98" i="9" s="1"/>
  <c r="D97" i="9"/>
  <c r="C97" i="9"/>
  <c r="B97" i="9"/>
  <c r="E97" i="9" s="1"/>
  <c r="D96" i="9"/>
  <c r="C96" i="9"/>
  <c r="E96" i="9" s="1"/>
  <c r="B96" i="9"/>
  <c r="D95" i="9"/>
  <c r="C95" i="9"/>
  <c r="B95" i="9"/>
  <c r="E95" i="9" s="1"/>
  <c r="D94" i="9"/>
  <c r="C94" i="9"/>
  <c r="B94" i="9"/>
  <c r="E94" i="9" s="1"/>
  <c r="D93" i="9"/>
  <c r="C93" i="9"/>
  <c r="B93" i="9"/>
  <c r="E93" i="9" s="1"/>
  <c r="D92" i="9"/>
  <c r="C92" i="9"/>
  <c r="B92" i="9"/>
  <c r="E92" i="9" s="1"/>
  <c r="D91" i="9"/>
  <c r="E91" i="9" s="1"/>
  <c r="C91" i="9"/>
  <c r="B91" i="9"/>
  <c r="D90" i="9"/>
  <c r="C90" i="9"/>
  <c r="B90" i="9"/>
  <c r="E90" i="9" s="1"/>
  <c r="D89" i="9"/>
  <c r="C89" i="9"/>
  <c r="B89" i="9"/>
  <c r="E89" i="9" s="1"/>
  <c r="D88" i="9"/>
  <c r="C88" i="9"/>
  <c r="B88" i="9"/>
  <c r="E88" i="9" s="1"/>
  <c r="D87" i="9"/>
  <c r="C87" i="9"/>
  <c r="B87" i="9"/>
  <c r="D86" i="9"/>
  <c r="C86" i="9"/>
  <c r="B86" i="9"/>
  <c r="A85" i="9"/>
  <c r="F81" i="9"/>
  <c r="D79" i="9"/>
  <c r="C79" i="9"/>
  <c r="E79" i="9" s="1"/>
  <c r="B79" i="9"/>
  <c r="D78" i="9"/>
  <c r="C78" i="9"/>
  <c r="B78" i="9"/>
  <c r="E78" i="9" s="1"/>
  <c r="D77" i="9"/>
  <c r="C77" i="9"/>
  <c r="B77" i="9"/>
  <c r="E77" i="9" s="1"/>
  <c r="D76" i="9"/>
  <c r="C76" i="9"/>
  <c r="B76" i="9"/>
  <c r="E76" i="9" s="1"/>
  <c r="D75" i="9"/>
  <c r="C75" i="9"/>
  <c r="B75" i="9"/>
  <c r="E75" i="9" s="1"/>
  <c r="D74" i="9"/>
  <c r="C74" i="9"/>
  <c r="E74" i="9" s="1"/>
  <c r="B74" i="9"/>
  <c r="D73" i="9"/>
  <c r="C73" i="9"/>
  <c r="B73" i="9"/>
  <c r="E73" i="9" s="1"/>
  <c r="D72" i="9"/>
  <c r="C72" i="9"/>
  <c r="B72" i="9"/>
  <c r="E72" i="9" s="1"/>
  <c r="D71" i="9"/>
  <c r="C71" i="9"/>
  <c r="B71" i="9"/>
  <c r="E71" i="9" s="1"/>
  <c r="D70" i="9"/>
  <c r="C70" i="9"/>
  <c r="B70" i="9"/>
  <c r="E70" i="9" s="1"/>
  <c r="E69" i="9"/>
  <c r="D69" i="9"/>
  <c r="C69" i="9"/>
  <c r="B69" i="9"/>
  <c r="D68" i="9"/>
  <c r="C68" i="9"/>
  <c r="B68" i="9"/>
  <c r="E68" i="9" s="1"/>
  <c r="D67" i="9"/>
  <c r="C67" i="9"/>
  <c r="B67" i="9"/>
  <c r="E67" i="9" s="1"/>
  <c r="D66" i="9"/>
  <c r="C66" i="9"/>
  <c r="C82" i="9" s="1"/>
  <c r="B66" i="9"/>
  <c r="E65" i="9"/>
  <c r="D65" i="9"/>
  <c r="C65" i="9"/>
  <c r="B65" i="9"/>
  <c r="A64" i="9"/>
  <c r="F60" i="9"/>
  <c r="D58" i="9"/>
  <c r="C58" i="9"/>
  <c r="B58" i="9"/>
  <c r="E58" i="9" s="1"/>
  <c r="D57" i="9"/>
  <c r="C57" i="9"/>
  <c r="E57" i="9" s="1"/>
  <c r="B57" i="9"/>
  <c r="D56" i="9"/>
  <c r="C56" i="9"/>
  <c r="B56" i="9"/>
  <c r="E56" i="9" s="1"/>
  <c r="D55" i="9"/>
  <c r="C55" i="9"/>
  <c r="B55" i="9"/>
  <c r="E55" i="9" s="1"/>
  <c r="D54" i="9"/>
  <c r="C54" i="9"/>
  <c r="B54" i="9"/>
  <c r="E54" i="9" s="1"/>
  <c r="D53" i="9"/>
  <c r="C53" i="9"/>
  <c r="B53" i="9"/>
  <c r="E53" i="9" s="1"/>
  <c r="D52" i="9"/>
  <c r="C52" i="9"/>
  <c r="E52" i="9" s="1"/>
  <c r="B52" i="9"/>
  <c r="D51" i="9"/>
  <c r="C51" i="9"/>
  <c r="B51" i="9"/>
  <c r="E51" i="9" s="1"/>
  <c r="D50" i="9"/>
  <c r="C50" i="9"/>
  <c r="B50" i="9"/>
  <c r="E50" i="9" s="1"/>
  <c r="D49" i="9"/>
  <c r="C49" i="9"/>
  <c r="B49" i="9"/>
  <c r="E49" i="9" s="1"/>
  <c r="D48" i="9"/>
  <c r="C48" i="9"/>
  <c r="B48" i="9"/>
  <c r="E48" i="9" s="1"/>
  <c r="E47" i="9"/>
  <c r="D47" i="9"/>
  <c r="C47" i="9"/>
  <c r="B47" i="9"/>
  <c r="D46" i="9"/>
  <c r="C46" i="9"/>
  <c r="B46" i="9"/>
  <c r="E46" i="9" s="1"/>
  <c r="D45" i="9"/>
  <c r="C45" i="9"/>
  <c r="B45" i="9"/>
  <c r="E45" i="9" s="1"/>
  <c r="D44" i="9"/>
  <c r="C44" i="9"/>
  <c r="B44" i="9"/>
  <c r="A43" i="9"/>
  <c r="F39" i="9"/>
  <c r="D37" i="9"/>
  <c r="C37" i="9"/>
  <c r="B37" i="9"/>
  <c r="E37" i="9" s="1"/>
  <c r="D36" i="9"/>
  <c r="C36" i="9"/>
  <c r="B36" i="9"/>
  <c r="E36" i="9" s="1"/>
  <c r="D35" i="9"/>
  <c r="C35" i="9"/>
  <c r="E35" i="9" s="1"/>
  <c r="B35" i="9"/>
  <c r="D34" i="9"/>
  <c r="C34" i="9"/>
  <c r="B34" i="9"/>
  <c r="E34" i="9" s="1"/>
  <c r="D33" i="9"/>
  <c r="C33" i="9"/>
  <c r="B33" i="9"/>
  <c r="E33" i="9" s="1"/>
  <c r="D32" i="9"/>
  <c r="C32" i="9"/>
  <c r="B32" i="9"/>
  <c r="E32" i="9" s="1"/>
  <c r="D31" i="9"/>
  <c r="C31" i="9"/>
  <c r="B31" i="9"/>
  <c r="E31" i="9" s="1"/>
  <c r="D30" i="9"/>
  <c r="C30" i="9"/>
  <c r="E30" i="9" s="1"/>
  <c r="B30" i="9"/>
  <c r="D29" i="9"/>
  <c r="C29" i="9"/>
  <c r="B29" i="9"/>
  <c r="E29" i="9" s="1"/>
  <c r="D28" i="9"/>
  <c r="C28" i="9"/>
  <c r="B28" i="9"/>
  <c r="E28" i="9" s="1"/>
  <c r="D27" i="9"/>
  <c r="C27" i="9"/>
  <c r="B27" i="9"/>
  <c r="E27" i="9" s="1"/>
  <c r="D26" i="9"/>
  <c r="E26" i="9" s="1"/>
  <c r="C26" i="9"/>
  <c r="B26" i="9"/>
  <c r="D25" i="9"/>
  <c r="C25" i="9"/>
  <c r="B25" i="9"/>
  <c r="E25" i="9" s="1"/>
  <c r="D24" i="9"/>
  <c r="C24" i="9"/>
  <c r="B24" i="9"/>
  <c r="E24" i="9" s="1"/>
  <c r="D23" i="9"/>
  <c r="C23" i="9"/>
  <c r="B23" i="9"/>
  <c r="A22" i="9"/>
  <c r="F18" i="9"/>
  <c r="O16" i="9"/>
  <c r="N16" i="9"/>
  <c r="M16" i="9"/>
  <c r="D16" i="9"/>
  <c r="C16" i="9"/>
  <c r="B16" i="9"/>
  <c r="E16" i="9" s="1"/>
  <c r="O5" i="9"/>
  <c r="O15" i="9"/>
  <c r="R5" i="9" s="1"/>
  <c r="N15" i="9"/>
  <c r="N5" i="9" s="1"/>
  <c r="M15" i="9"/>
  <c r="D15" i="9"/>
  <c r="C15" i="9"/>
  <c r="E15" i="9" s="1"/>
  <c r="B15" i="9"/>
  <c r="M14" i="9"/>
  <c r="D14" i="9"/>
  <c r="C14" i="9"/>
  <c r="B14" i="9"/>
  <c r="E14" i="9" s="1"/>
  <c r="D13" i="9"/>
  <c r="C13" i="9"/>
  <c r="B13" i="9"/>
  <c r="E13" i="9" s="1"/>
  <c r="D12" i="9"/>
  <c r="C12" i="9"/>
  <c r="B12" i="9"/>
  <c r="E12" i="9" s="1"/>
  <c r="D11" i="9"/>
  <c r="C11" i="9"/>
  <c r="B11" i="9"/>
  <c r="E11" i="9" s="1"/>
  <c r="E10" i="9"/>
  <c r="D10" i="9"/>
  <c r="C10" i="9"/>
  <c r="B10" i="9"/>
  <c r="D9" i="9"/>
  <c r="C9" i="9"/>
  <c r="B9" i="9"/>
  <c r="E9" i="9" s="1"/>
  <c r="Q8" i="9"/>
  <c r="D8" i="9"/>
  <c r="D19" i="9" s="1"/>
  <c r="C8" i="9"/>
  <c r="C19" i="9" s="1"/>
  <c r="B8" i="9"/>
  <c r="E8" i="9" s="1"/>
  <c r="E7" i="9"/>
  <c r="D7" i="9"/>
  <c r="C7" i="9"/>
  <c r="B7" i="9"/>
  <c r="P6" i="9"/>
  <c r="O6" i="9"/>
  <c r="N6" i="9"/>
  <c r="D6" i="9"/>
  <c r="C6" i="9"/>
  <c r="B6" i="9"/>
  <c r="E6" i="9" s="1"/>
  <c r="D5" i="9"/>
  <c r="C5" i="9"/>
  <c r="B5" i="9"/>
  <c r="E5" i="9" s="1"/>
  <c r="P4" i="9"/>
  <c r="O4" i="9"/>
  <c r="D4" i="9"/>
  <c r="C4" i="9"/>
  <c r="B4" i="9"/>
  <c r="E4" i="9" s="1"/>
  <c r="P3" i="9"/>
  <c r="O3" i="9"/>
  <c r="D3" i="9"/>
  <c r="C3" i="9"/>
  <c r="B3" i="9"/>
  <c r="E3" i="9" s="1"/>
  <c r="P2" i="9"/>
  <c r="P8" i="9" s="1"/>
  <c r="O2" i="9"/>
  <c r="D2" i="9"/>
  <c r="C2" i="9"/>
  <c r="B2" i="9"/>
  <c r="A1" i="9"/>
  <c r="P4" i="7"/>
  <c r="P3" i="7"/>
  <c r="P2" i="7"/>
  <c r="O5" i="7"/>
  <c r="O4" i="7"/>
  <c r="O3" i="7"/>
  <c r="O2" i="7"/>
  <c r="R5" i="7"/>
  <c r="R4" i="7"/>
  <c r="R3" i="7"/>
  <c r="R2" i="7"/>
  <c r="N5" i="7"/>
  <c r="N4" i="7"/>
  <c r="N3" i="7"/>
  <c r="N2" i="7"/>
  <c r="M2" i="7"/>
  <c r="H131" i="9" l="1"/>
  <c r="B82" i="9"/>
  <c r="E66" i="9"/>
  <c r="D82" i="9"/>
  <c r="D81" i="9"/>
  <c r="C144" i="9"/>
  <c r="D145" i="9"/>
  <c r="E214" i="9"/>
  <c r="E192" i="9"/>
  <c r="C208" i="9"/>
  <c r="B40" i="9"/>
  <c r="B39" i="9"/>
  <c r="E23" i="9"/>
  <c r="D207" i="9"/>
  <c r="D187" i="9"/>
  <c r="D186" i="9"/>
  <c r="B166" i="9"/>
  <c r="B165" i="9"/>
  <c r="B208" i="9"/>
  <c r="D103" i="9"/>
  <c r="B81" i="9"/>
  <c r="C81" i="9"/>
  <c r="C123" i="9"/>
  <c r="C207" i="9"/>
  <c r="R8" i="9"/>
  <c r="B102" i="9"/>
  <c r="C187" i="9"/>
  <c r="D39" i="9"/>
  <c r="N8" i="9"/>
  <c r="E149" i="9"/>
  <c r="B228" i="9"/>
  <c r="B60" i="9"/>
  <c r="B61" i="9"/>
  <c r="C60" i="9"/>
  <c r="C61" i="9"/>
  <c r="E145" i="9"/>
  <c r="H130" i="9"/>
  <c r="E144" i="9"/>
  <c r="H132" i="9"/>
  <c r="H128" i="9"/>
  <c r="H129" i="9"/>
  <c r="D61" i="9"/>
  <c r="D60" i="9"/>
  <c r="B18" i="9"/>
  <c r="E44" i="9"/>
  <c r="C18" i="9"/>
  <c r="B19" i="9"/>
  <c r="D18" i="9"/>
  <c r="D123" i="9"/>
  <c r="B187" i="9"/>
  <c r="E171" i="9"/>
  <c r="H172" i="9" s="1"/>
  <c r="C40" i="9"/>
  <c r="C249" i="9"/>
  <c r="D250" i="9"/>
  <c r="C166" i="9"/>
  <c r="C165" i="9"/>
  <c r="D166" i="9"/>
  <c r="D165" i="9"/>
  <c r="E109" i="9"/>
  <c r="O8" i="9"/>
  <c r="E87" i="9"/>
  <c r="B124" i="9"/>
  <c r="C186" i="9"/>
  <c r="C228" i="9"/>
  <c r="D228" i="9"/>
  <c r="E81" i="9"/>
  <c r="H66" i="9"/>
  <c r="H68" i="9"/>
  <c r="E82" i="9"/>
  <c r="H67" i="9"/>
  <c r="C103" i="9"/>
  <c r="E163" i="9"/>
  <c r="E180" i="9"/>
  <c r="B207" i="9"/>
  <c r="E219" i="9"/>
  <c r="E233" i="9"/>
  <c r="B144" i="9"/>
  <c r="C39" i="9"/>
  <c r="E107" i="9"/>
  <c r="E212" i="9"/>
  <c r="D249" i="9"/>
  <c r="E2" i="9"/>
  <c r="E86" i="9"/>
  <c r="B145" i="9"/>
  <c r="E191" i="9"/>
  <c r="B250" i="9"/>
  <c r="C145" i="9"/>
  <c r="C250" i="9"/>
  <c r="D144" i="9"/>
  <c r="D40" i="9"/>
  <c r="P16" i="7"/>
  <c r="O16" i="7"/>
  <c r="N16" i="7"/>
  <c r="M16" i="7"/>
  <c r="P15" i="7"/>
  <c r="O15" i="7"/>
  <c r="N15" i="7"/>
  <c r="M15" i="7"/>
  <c r="P14" i="7"/>
  <c r="M14" i="7"/>
  <c r="N8" i="7"/>
  <c r="O8" i="7"/>
  <c r="P8" i="7"/>
  <c r="Q8" i="7"/>
  <c r="R8" i="7"/>
  <c r="M8" i="7"/>
  <c r="M4" i="7"/>
  <c r="M5" i="7"/>
  <c r="N6" i="7"/>
  <c r="O6" i="7"/>
  <c r="P6" i="7"/>
  <c r="H170" i="9" l="1"/>
  <c r="H194" i="9"/>
  <c r="H195" i="9"/>
  <c r="H191" i="9"/>
  <c r="E208" i="9"/>
  <c r="H193" i="9"/>
  <c r="H192" i="9"/>
  <c r="E207" i="9"/>
  <c r="H88" i="9"/>
  <c r="E103" i="9"/>
  <c r="H90" i="9"/>
  <c r="H86" i="9"/>
  <c r="H89" i="9"/>
  <c r="H87" i="9"/>
  <c r="E102" i="9"/>
  <c r="H133" i="9"/>
  <c r="E61" i="9"/>
  <c r="H46" i="9"/>
  <c r="E60" i="9"/>
  <c r="H45" i="9"/>
  <c r="H47" i="9"/>
  <c r="H44" i="9"/>
  <c r="H48" i="9"/>
  <c r="H171" i="9"/>
  <c r="H215" i="9"/>
  <c r="E228" i="9"/>
  <c r="H213" i="9"/>
  <c r="H212" i="9"/>
  <c r="H216" i="9"/>
  <c r="E229" i="9"/>
  <c r="H214" i="9"/>
  <c r="H174" i="9"/>
  <c r="E165" i="9"/>
  <c r="H150" i="9"/>
  <c r="H149" i="9"/>
  <c r="E166" i="9"/>
  <c r="H151" i="9"/>
  <c r="H153" i="9"/>
  <c r="H152" i="9"/>
  <c r="E40" i="9"/>
  <c r="H25" i="9"/>
  <c r="E39" i="9"/>
  <c r="H27" i="9"/>
  <c r="H24" i="9"/>
  <c r="H23" i="9"/>
  <c r="H26" i="9"/>
  <c r="H4" i="9"/>
  <c r="M4" i="9" s="1"/>
  <c r="H6" i="9"/>
  <c r="E18" i="9"/>
  <c r="H2" i="9"/>
  <c r="H3" i="9"/>
  <c r="E19" i="9"/>
  <c r="H5" i="9"/>
  <c r="M5" i="9" s="1"/>
  <c r="E186" i="9"/>
  <c r="H111" i="9"/>
  <c r="H110" i="9"/>
  <c r="E123" i="9"/>
  <c r="H108" i="9"/>
  <c r="H107" i="9"/>
  <c r="H112" i="9" s="1"/>
  <c r="E124" i="9"/>
  <c r="H109" i="9"/>
  <c r="E187" i="9"/>
  <c r="H173" i="9"/>
  <c r="H65" i="9"/>
  <c r="H69" i="9"/>
  <c r="E250" i="9"/>
  <c r="H235" i="9"/>
  <c r="H237" i="9"/>
  <c r="E249" i="9"/>
  <c r="H234" i="9"/>
  <c r="H233" i="9"/>
  <c r="H236" i="9"/>
  <c r="C40" i="1"/>
  <c r="B9" i="2" s="1"/>
  <c r="D40" i="1"/>
  <c r="E40" i="1"/>
  <c r="B13" i="2" s="1"/>
  <c r="B40" i="1"/>
  <c r="B7" i="2" s="1"/>
  <c r="C39" i="1"/>
  <c r="G22" i="4" s="1"/>
  <c r="D39" i="1"/>
  <c r="G30" i="4" s="1"/>
  <c r="E39" i="1"/>
  <c r="B12" i="2" s="1"/>
  <c r="B39" i="1"/>
  <c r="B6" i="2" s="1"/>
  <c r="A232" i="7"/>
  <c r="A211" i="7"/>
  <c r="A190" i="7"/>
  <c r="A169" i="7"/>
  <c r="A148" i="7"/>
  <c r="A127" i="7"/>
  <c r="A106" i="7"/>
  <c r="A85" i="7"/>
  <c r="A64" i="7"/>
  <c r="A43" i="7"/>
  <c r="A22" i="7"/>
  <c r="A1" i="7"/>
  <c r="B11" i="2"/>
  <c r="F249" i="7"/>
  <c r="F228" i="7"/>
  <c r="F207" i="7"/>
  <c r="F186" i="7"/>
  <c r="F165" i="7"/>
  <c r="F144" i="7"/>
  <c r="F123" i="7"/>
  <c r="F102" i="7"/>
  <c r="F81" i="7"/>
  <c r="F60" i="7"/>
  <c r="F39" i="7"/>
  <c r="F18" i="7"/>
  <c r="I1" i="4"/>
  <c r="K27" i="4"/>
  <c r="K28" i="4"/>
  <c r="K29" i="4"/>
  <c r="K30" i="4"/>
  <c r="K26" i="4"/>
  <c r="K19" i="4"/>
  <c r="K20" i="4"/>
  <c r="K21" i="4"/>
  <c r="K22" i="4"/>
  <c r="K18" i="4"/>
  <c r="J18" i="4"/>
  <c r="F26" i="4"/>
  <c r="J26" i="4" s="1"/>
  <c r="F9" i="4"/>
  <c r="F18" i="4"/>
  <c r="A1" i="4"/>
  <c r="A2" i="4"/>
  <c r="A3" i="4"/>
  <c r="A4" i="4"/>
  <c r="A1" i="2"/>
  <c r="H1" i="2"/>
  <c r="A2" i="2"/>
  <c r="A3" i="2"/>
  <c r="B5" i="2"/>
  <c r="C5" i="2"/>
  <c r="D5" i="2"/>
  <c r="E5" i="2"/>
  <c r="F5" i="2"/>
  <c r="G5" i="2"/>
  <c r="H5" i="2"/>
  <c r="I5" i="2"/>
  <c r="J5" i="2"/>
  <c r="K5" i="2"/>
  <c r="L5" i="2"/>
  <c r="M5" i="2"/>
  <c r="B14" i="2"/>
  <c r="C14" i="2"/>
  <c r="D14" i="2"/>
  <c r="E14" i="2"/>
  <c r="F14" i="2"/>
  <c r="G14" i="2"/>
  <c r="H14" i="2"/>
  <c r="I14" i="2"/>
  <c r="J14" i="2"/>
  <c r="K14" i="2"/>
  <c r="L14" i="2"/>
  <c r="M14" i="2"/>
  <c r="B60" i="1"/>
  <c r="C6" i="2" s="1"/>
  <c r="C60" i="1"/>
  <c r="C8" i="2" s="1"/>
  <c r="D60" i="1"/>
  <c r="C10" i="2" s="1"/>
  <c r="E60" i="1"/>
  <c r="C12" i="2" s="1"/>
  <c r="B61" i="1"/>
  <c r="C7" i="2" s="1"/>
  <c r="C61" i="1"/>
  <c r="C9" i="2" s="1"/>
  <c r="D61" i="1"/>
  <c r="C11" i="2" s="1"/>
  <c r="E61" i="1"/>
  <c r="C13" i="2" s="1"/>
  <c r="B81" i="1"/>
  <c r="D6" i="2" s="1"/>
  <c r="C81" i="1"/>
  <c r="D8" i="2" s="1"/>
  <c r="D81" i="1"/>
  <c r="D10" i="2" s="1"/>
  <c r="E81" i="1"/>
  <c r="D12" i="2" s="1"/>
  <c r="B82" i="1"/>
  <c r="D7" i="2" s="1"/>
  <c r="C82" i="1"/>
  <c r="D9" i="2" s="1"/>
  <c r="D82" i="1"/>
  <c r="D11" i="2" s="1"/>
  <c r="E82" i="1"/>
  <c r="D13" i="2" s="1"/>
  <c r="B102" i="1"/>
  <c r="E6" i="2" s="1"/>
  <c r="C102" i="1"/>
  <c r="E8" i="2" s="1"/>
  <c r="D102" i="1"/>
  <c r="E10" i="2" s="1"/>
  <c r="E102" i="1"/>
  <c r="E12" i="2" s="1"/>
  <c r="B103" i="1"/>
  <c r="E7" i="2" s="1"/>
  <c r="C103" i="1"/>
  <c r="E9" i="2" s="1"/>
  <c r="D103" i="1"/>
  <c r="E11" i="2" s="1"/>
  <c r="E103" i="1"/>
  <c r="E13" i="2" s="1"/>
  <c r="B123" i="1"/>
  <c r="F6" i="2" s="1"/>
  <c r="C123" i="1"/>
  <c r="F8" i="2" s="1"/>
  <c r="D123" i="1"/>
  <c r="F10" i="2" s="1"/>
  <c r="E123" i="1"/>
  <c r="F12" i="2" s="1"/>
  <c r="B124" i="1"/>
  <c r="F7" i="2" s="1"/>
  <c r="C124" i="1"/>
  <c r="F9" i="2" s="1"/>
  <c r="D124" i="1"/>
  <c r="F11" i="2" s="1"/>
  <c r="E124" i="1"/>
  <c r="F13" i="2" s="1"/>
  <c r="B144" i="1"/>
  <c r="G6" i="2" s="1"/>
  <c r="C144" i="1"/>
  <c r="G8" i="2" s="1"/>
  <c r="D144" i="1"/>
  <c r="G10" i="2" s="1"/>
  <c r="E144" i="1"/>
  <c r="G12" i="2" s="1"/>
  <c r="B145" i="1"/>
  <c r="G7" i="2" s="1"/>
  <c r="C145" i="1"/>
  <c r="G9" i="2" s="1"/>
  <c r="D145" i="1"/>
  <c r="G11" i="2" s="1"/>
  <c r="E145" i="1"/>
  <c r="G13" i="2" s="1"/>
  <c r="B165" i="1"/>
  <c r="H6" i="2"/>
  <c r="C165" i="1"/>
  <c r="H8" i="2" s="1"/>
  <c r="D165" i="1"/>
  <c r="H10" i="2" s="1"/>
  <c r="E165" i="1"/>
  <c r="H12" i="2" s="1"/>
  <c r="B166" i="1"/>
  <c r="H7" i="2" s="1"/>
  <c r="C166" i="1"/>
  <c r="H9" i="2" s="1"/>
  <c r="D166" i="1"/>
  <c r="H11" i="2" s="1"/>
  <c r="E166" i="1"/>
  <c r="H13" i="2" s="1"/>
  <c r="B186" i="1"/>
  <c r="I6" i="2" s="1"/>
  <c r="C186" i="1"/>
  <c r="I8" i="2" s="1"/>
  <c r="D186" i="1"/>
  <c r="I10" i="2"/>
  <c r="E186" i="1"/>
  <c r="I12" i="2" s="1"/>
  <c r="B187" i="1"/>
  <c r="I7" i="2" s="1"/>
  <c r="C187" i="1"/>
  <c r="I9" i="2" s="1"/>
  <c r="D187" i="1"/>
  <c r="I11" i="2"/>
  <c r="E187" i="1"/>
  <c r="I13" i="2" s="1"/>
  <c r="B207" i="1"/>
  <c r="J6" i="2" s="1"/>
  <c r="C207" i="1"/>
  <c r="J8" i="2" s="1"/>
  <c r="D207" i="1"/>
  <c r="J10" i="2" s="1"/>
  <c r="E207" i="1"/>
  <c r="J12" i="2" s="1"/>
  <c r="B208" i="1"/>
  <c r="J7" i="2" s="1"/>
  <c r="C208" i="1"/>
  <c r="J9" i="2" s="1"/>
  <c r="D208" i="1"/>
  <c r="J11" i="2"/>
  <c r="E208" i="1"/>
  <c r="J13" i="2" s="1"/>
  <c r="B228" i="1"/>
  <c r="K6" i="2" s="1"/>
  <c r="C228" i="1"/>
  <c r="K8" i="2" s="1"/>
  <c r="D228" i="1"/>
  <c r="K10" i="2"/>
  <c r="E228" i="1"/>
  <c r="K12" i="2" s="1"/>
  <c r="B229" i="1"/>
  <c r="K7" i="2" s="1"/>
  <c r="C229" i="1"/>
  <c r="K9" i="2" s="1"/>
  <c r="D229" i="1"/>
  <c r="K11" i="2" s="1"/>
  <c r="E229" i="1"/>
  <c r="K13" i="2" s="1"/>
  <c r="B249" i="1"/>
  <c r="L6" i="2" s="1"/>
  <c r="C249" i="1"/>
  <c r="L8" i="2" s="1"/>
  <c r="D249" i="1"/>
  <c r="L10" i="2" s="1"/>
  <c r="E249" i="1"/>
  <c r="L12" i="2" s="1"/>
  <c r="B250" i="1"/>
  <c r="L7" i="2" s="1"/>
  <c r="C250" i="1"/>
  <c r="L9" i="2" s="1"/>
  <c r="D250" i="1"/>
  <c r="L11" i="2" s="1"/>
  <c r="E250" i="1"/>
  <c r="L13" i="2" s="1"/>
  <c r="B270" i="1"/>
  <c r="M6" i="2" s="1"/>
  <c r="C270" i="1"/>
  <c r="M8" i="2" s="1"/>
  <c r="D270" i="1"/>
  <c r="M10" i="2" s="1"/>
  <c r="E270" i="1"/>
  <c r="M12" i="2" s="1"/>
  <c r="B271" i="1"/>
  <c r="M7" i="2" s="1"/>
  <c r="C271" i="1"/>
  <c r="M9" i="2" s="1"/>
  <c r="D271" i="1"/>
  <c r="M11" i="2"/>
  <c r="E271" i="1"/>
  <c r="M13" i="2" s="1"/>
  <c r="H154" i="9" l="1"/>
  <c r="H91" i="9"/>
  <c r="H28" i="9"/>
  <c r="H238" i="9"/>
  <c r="H217" i="9"/>
  <c r="H49" i="9"/>
  <c r="H7" i="9"/>
  <c r="M8" i="9"/>
  <c r="H70" i="9"/>
  <c r="H196" i="9"/>
  <c r="H175" i="9"/>
  <c r="G21" i="4"/>
  <c r="G19" i="4"/>
  <c r="F20" i="4"/>
  <c r="J20" i="4" s="1"/>
  <c r="K12" i="1"/>
  <c r="B8" i="2"/>
  <c r="I11" i="1"/>
  <c r="J11" i="1"/>
  <c r="I12" i="1"/>
  <c r="B10" i="2"/>
  <c r="F29" i="4"/>
  <c r="J29" i="4" s="1"/>
  <c r="G27" i="4"/>
  <c r="F28" i="4"/>
  <c r="J28" i="4" s="1"/>
  <c r="F22" i="4"/>
  <c r="J22" i="4" s="1"/>
  <c r="K11" i="1"/>
  <c r="J12" i="1"/>
  <c r="F21" i="4"/>
  <c r="J21" i="4" s="1"/>
  <c r="G20" i="4"/>
  <c r="F19" i="4"/>
  <c r="J19" i="4" s="1"/>
  <c r="C137" i="7" s="1"/>
  <c r="H12" i="1"/>
  <c r="C120" i="7"/>
  <c r="H11" i="1"/>
  <c r="G29" i="4"/>
  <c r="G28" i="4"/>
  <c r="G13" i="4"/>
  <c r="F27" i="4"/>
  <c r="J27" i="4" s="1"/>
  <c r="F30" i="4"/>
  <c r="J30" i="4" s="1"/>
  <c r="C216" i="7" l="1"/>
  <c r="C212" i="7"/>
  <c r="C235" i="7"/>
  <c r="C23" i="7"/>
  <c r="C205" i="7"/>
  <c r="C234" i="7"/>
  <c r="C196" i="7"/>
  <c r="C220" i="7"/>
  <c r="C218" i="7"/>
  <c r="C26" i="7"/>
  <c r="C77" i="7"/>
  <c r="C178" i="7"/>
  <c r="C149" i="7"/>
  <c r="C86" i="7"/>
  <c r="C24" i="7"/>
  <c r="C90" i="7"/>
  <c r="C27" i="7"/>
  <c r="C94" i="7"/>
  <c r="C170" i="7"/>
  <c r="C194" i="7"/>
  <c r="C153" i="7"/>
  <c r="C198" i="7"/>
  <c r="C29" i="7"/>
  <c r="C3" i="7"/>
  <c r="C37" i="7"/>
  <c r="C70" i="7"/>
  <c r="C214" i="7"/>
  <c r="C131" i="7"/>
  <c r="C53" i="7"/>
  <c r="C151" i="7"/>
  <c r="C133" i="7"/>
  <c r="C46" i="7"/>
  <c r="C99" i="7"/>
  <c r="C51" i="7"/>
  <c r="C225" i="7"/>
  <c r="C110" i="7"/>
  <c r="C223" i="7"/>
  <c r="C172" i="7"/>
  <c r="C130" i="7"/>
  <c r="C182" i="7"/>
  <c r="C96" i="7"/>
  <c r="C215" i="7"/>
  <c r="C221" i="7"/>
  <c r="C129" i="7"/>
  <c r="C128" i="7"/>
  <c r="C150" i="7"/>
  <c r="C132" i="7"/>
  <c r="C121" i="7"/>
  <c r="C247" i="7"/>
  <c r="C240" i="7"/>
  <c r="C107" i="7"/>
  <c r="C136" i="7"/>
  <c r="C78" i="7"/>
  <c r="C233" i="7"/>
  <c r="C112" i="7"/>
  <c r="C191" i="7"/>
  <c r="C113" i="7"/>
  <c r="C108" i="7"/>
  <c r="C195" i="7"/>
  <c r="C154" i="7"/>
  <c r="C9" i="7"/>
  <c r="C174" i="7"/>
  <c r="C224" i="7"/>
  <c r="C160" i="7"/>
  <c r="C222" i="7"/>
  <c r="C141" i="7"/>
  <c r="C156" i="7"/>
  <c r="C161" i="7"/>
  <c r="C25" i="7"/>
  <c r="C197" i="7"/>
  <c r="C181" i="7"/>
  <c r="C44" i="7"/>
  <c r="C139" i="7"/>
  <c r="C32" i="7"/>
  <c r="C201" i="7"/>
  <c r="C159" i="7"/>
  <c r="C175" i="7"/>
  <c r="C118" i="7"/>
  <c r="C241" i="7"/>
  <c r="C98" i="7"/>
  <c r="C92" i="7"/>
  <c r="C213" i="7"/>
  <c r="C111" i="7"/>
  <c r="C55" i="7"/>
  <c r="C246" i="7"/>
  <c r="C193" i="7"/>
  <c r="C72" i="7"/>
  <c r="C176" i="7"/>
  <c r="C226" i="7"/>
  <c r="C152" i="7"/>
  <c r="C14" i="7"/>
  <c r="C69" i="7"/>
  <c r="C163" i="7"/>
  <c r="C184" i="7"/>
  <c r="C239" i="7"/>
  <c r="C119" i="7"/>
  <c r="C243" i="7"/>
  <c r="C117" i="7"/>
  <c r="C200" i="7"/>
  <c r="C155" i="7"/>
  <c r="C242" i="7"/>
  <c r="C204" i="7"/>
  <c r="C179" i="7"/>
  <c r="C199" i="7"/>
  <c r="C138" i="7"/>
  <c r="C237" i="7"/>
  <c r="C68" i="7"/>
  <c r="C66" i="7"/>
  <c r="C180" i="7"/>
  <c r="C217" i="7"/>
  <c r="C31" i="7"/>
  <c r="C33" i="7"/>
  <c r="C114" i="7"/>
  <c r="C171" i="7"/>
  <c r="C134" i="7"/>
  <c r="C87" i="7"/>
  <c r="C173" i="7"/>
  <c r="C202" i="7"/>
  <c r="C142" i="7"/>
  <c r="C162" i="7"/>
  <c r="C116" i="7"/>
  <c r="C245" i="7"/>
  <c r="C73" i="7"/>
  <c r="C183" i="7"/>
  <c r="C115" i="7"/>
  <c r="C244" i="7"/>
  <c r="C238" i="7"/>
  <c r="C135" i="7"/>
  <c r="C140" i="7"/>
  <c r="C219" i="7"/>
  <c r="C192" i="7"/>
  <c r="C203" i="7"/>
  <c r="C158" i="7"/>
  <c r="C236" i="7"/>
  <c r="C48" i="7"/>
  <c r="C35" i="7"/>
  <c r="C47" i="7"/>
  <c r="C52" i="7"/>
  <c r="C65" i="7"/>
  <c r="C157" i="7"/>
  <c r="C79" i="7"/>
  <c r="C100" i="7"/>
  <c r="C56" i="7"/>
  <c r="C67" i="7"/>
  <c r="C34" i="7"/>
  <c r="C88" i="7"/>
  <c r="C74" i="7"/>
  <c r="C50" i="7"/>
  <c r="C89" i="7"/>
  <c r="C95" i="7"/>
  <c r="C97" i="7"/>
  <c r="C28" i="7"/>
  <c r="C91" i="7"/>
  <c r="C30" i="7"/>
  <c r="C45" i="7"/>
  <c r="C58" i="7"/>
  <c r="C71" i="7"/>
  <c r="C76" i="7"/>
  <c r="C49" i="7"/>
  <c r="C75" i="7"/>
  <c r="C8" i="7"/>
  <c r="C6" i="7"/>
  <c r="C16" i="7"/>
  <c r="C5" i="7"/>
  <c r="C15" i="7"/>
  <c r="C7" i="7"/>
  <c r="C4" i="7"/>
  <c r="C2" i="7"/>
  <c r="C13" i="7"/>
  <c r="C10" i="7"/>
  <c r="C12" i="7"/>
  <c r="C11" i="7"/>
  <c r="C93" i="7"/>
  <c r="C54" i="7"/>
  <c r="C109" i="7"/>
  <c r="C177" i="7"/>
  <c r="C36" i="7"/>
  <c r="C57" i="7"/>
  <c r="D93" i="7"/>
  <c r="D53" i="7"/>
  <c r="D4" i="7"/>
  <c r="D13" i="7"/>
  <c r="D55" i="7"/>
  <c r="D2" i="7"/>
  <c r="D132" i="7"/>
  <c r="D153" i="7"/>
  <c r="D170" i="7"/>
  <c r="D111" i="7"/>
  <c r="D133" i="7"/>
  <c r="D162" i="7"/>
  <c r="D118" i="7"/>
  <c r="D97" i="7"/>
  <c r="D70" i="7"/>
  <c r="D54" i="7"/>
  <c r="D36" i="7"/>
  <c r="D15" i="7"/>
  <c r="D99" i="7"/>
  <c r="D89" i="7"/>
  <c r="D57" i="7"/>
  <c r="D31" i="7"/>
  <c r="D7" i="7"/>
  <c r="D67" i="7"/>
  <c r="D33" i="7"/>
  <c r="D176" i="7"/>
  <c r="D140" i="7"/>
  <c r="D109" i="7"/>
  <c r="D155" i="7"/>
  <c r="D119" i="7"/>
  <c r="D174" i="7"/>
  <c r="D130" i="7"/>
  <c r="D137" i="7"/>
  <c r="D91" i="7"/>
  <c r="D74" i="7"/>
  <c r="D58" i="7"/>
  <c r="D32" i="7"/>
  <c r="D6" i="7"/>
  <c r="D69" i="7"/>
  <c r="D49" i="7"/>
  <c r="D25" i="7"/>
  <c r="D68" i="7"/>
  <c r="D72" i="7"/>
  <c r="D37" i="7"/>
  <c r="D88" i="7"/>
  <c r="D27" i="7"/>
  <c r="D86" i="7"/>
  <c r="D46" i="7"/>
  <c r="D98" i="7"/>
  <c r="D5" i="7"/>
  <c r="D75" i="7"/>
  <c r="D51" i="7"/>
  <c r="D96" i="7"/>
  <c r="D11" i="7"/>
  <c r="D34" i="7"/>
  <c r="D30" i="7"/>
  <c r="D71" i="7"/>
  <c r="D56" i="7"/>
  <c r="D12" i="7"/>
  <c r="D184" i="7"/>
  <c r="D173" i="7"/>
  <c r="D94" i="7"/>
  <c r="D10" i="7"/>
  <c r="D16" i="7"/>
  <c r="D8" i="7"/>
  <c r="D79" i="7"/>
  <c r="D156" i="7"/>
  <c r="D161" i="7"/>
  <c r="D65" i="7"/>
  <c r="D90" i="7"/>
  <c r="D87" i="7"/>
  <c r="D214" i="7"/>
  <c r="D134" i="7"/>
  <c r="D107" i="7"/>
  <c r="D121" i="7"/>
  <c r="D180" i="7"/>
  <c r="D218" i="7"/>
  <c r="D222" i="7"/>
  <c r="D245" i="7"/>
  <c r="D150" i="7"/>
  <c r="D131" i="7"/>
  <c r="D116" i="7"/>
  <c r="D191" i="7"/>
  <c r="D223" i="7"/>
  <c r="D239" i="7"/>
  <c r="D197" i="7"/>
  <c r="D201" i="7"/>
  <c r="D215" i="7"/>
  <c r="D242" i="7"/>
  <c r="D112" i="7"/>
  <c r="D182" i="7"/>
  <c r="D78" i="7"/>
  <c r="D92" i="7"/>
  <c r="D29" i="7"/>
  <c r="D120" i="7"/>
  <c r="D77" i="7"/>
  <c r="D194" i="7"/>
  <c r="D158" i="7"/>
  <c r="D139" i="7"/>
  <c r="D177" i="7"/>
  <c r="D193" i="7"/>
  <c r="D192" i="7"/>
  <c r="D221" i="7"/>
  <c r="D113" i="7"/>
  <c r="D151" i="7"/>
  <c r="D136" i="7"/>
  <c r="D195" i="7"/>
  <c r="D216" i="7"/>
  <c r="D238" i="7"/>
  <c r="D198" i="7"/>
  <c r="D202" i="7"/>
  <c r="D233" i="7"/>
  <c r="D241" i="7"/>
  <c r="F13" i="4"/>
  <c r="J13" i="4" s="1"/>
  <c r="F12" i="4"/>
  <c r="J12" i="4" s="1"/>
  <c r="G10" i="4"/>
  <c r="G12" i="4"/>
  <c r="F11" i="4"/>
  <c r="J11" i="4" s="1"/>
  <c r="F10" i="4"/>
  <c r="J10" i="4" s="1"/>
  <c r="G11" i="4"/>
  <c r="D100" i="7"/>
  <c r="D76" i="7"/>
  <c r="D154" i="7"/>
  <c r="D44" i="7"/>
  <c r="D47" i="7"/>
  <c r="D246" i="7"/>
  <c r="D181" i="7"/>
  <c r="D171" i="7"/>
  <c r="D138" i="7"/>
  <c r="D48" i="7"/>
  <c r="D73" i="7"/>
  <c r="D52" i="7"/>
  <c r="D23" i="7"/>
  <c r="D50" i="7"/>
  <c r="D179" i="7"/>
  <c r="D110" i="7"/>
  <c r="D24" i="7"/>
  <c r="D35" i="7"/>
  <c r="D9" i="7"/>
  <c r="D220" i="7"/>
  <c r="D128" i="7"/>
  <c r="D178" i="7"/>
  <c r="D159" i="7"/>
  <c r="D108" i="7"/>
  <c r="D204" i="7"/>
  <c r="D196" i="7"/>
  <c r="D219" i="7"/>
  <c r="D142" i="7"/>
  <c r="D157" i="7"/>
  <c r="D175" i="7"/>
  <c r="D152" i="7"/>
  <c r="D205" i="7"/>
  <c r="D213" i="7"/>
  <c r="D237" i="7"/>
  <c r="D199" i="7"/>
  <c r="D203" i="7"/>
  <c r="D244" i="7"/>
  <c r="D235" i="7"/>
  <c r="D163" i="7"/>
  <c r="D117" i="7"/>
  <c r="D28" i="7"/>
  <c r="D45" i="7"/>
  <c r="D14" i="7"/>
  <c r="D26" i="7"/>
  <c r="D135" i="7"/>
  <c r="D66" i="7"/>
  <c r="D95" i="7"/>
  <c r="D3" i="7"/>
  <c r="D217" i="7"/>
  <c r="D114" i="7"/>
  <c r="D129" i="7"/>
  <c r="D183" i="7"/>
  <c r="D160" i="7"/>
  <c r="D224" i="7"/>
  <c r="D212" i="7"/>
  <c r="D247" i="7"/>
  <c r="D149" i="7"/>
  <c r="D115" i="7"/>
  <c r="D141" i="7"/>
  <c r="D172" i="7"/>
  <c r="D226" i="7"/>
  <c r="D240" i="7"/>
  <c r="D236" i="7"/>
  <c r="D200" i="7"/>
  <c r="D225" i="7"/>
  <c r="D243" i="7"/>
  <c r="D234" i="7"/>
  <c r="C19" i="7" l="1"/>
  <c r="C144" i="7"/>
  <c r="C229" i="7"/>
  <c r="C124" i="7"/>
  <c r="C208" i="7"/>
  <c r="C228" i="7"/>
  <c r="C40" i="7"/>
  <c r="C165" i="7"/>
  <c r="C186" i="7"/>
  <c r="C145" i="7"/>
  <c r="C103" i="7"/>
  <c r="C250" i="7"/>
  <c r="C61" i="7"/>
  <c r="C123" i="7"/>
  <c r="C18" i="7"/>
  <c r="C249" i="7"/>
  <c r="C102" i="7"/>
  <c r="C39" i="7"/>
  <c r="C166" i="7"/>
  <c r="C187" i="7"/>
  <c r="C207" i="7"/>
  <c r="C82" i="7"/>
  <c r="C60" i="7"/>
  <c r="C81" i="7"/>
  <c r="D61" i="7"/>
  <c r="D60" i="7"/>
  <c r="D144" i="7"/>
  <c r="D145" i="7"/>
  <c r="D40" i="7"/>
  <c r="D39" i="7"/>
  <c r="D208" i="7"/>
  <c r="D207" i="7"/>
  <c r="D102" i="7"/>
  <c r="D103" i="7"/>
  <c r="B247" i="7"/>
  <c r="E247" i="7" s="1"/>
  <c r="B213" i="7"/>
  <c r="E213" i="7" s="1"/>
  <c r="B214" i="7"/>
  <c r="E214" i="7" s="1"/>
  <c r="B215" i="7"/>
  <c r="E215" i="7" s="1"/>
  <c r="B218" i="7"/>
  <c r="E218" i="7" s="1"/>
  <c r="B219" i="7"/>
  <c r="E219" i="7" s="1"/>
  <c r="B220" i="7"/>
  <c r="E220" i="7" s="1"/>
  <c r="B212" i="7"/>
  <c r="B205" i="7"/>
  <c r="E205" i="7" s="1"/>
  <c r="B236" i="7"/>
  <c r="E236" i="7" s="1"/>
  <c r="B243" i="7"/>
  <c r="E243" i="7" s="1"/>
  <c r="B244" i="7"/>
  <c r="E244" i="7" s="1"/>
  <c r="B245" i="7"/>
  <c r="E245" i="7" s="1"/>
  <c r="B246" i="7"/>
  <c r="E246" i="7" s="1"/>
  <c r="B234" i="7"/>
  <c r="E234" i="7" s="1"/>
  <c r="B235" i="7"/>
  <c r="E235" i="7" s="1"/>
  <c r="B237" i="7"/>
  <c r="E237" i="7" s="1"/>
  <c r="B239" i="7"/>
  <c r="E239" i="7" s="1"/>
  <c r="B240" i="7"/>
  <c r="E240" i="7" s="1"/>
  <c r="B241" i="7"/>
  <c r="E241" i="7" s="1"/>
  <c r="B242" i="7"/>
  <c r="E242" i="7" s="1"/>
  <c r="B238" i="7"/>
  <c r="E238" i="7" s="1"/>
  <c r="B221" i="7"/>
  <c r="E221" i="7" s="1"/>
  <c r="B204" i="7"/>
  <c r="E204" i="7" s="1"/>
  <c r="B201" i="7"/>
  <c r="E201" i="7" s="1"/>
  <c r="B200" i="7"/>
  <c r="E200" i="7" s="1"/>
  <c r="B197" i="7"/>
  <c r="E197" i="7" s="1"/>
  <c r="B194" i="7"/>
  <c r="E194" i="7" s="1"/>
  <c r="B182" i="7"/>
  <c r="E182" i="7" s="1"/>
  <c r="B117" i="7"/>
  <c r="E117" i="7" s="1"/>
  <c r="B132" i="7"/>
  <c r="E132" i="7" s="1"/>
  <c r="B163" i="7"/>
  <c r="E163" i="7" s="1"/>
  <c r="B99" i="7"/>
  <c r="E99" i="7" s="1"/>
  <c r="B25" i="7"/>
  <c r="E25" i="7" s="1"/>
  <c r="B75" i="7"/>
  <c r="E75" i="7" s="1"/>
  <c r="B28" i="7"/>
  <c r="E28" i="7" s="1"/>
  <c r="B32" i="7"/>
  <c r="E32" i="7" s="1"/>
  <c r="B217" i="7"/>
  <c r="E217" i="7" s="1"/>
  <c r="B224" i="7"/>
  <c r="E224" i="7" s="1"/>
  <c r="B202" i="7"/>
  <c r="E202" i="7" s="1"/>
  <c r="B198" i="7"/>
  <c r="E198" i="7" s="1"/>
  <c r="B191" i="7"/>
  <c r="B150" i="7"/>
  <c r="E150" i="7" s="1"/>
  <c r="B171" i="7"/>
  <c r="E171" i="7" s="1"/>
  <c r="B136" i="7"/>
  <c r="E136" i="7" s="1"/>
  <c r="B135" i="7"/>
  <c r="E135" i="7" s="1"/>
  <c r="B233" i="7"/>
  <c r="B216" i="7"/>
  <c r="E216" i="7" s="1"/>
  <c r="B223" i="7"/>
  <c r="E223" i="7" s="1"/>
  <c r="B226" i="7"/>
  <c r="E226" i="7" s="1"/>
  <c r="B195" i="7"/>
  <c r="E195" i="7" s="1"/>
  <c r="B162" i="7"/>
  <c r="E162" i="7" s="1"/>
  <c r="B107" i="7"/>
  <c r="B108" i="7"/>
  <c r="E108" i="7" s="1"/>
  <c r="B34" i="7"/>
  <c r="E34" i="7" s="1"/>
  <c r="B92" i="7"/>
  <c r="E92" i="7" s="1"/>
  <c r="B35" i="7"/>
  <c r="E35" i="7" s="1"/>
  <c r="B37" i="7"/>
  <c r="E37" i="7" s="1"/>
  <c r="B77" i="7"/>
  <c r="E77" i="7" s="1"/>
  <c r="B222" i="7"/>
  <c r="E222" i="7" s="1"/>
  <c r="B225" i="7"/>
  <c r="E225" i="7" s="1"/>
  <c r="B203" i="7"/>
  <c r="E203" i="7" s="1"/>
  <c r="B199" i="7"/>
  <c r="E199" i="7" s="1"/>
  <c r="B196" i="7"/>
  <c r="E196" i="7" s="1"/>
  <c r="B193" i="7"/>
  <c r="E193" i="7" s="1"/>
  <c r="B192" i="7"/>
  <c r="E192" i="7" s="1"/>
  <c r="B130" i="7"/>
  <c r="E130" i="7" s="1"/>
  <c r="B160" i="7"/>
  <c r="E160" i="7" s="1"/>
  <c r="B112" i="7"/>
  <c r="E112" i="7" s="1"/>
  <c r="B87" i="7"/>
  <c r="E87" i="7" s="1"/>
  <c r="B24" i="7"/>
  <c r="E24" i="7" s="1"/>
  <c r="B149" i="7"/>
  <c r="B138" i="7"/>
  <c r="E138" i="7" s="1"/>
  <c r="B170" i="7"/>
  <c r="B129" i="7"/>
  <c r="E129" i="7" s="1"/>
  <c r="B139" i="7"/>
  <c r="E139" i="7" s="1"/>
  <c r="B134" i="7"/>
  <c r="E134" i="7" s="1"/>
  <c r="B178" i="7"/>
  <c r="E178" i="7" s="1"/>
  <c r="B180" i="7"/>
  <c r="E180" i="7" s="1"/>
  <c r="B161" i="7"/>
  <c r="E161" i="7" s="1"/>
  <c r="B151" i="7"/>
  <c r="E151" i="7" s="1"/>
  <c r="B78" i="7"/>
  <c r="E78" i="7" s="1"/>
  <c r="B88" i="7"/>
  <c r="E88" i="7" s="1"/>
  <c r="B46" i="7"/>
  <c r="E46" i="7" s="1"/>
  <c r="B55" i="7"/>
  <c r="E55" i="7" s="1"/>
  <c r="B98" i="7"/>
  <c r="E98" i="7" s="1"/>
  <c r="B49" i="7"/>
  <c r="E49" i="7" s="1"/>
  <c r="B94" i="7"/>
  <c r="E94" i="7" s="1"/>
  <c r="B53" i="7"/>
  <c r="E53" i="7" s="1"/>
  <c r="B86" i="7"/>
  <c r="B51" i="7"/>
  <c r="E51" i="7" s="1"/>
  <c r="B23" i="7"/>
  <c r="B120" i="7"/>
  <c r="E120" i="7" s="1"/>
  <c r="B156" i="7"/>
  <c r="E156" i="7" s="1"/>
  <c r="B119" i="7"/>
  <c r="E119" i="7" s="1"/>
  <c r="B113" i="7"/>
  <c r="E113" i="7" s="1"/>
  <c r="B157" i="7"/>
  <c r="E157" i="7" s="1"/>
  <c r="B175" i="7"/>
  <c r="E175" i="7" s="1"/>
  <c r="B131" i="7"/>
  <c r="E131" i="7" s="1"/>
  <c r="B152" i="7"/>
  <c r="E152" i="7" s="1"/>
  <c r="B155" i="7"/>
  <c r="E155" i="7" s="1"/>
  <c r="B133" i="7"/>
  <c r="E133" i="7" s="1"/>
  <c r="B115" i="7"/>
  <c r="E115" i="7" s="1"/>
  <c r="B121" i="7"/>
  <c r="E121" i="7" s="1"/>
  <c r="B159" i="7"/>
  <c r="E159" i="7" s="1"/>
  <c r="B154" i="7"/>
  <c r="E154" i="7" s="1"/>
  <c r="B71" i="7"/>
  <c r="E71" i="7" s="1"/>
  <c r="B2" i="7"/>
  <c r="B89" i="7"/>
  <c r="E89" i="7" s="1"/>
  <c r="B70" i="7"/>
  <c r="E70" i="7" s="1"/>
  <c r="B96" i="7"/>
  <c r="E96" i="7" s="1"/>
  <c r="B27" i="7"/>
  <c r="E27" i="7" s="1"/>
  <c r="B31" i="7"/>
  <c r="E31" i="7" s="1"/>
  <c r="B33" i="7"/>
  <c r="E33" i="7" s="1"/>
  <c r="B97" i="7"/>
  <c r="E97" i="7" s="1"/>
  <c r="B57" i="7"/>
  <c r="E57" i="7" s="1"/>
  <c r="B176" i="7"/>
  <c r="E176" i="7" s="1"/>
  <c r="B137" i="7"/>
  <c r="E137" i="7" s="1"/>
  <c r="B172" i="7"/>
  <c r="E172" i="7" s="1"/>
  <c r="B153" i="7"/>
  <c r="E153" i="7" s="1"/>
  <c r="B111" i="7"/>
  <c r="E111" i="7" s="1"/>
  <c r="B183" i="7"/>
  <c r="E183" i="7" s="1"/>
  <c r="B174" i="7"/>
  <c r="E174" i="7" s="1"/>
  <c r="B74" i="7"/>
  <c r="E74" i="7" s="1"/>
  <c r="B100" i="7"/>
  <c r="E100" i="7" s="1"/>
  <c r="B47" i="7"/>
  <c r="E47" i="7" s="1"/>
  <c r="B68" i="7"/>
  <c r="E68" i="7" s="1"/>
  <c r="B56" i="7"/>
  <c r="E56" i="7" s="1"/>
  <c r="B5" i="7"/>
  <c r="E5" i="7" s="1"/>
  <c r="B13" i="7"/>
  <c r="E13" i="7" s="1"/>
  <c r="B3" i="7"/>
  <c r="E3" i="7" s="1"/>
  <c r="B142" i="7"/>
  <c r="E142" i="7" s="1"/>
  <c r="B158" i="7"/>
  <c r="E158" i="7" s="1"/>
  <c r="B177" i="7"/>
  <c r="E177" i="7" s="1"/>
  <c r="B16" i="7"/>
  <c r="E16" i="7" s="1"/>
  <c r="B12" i="7"/>
  <c r="E12" i="7" s="1"/>
  <c r="B58" i="7"/>
  <c r="E58" i="7" s="1"/>
  <c r="B118" i="7"/>
  <c r="E118" i="7" s="1"/>
  <c r="B114" i="7"/>
  <c r="E114" i="7" s="1"/>
  <c r="B141" i="7"/>
  <c r="E141" i="7" s="1"/>
  <c r="B110" i="7"/>
  <c r="E110" i="7" s="1"/>
  <c r="B90" i="7"/>
  <c r="E90" i="7" s="1"/>
  <c r="B93" i="7"/>
  <c r="E93" i="7" s="1"/>
  <c r="B36" i="7"/>
  <c r="E36" i="7" s="1"/>
  <c r="B79" i="7"/>
  <c r="E79" i="7" s="1"/>
  <c r="B30" i="7"/>
  <c r="E30" i="7" s="1"/>
  <c r="B48" i="7"/>
  <c r="E48" i="7" s="1"/>
  <c r="B73" i="7"/>
  <c r="E73" i="7" s="1"/>
  <c r="B8" i="7"/>
  <c r="E8" i="7" s="1"/>
  <c r="B6" i="7"/>
  <c r="E6" i="7" s="1"/>
  <c r="B7" i="7"/>
  <c r="E7" i="7" s="1"/>
  <c r="B4" i="7"/>
  <c r="E4" i="7" s="1"/>
  <c r="B181" i="7"/>
  <c r="E181" i="7" s="1"/>
  <c r="B54" i="7"/>
  <c r="E54" i="7" s="1"/>
  <c r="B72" i="7"/>
  <c r="E72" i="7" s="1"/>
  <c r="B66" i="7"/>
  <c r="E66" i="7" s="1"/>
  <c r="B91" i="7"/>
  <c r="E91" i="7" s="1"/>
  <c r="B10" i="7"/>
  <c r="E10" i="7" s="1"/>
  <c r="B140" i="7"/>
  <c r="E140" i="7" s="1"/>
  <c r="B179" i="7"/>
  <c r="E179" i="7" s="1"/>
  <c r="B173" i="7"/>
  <c r="E173" i="7" s="1"/>
  <c r="B116" i="7"/>
  <c r="E116" i="7" s="1"/>
  <c r="B109" i="7"/>
  <c r="E109" i="7" s="1"/>
  <c r="B184" i="7"/>
  <c r="E184" i="7" s="1"/>
  <c r="B128" i="7"/>
  <c r="B76" i="7"/>
  <c r="E76" i="7" s="1"/>
  <c r="B45" i="7"/>
  <c r="E45" i="7" s="1"/>
  <c r="B67" i="7"/>
  <c r="E67" i="7" s="1"/>
  <c r="B50" i="7"/>
  <c r="E50" i="7" s="1"/>
  <c r="B26" i="7"/>
  <c r="E26" i="7" s="1"/>
  <c r="B44" i="7"/>
  <c r="B95" i="7"/>
  <c r="E95" i="7" s="1"/>
  <c r="B9" i="7"/>
  <c r="E9" i="7" s="1"/>
  <c r="B14" i="7"/>
  <c r="E14" i="7" s="1"/>
  <c r="B11" i="7"/>
  <c r="E11" i="7" s="1"/>
  <c r="B69" i="7"/>
  <c r="E69" i="7" s="1"/>
  <c r="B52" i="7"/>
  <c r="E52" i="7" s="1"/>
  <c r="B65" i="7"/>
  <c r="B29" i="7"/>
  <c r="E29" i="7" s="1"/>
  <c r="B15" i="7"/>
  <c r="E15" i="7" s="1"/>
  <c r="D250" i="7"/>
  <c r="D249" i="7"/>
  <c r="D124" i="7"/>
  <c r="D123" i="7"/>
  <c r="D18" i="7"/>
  <c r="D19" i="7"/>
  <c r="D229" i="7"/>
  <c r="D228" i="7"/>
  <c r="D166" i="7"/>
  <c r="D165" i="7"/>
  <c r="D82" i="7"/>
  <c r="D81" i="7"/>
  <c r="D187" i="7"/>
  <c r="D186" i="7"/>
  <c r="E2" i="7" l="1"/>
  <c r="B19" i="7"/>
  <c r="B18" i="7"/>
  <c r="E23" i="7"/>
  <c r="B39" i="7"/>
  <c r="B40" i="7"/>
  <c r="E149" i="7"/>
  <c r="B166" i="7"/>
  <c r="B165" i="7"/>
  <c r="B123" i="7"/>
  <c r="B124" i="7"/>
  <c r="E107" i="7"/>
  <c r="B82" i="7"/>
  <c r="E65" i="7"/>
  <c r="B81" i="7"/>
  <c r="B61" i="7"/>
  <c r="E44" i="7"/>
  <c r="B60" i="7"/>
  <c r="B228" i="7"/>
  <c r="B229" i="7"/>
  <c r="E212" i="7"/>
  <c r="B144" i="7"/>
  <c r="E128" i="7"/>
  <c r="B145" i="7"/>
  <c r="E191" i="7"/>
  <c r="B207" i="7"/>
  <c r="B208" i="7"/>
  <c r="E86" i="7"/>
  <c r="B103" i="7"/>
  <c r="B102" i="7"/>
  <c r="E170" i="7"/>
  <c r="B187" i="7"/>
  <c r="B186" i="7"/>
  <c r="B250" i="7"/>
  <c r="B249" i="7"/>
  <c r="E233" i="7"/>
  <c r="H129" i="7" l="1"/>
  <c r="H132" i="7"/>
  <c r="H128" i="7"/>
  <c r="H131" i="7"/>
  <c r="H130" i="7"/>
  <c r="E145" i="7"/>
  <c r="E144" i="7"/>
  <c r="H150" i="7"/>
  <c r="H151" i="7"/>
  <c r="H149" i="7"/>
  <c r="H153" i="7"/>
  <c r="H152" i="7"/>
  <c r="E166" i="7"/>
  <c r="E165" i="7"/>
  <c r="H89" i="7"/>
  <c r="H88" i="7"/>
  <c r="H86" i="7"/>
  <c r="H90" i="7"/>
  <c r="H87" i="7"/>
  <c r="E102" i="7"/>
  <c r="E103" i="7"/>
  <c r="H67" i="7"/>
  <c r="H66" i="7"/>
  <c r="H69" i="7"/>
  <c r="H65" i="7"/>
  <c r="H68" i="7"/>
  <c r="E82" i="7"/>
  <c r="E81" i="7"/>
  <c r="H109" i="7"/>
  <c r="H108" i="7"/>
  <c r="H111" i="7"/>
  <c r="H107" i="7"/>
  <c r="H110" i="7"/>
  <c r="E124" i="7"/>
  <c r="E123" i="7"/>
  <c r="H25" i="7"/>
  <c r="H27" i="7"/>
  <c r="H24" i="7"/>
  <c r="H23" i="7"/>
  <c r="H26" i="7"/>
  <c r="E39" i="7"/>
  <c r="E40" i="7"/>
  <c r="H193" i="7"/>
  <c r="H192" i="7"/>
  <c r="H195" i="7"/>
  <c r="H191" i="7"/>
  <c r="H194" i="7"/>
  <c r="E207" i="7"/>
  <c r="E208" i="7"/>
  <c r="H237" i="7"/>
  <c r="H233" i="7"/>
  <c r="E249" i="7"/>
  <c r="H236" i="7"/>
  <c r="H235" i="7"/>
  <c r="H234" i="7"/>
  <c r="E250" i="7"/>
  <c r="H173" i="7"/>
  <c r="H172" i="7"/>
  <c r="H171" i="7"/>
  <c r="H174" i="7"/>
  <c r="H170" i="7"/>
  <c r="E186" i="7"/>
  <c r="E187" i="7"/>
  <c r="H213" i="7"/>
  <c r="H216" i="7"/>
  <c r="H212" i="7"/>
  <c r="H215" i="7"/>
  <c r="H214" i="7"/>
  <c r="E229" i="7"/>
  <c r="E228" i="7"/>
  <c r="H47" i="7"/>
  <c r="H46" i="7"/>
  <c r="H45" i="7"/>
  <c r="H48" i="7"/>
  <c r="H44" i="7"/>
  <c r="E60" i="7"/>
  <c r="E61" i="7"/>
  <c r="H5" i="7"/>
  <c r="H4" i="7"/>
  <c r="H6" i="7"/>
  <c r="H3" i="7"/>
  <c r="H2" i="7"/>
  <c r="E18" i="7"/>
  <c r="E19" i="7"/>
  <c r="H112" i="7" l="1"/>
  <c r="H49" i="7"/>
  <c r="H238" i="7"/>
  <c r="H28" i="7"/>
  <c r="H133" i="7"/>
  <c r="H196" i="7"/>
  <c r="H154" i="7"/>
  <c r="H7" i="7"/>
  <c r="H217" i="7"/>
  <c r="H175" i="7"/>
  <c r="H70" i="7"/>
  <c r="H91" i="7"/>
</calcChain>
</file>

<file path=xl/sharedStrings.xml><?xml version="1.0" encoding="utf-8"?>
<sst xmlns="http://schemas.openxmlformats.org/spreadsheetml/2006/main" count="569" uniqueCount="68">
  <si>
    <t>spore conc. 1x10^7 Sp/ml, infection 40 min root dipping while shaking (35 rpm)</t>
  </si>
  <si>
    <t>Stem assay: 8 min EtOH, 8 min NaClO, 2 x H2O</t>
  </si>
  <si>
    <t>Mock</t>
  </si>
  <si>
    <t>Height (soil - veg. point)</t>
  </si>
  <si>
    <t>Length of longest leaf in cm</t>
  </si>
  <si>
    <t>Weight in g</t>
  </si>
  <si>
    <t>Hypocotyl discoloration</t>
  </si>
  <si>
    <t>Replikat</t>
  </si>
  <si>
    <t>Length of 2nd true leaf in cm</t>
  </si>
  <si>
    <t>min</t>
  </si>
  <si>
    <t>max</t>
  </si>
  <si>
    <t>mean</t>
  </si>
  <si>
    <t>n</t>
  </si>
  <si>
    <t>Standardabweichung</t>
  </si>
  <si>
    <t>irgendwas ist komisch</t>
  </si>
  <si>
    <t>2 vegetationspunkte</t>
  </si>
  <si>
    <t>Height of plant (soil - veg. point)</t>
  </si>
  <si>
    <t>Length of longest true leaf in cm</t>
  </si>
  <si>
    <t xml:space="preserve"> Hypocotyl Discoloration</t>
  </si>
  <si>
    <t>T-Test</t>
  </si>
  <si>
    <t>Plant size</t>
  </si>
  <si>
    <t>%</t>
  </si>
  <si>
    <t>-</t>
  </si>
  <si>
    <t>Weight</t>
  </si>
  <si>
    <t>Height</t>
  </si>
  <si>
    <t>Symptoms</t>
  </si>
  <si>
    <t>Use Mock mean values as 100%</t>
  </si>
  <si>
    <t>Degree</t>
  </si>
  <si>
    <t>healthy</t>
  </si>
  <si>
    <t>weak</t>
  </si>
  <si>
    <t>strong</t>
  </si>
  <si>
    <t>very strong</t>
  </si>
  <si>
    <t>dead</t>
  </si>
  <si>
    <t xml:space="preserve">das ist die Matrix, mit der verglichen wird. Die Reihenfolge der Größe muss aufsteigend sein  </t>
  </si>
  <si>
    <t>Leaf</t>
  </si>
  <si>
    <t>Das Ergebnis habe ich in Tabelle1 bei stem assay reingeschrieben.</t>
  </si>
  <si>
    <t>Höhe</t>
  </si>
  <si>
    <t>Blattgröße</t>
  </si>
  <si>
    <t>Gewicht</t>
  </si>
  <si>
    <t>zusammen</t>
  </si>
  <si>
    <t>Anzahl</t>
  </si>
  <si>
    <t>1-1,99</t>
  </si>
  <si>
    <t>2-2,99</t>
  </si>
  <si>
    <t>weak symptoms</t>
  </si>
  <si>
    <t>3-3,99</t>
  </si>
  <si>
    <t>strong symptoms</t>
  </si>
  <si>
    <t>4-4,99</t>
  </si>
  <si>
    <t>very strong symptoms</t>
  </si>
  <si>
    <t>Mittelwert</t>
  </si>
  <si>
    <t>Fehler</t>
  </si>
  <si>
    <t>nicht verfärbt</t>
  </si>
  <si>
    <t xml:space="preserve">date of measurement: </t>
  </si>
  <si>
    <t>Infection on  (infected 10 day-old seedlings)</t>
  </si>
  <si>
    <r>
      <t>V. dahliae</t>
    </r>
    <r>
      <rPr>
        <b/>
        <u/>
        <sz val="16"/>
        <color indexed="8"/>
        <rFont val="Arial"/>
        <family val="2"/>
        <charset val="1"/>
      </rPr>
      <t xml:space="preserve"> - plant experiment with </t>
    </r>
  </si>
  <si>
    <t>Mock A</t>
  </si>
  <si>
    <t>Mock B</t>
  </si>
  <si>
    <t>WT</t>
  </si>
  <si>
    <t xml:space="preserve">ΔLLM1 </t>
  </si>
  <si>
    <t>MOCK</t>
  </si>
  <si>
    <t>oeLLM1</t>
  </si>
  <si>
    <t>ΔLLM1</t>
  </si>
  <si>
    <r>
      <rPr>
        <sz val="11"/>
        <color indexed="8"/>
        <rFont val="Aptos Narrow"/>
        <family val="2"/>
      </rPr>
      <t>Δ</t>
    </r>
    <r>
      <rPr>
        <sz val="10.9"/>
        <color indexed="8"/>
        <rFont val="Arial"/>
        <family val="2"/>
        <charset val="1"/>
      </rPr>
      <t>LLM1</t>
    </r>
  </si>
  <si>
    <t>comp.LLM1</t>
  </si>
  <si>
    <t>LLM1-GFP</t>
  </si>
  <si>
    <t xml:space="preserve">oeLLM1 </t>
  </si>
  <si>
    <t>treatments</t>
  </si>
  <si>
    <t>Percent</t>
  </si>
  <si>
    <t>rank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</si>
</sst>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14" x14ac:knownFonts="1">
    <font>
      <sz val="10"/>
      <name val="Arial"/>
      <family val="2"/>
    </font>
    <font>
      <sz val="12"/>
      <color indexed="8"/>
      <name val="Calibri"/>
      <family val="2"/>
      <charset val="1"/>
    </font>
    <font>
      <sz val="11"/>
      <color indexed="8"/>
      <name val="Calibri"/>
      <family val="2"/>
      <charset val="1"/>
    </font>
    <font>
      <sz val="11"/>
      <color indexed="8"/>
      <name val="Arial"/>
      <family val="2"/>
      <charset val="1"/>
    </font>
    <font>
      <b/>
      <i/>
      <u/>
      <sz val="16"/>
      <color indexed="8"/>
      <name val="Arial"/>
      <family val="2"/>
      <charset val="1"/>
    </font>
    <font>
      <b/>
      <u/>
      <sz val="16"/>
      <color indexed="8"/>
      <name val="Arial"/>
      <family val="2"/>
      <charset val="1"/>
    </font>
    <font>
      <b/>
      <sz val="11"/>
      <color indexed="8"/>
      <name val="Arial"/>
      <family val="2"/>
      <charset val="1"/>
    </font>
    <font>
      <b/>
      <sz val="11"/>
      <color indexed="8"/>
      <name val="Calibri"/>
      <family val="2"/>
      <charset val="1"/>
    </font>
    <font>
      <b/>
      <u/>
      <sz val="11"/>
      <color indexed="8"/>
      <name val="Calibri"/>
      <family val="2"/>
      <charset val="1"/>
    </font>
    <font>
      <b/>
      <sz val="16"/>
      <color indexed="8"/>
      <name val="Arial"/>
      <family val="2"/>
      <charset val="1"/>
    </font>
    <font>
      <sz val="12"/>
      <color indexed="8"/>
      <name val="Arial"/>
      <family val="2"/>
      <charset val="1"/>
    </font>
    <font>
      <sz val="8"/>
      <name val="Arial"/>
      <family val="2"/>
    </font>
    <font>
      <sz val="11"/>
      <color indexed="8"/>
      <name val="Aptos Narrow"/>
      <family val="2"/>
    </font>
    <font>
      <sz val="10.9"/>
      <color indexed="8"/>
      <name val="Arial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indexed="43"/>
        <bgColor indexed="13"/>
      </patternFill>
    </fill>
    <fill>
      <patternFill patternType="solid">
        <fgColor theme="7" tint="0.79998168889431442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/>
      <right style="thin">
        <color indexed="8"/>
      </right>
      <top style="thin">
        <color indexed="8"/>
      </top>
      <bottom/>
      <diagonal/>
    </border>
  </borders>
  <cellStyleXfs count="3">
    <xf numFmtId="0" fontId="0" fillId="0" borderId="0"/>
    <xf numFmtId="0" fontId="2" fillId="0" borderId="0"/>
    <xf numFmtId="0" fontId="1" fillId="0" borderId="0"/>
  </cellStyleXfs>
  <cellXfs count="39">
    <xf numFmtId="0" fontId="0" fillId="0" borderId="0" xfId="0"/>
    <xf numFmtId="0" fontId="3" fillId="0" borderId="0" xfId="1" applyFont="1"/>
    <xf numFmtId="0" fontId="3" fillId="0" borderId="0" xfId="1" applyFont="1" applyAlignment="1">
      <alignment horizontal="right"/>
    </xf>
    <xf numFmtId="0" fontId="4" fillId="0" borderId="0" xfId="1" applyFont="1"/>
    <xf numFmtId="14" fontId="3" fillId="0" borderId="0" xfId="1" applyNumberFormat="1" applyFont="1"/>
    <xf numFmtId="164" fontId="3" fillId="0" borderId="0" xfId="1" applyNumberFormat="1" applyFont="1"/>
    <xf numFmtId="164" fontId="3" fillId="0" borderId="0" xfId="1" applyNumberFormat="1" applyFont="1" applyAlignment="1">
      <alignment horizontal="right"/>
    </xf>
    <xf numFmtId="0" fontId="3" fillId="0" borderId="1" xfId="1" applyFont="1" applyBorder="1"/>
    <xf numFmtId="0" fontId="6" fillId="0" borderId="2" xfId="1" applyFont="1" applyBorder="1" applyAlignment="1">
      <alignment horizontal="center"/>
    </xf>
    <xf numFmtId="0" fontId="6" fillId="0" borderId="3" xfId="1" applyFont="1" applyBorder="1" applyAlignment="1">
      <alignment horizontal="center" wrapText="1"/>
    </xf>
    <xf numFmtId="0" fontId="6" fillId="0" borderId="4" xfId="1" applyFont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3" fillId="0" borderId="3" xfId="1" applyFont="1" applyBorder="1"/>
    <xf numFmtId="0" fontId="3" fillId="0" borderId="4" xfId="1" applyFont="1" applyBorder="1" applyAlignment="1">
      <alignment horizontal="center"/>
    </xf>
    <xf numFmtId="2" fontId="3" fillId="0" borderId="0" xfId="1" applyNumberFormat="1" applyFont="1"/>
    <xf numFmtId="0" fontId="6" fillId="0" borderId="3" xfId="1" applyFont="1" applyBorder="1" applyAlignment="1">
      <alignment horizontal="center"/>
    </xf>
    <xf numFmtId="2" fontId="6" fillId="0" borderId="3" xfId="1" applyNumberFormat="1" applyFont="1" applyBorder="1" applyAlignment="1">
      <alignment horizontal="center"/>
    </xf>
    <xf numFmtId="2" fontId="3" fillId="0" borderId="3" xfId="1" applyNumberFormat="1" applyFont="1" applyBorder="1"/>
    <xf numFmtId="0" fontId="6" fillId="0" borderId="5" xfId="1" applyFont="1" applyBorder="1" applyAlignment="1">
      <alignment horizontal="center" wrapText="1"/>
    </xf>
    <xf numFmtId="0" fontId="6" fillId="0" borderId="3" xfId="1" applyFont="1" applyBorder="1"/>
    <xf numFmtId="2" fontId="6" fillId="0" borderId="3" xfId="1" applyNumberFormat="1" applyFont="1" applyBorder="1"/>
    <xf numFmtId="2" fontId="7" fillId="0" borderId="3" xfId="1" applyNumberFormat="1" applyFont="1" applyBorder="1" applyAlignment="1">
      <alignment horizontal="center"/>
    </xf>
    <xf numFmtId="2" fontId="3" fillId="0" borderId="3" xfId="1" applyNumberFormat="1" applyFont="1" applyBorder="1" applyAlignment="1">
      <alignment horizontal="center"/>
    </xf>
    <xf numFmtId="2" fontId="2" fillId="0" borderId="3" xfId="1" applyNumberFormat="1" applyBorder="1" applyAlignment="1">
      <alignment horizontal="center"/>
    </xf>
    <xf numFmtId="0" fontId="2" fillId="0" borderId="0" xfId="1"/>
    <xf numFmtId="0" fontId="8" fillId="0" borderId="0" xfId="1" applyFont="1"/>
    <xf numFmtId="0" fontId="9" fillId="0" borderId="0" xfId="1" applyFont="1"/>
    <xf numFmtId="0" fontId="1" fillId="0" borderId="0" xfId="2"/>
    <xf numFmtId="0" fontId="10" fillId="0" borderId="0" xfId="1" applyFont="1"/>
    <xf numFmtId="0" fontId="3" fillId="0" borderId="0" xfId="2" applyFont="1"/>
    <xf numFmtId="0" fontId="10" fillId="0" borderId="0" xfId="2" applyFont="1"/>
    <xf numFmtId="2" fontId="10" fillId="0" borderId="0" xfId="2" applyNumberFormat="1" applyFont="1"/>
    <xf numFmtId="0" fontId="1" fillId="2" borderId="0" xfId="2" applyFill="1"/>
    <xf numFmtId="0" fontId="6" fillId="0" borderId="0" xfId="1" applyFont="1"/>
    <xf numFmtId="0" fontId="6" fillId="0" borderId="0" xfId="1" applyFont="1" applyAlignment="1">
      <alignment horizontal="right"/>
    </xf>
    <xf numFmtId="0" fontId="3" fillId="3" borderId="0" xfId="1" applyFont="1" applyFill="1"/>
    <xf numFmtId="0" fontId="13" fillId="3" borderId="0" xfId="1" applyFont="1" applyFill="1"/>
    <xf numFmtId="0" fontId="6" fillId="0" borderId="3" xfId="1" applyFont="1" applyBorder="1" applyAlignment="1">
      <alignment horizontal="center" wrapText="1"/>
    </xf>
    <xf numFmtId="0" fontId="3" fillId="0" borderId="3" xfId="1" applyFont="1" applyBorder="1" applyAlignment="1">
      <alignment horizontal="center" wrapText="1"/>
    </xf>
  </cellXfs>
  <cellStyles count="3">
    <cellStyle name="Excel Built-in Normal" xfId="1" xr:uid="{00000000-0005-0000-0000-000000000000}"/>
    <cellStyle name="Normal" xfId="0" builtinId="0"/>
    <cellStyle name="Standard 2" xfId="2" xr:uid="{00000000-0005-0000-0000-000002000000}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6400"/>
      <rgbColor rgb="0000008B"/>
      <rgbColor rgb="00808000"/>
      <rgbColor rgb="00800080"/>
      <rgbColor rgb="00008080"/>
      <rgbColor rgb="00C5E0B4"/>
      <rgbColor rgb="008B8B8B"/>
      <rgbColor rgb="005B9BD5"/>
      <rgbColor rgb="00993366"/>
      <rgbColor rgb="00FFFFCC"/>
      <rgbColor rgb="00CCFFFF"/>
      <rgbColor rgb="00660066"/>
      <rgbColor rgb="00FF8080"/>
      <rgbColor rgb="000563C1"/>
      <rgbColor rgb="00D9D9D9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66"/>
      <rgbColor rgb="0099CCFF"/>
      <rgbColor rgb="00FF99CC"/>
      <rgbColor rgb="00CC99FF"/>
      <rgbColor rgb="00FFCC99"/>
      <rgbColor rgb="003366FF"/>
      <rgbColor rgb="0033CCCC"/>
      <rgbColor rgb="0099CC00"/>
      <rgbColor rgb="00FFC000"/>
      <rgbColor rgb="00FF9900"/>
      <rgbColor rgb="00ED7D31"/>
      <rgbColor rgb="00595959"/>
      <rgbColor rgb="0070AD4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2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4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de-DE"/>
              <a:t>Plant size</a:t>
            </a:r>
          </a:p>
        </c:rich>
      </c:tx>
      <c:layout>
        <c:manualLayout>
          <c:xMode val="edge"/>
          <c:yMode val="edge"/>
          <c:x val="0.42726523767862346"/>
          <c:y val="4.1421541057367825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20554922982965648"/>
          <c:y val="0.39646294870690535"/>
          <c:w val="0.75060112016447589"/>
          <c:h val="0.1893554381883726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rgbClr val="FFFFFF"/>
            </a:solidFill>
            <a:ln w="3175">
              <a:solidFill>
                <a:srgbClr val="000000"/>
              </a:solidFill>
              <a:prstDash val="solid"/>
            </a:ln>
          </c:spPr>
          <c:invertIfNegative val="0"/>
          <c:errBars>
            <c:errBarType val="both"/>
            <c:errValType val="cust"/>
            <c:noEndCap val="0"/>
            <c:plus>
              <c:numRef>
                <c:f>Summary!$B$7:$M$7</c:f>
                <c:numCache>
                  <c:formatCode>General</c:formatCode>
                  <c:ptCount val="12"/>
                  <c:pt idx="0">
                    <c:v>0</c:v>
                  </c:pt>
                  <c:pt idx="1">
                    <c:v>0</c:v>
                  </c:pt>
                  <c:pt idx="2">
                    <c:v>0</c:v>
                  </c:pt>
                  <c:pt idx="3">
                    <c:v>0</c:v>
                  </c:pt>
                  <c:pt idx="4">
                    <c:v>0</c:v>
                  </c:pt>
                  <c:pt idx="5">
                    <c:v>0</c:v>
                  </c:pt>
                  <c:pt idx="6">
                    <c:v>0</c:v>
                  </c:pt>
                  <c:pt idx="7">
                    <c:v>0</c:v>
                  </c:pt>
                  <c:pt idx="8">
                    <c:v>0</c:v>
                  </c:pt>
                  <c:pt idx="9">
                    <c:v>0</c:v>
                  </c:pt>
                  <c:pt idx="10">
                    <c:v>0</c:v>
                  </c:pt>
                  <c:pt idx="11">
                    <c:v>0</c:v>
                  </c:pt>
                </c:numCache>
              </c:numRef>
            </c:plus>
            <c:minus>
              <c:numRef>
                <c:f>Summary!$B$7:$M$7</c:f>
                <c:numCache>
                  <c:formatCode>General</c:formatCode>
                  <c:ptCount val="12"/>
                  <c:pt idx="0">
                    <c:v>0</c:v>
                  </c:pt>
                  <c:pt idx="1">
                    <c:v>0</c:v>
                  </c:pt>
                  <c:pt idx="2">
                    <c:v>0</c:v>
                  </c:pt>
                  <c:pt idx="3">
                    <c:v>0</c:v>
                  </c:pt>
                  <c:pt idx="4">
                    <c:v>0</c:v>
                  </c:pt>
                  <c:pt idx="5">
                    <c:v>0</c:v>
                  </c:pt>
                  <c:pt idx="6">
                    <c:v>0</c:v>
                  </c:pt>
                  <c:pt idx="7">
                    <c:v>0</c:v>
                  </c:pt>
                  <c:pt idx="8">
                    <c:v>0</c:v>
                  </c:pt>
                  <c:pt idx="9">
                    <c:v>0</c:v>
                  </c:pt>
                  <c:pt idx="10">
                    <c:v>0</c:v>
                  </c:pt>
                  <c:pt idx="11">
                    <c:v>0</c:v>
                  </c:pt>
                </c:numCache>
              </c:numRef>
            </c:minus>
            <c:spPr>
              <a:ln w="12700">
                <a:solidFill>
                  <a:srgbClr val="595959"/>
                </a:solidFill>
                <a:prstDash val="solid"/>
              </a:ln>
            </c:spPr>
          </c:errBars>
          <c:cat>
            <c:strRef>
              <c:f>Summary!$B$5:$M$5</c:f>
              <c:strCache>
                <c:ptCount val="12"/>
                <c:pt idx="0">
                  <c:v>Mock A</c:v>
                </c:pt>
                <c:pt idx="1">
                  <c:v>Mock B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Summary!$B$6:$M$6</c:f>
              <c:numCache>
                <c:formatCode>0.00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1B5-B64A-B0C7-94535C1996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36814575"/>
        <c:axId val="1"/>
      </c:barChart>
      <c:catAx>
        <c:axId val="536814575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12700">
            <a:solidFill>
              <a:srgbClr val="8B8B8B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de-DE"/>
          </a:p>
        </c:txPr>
        <c:crossAx val="1"/>
        <c:crossesAt val="0"/>
        <c:auto val="0"/>
        <c:lblAlgn val="ctr"/>
        <c:lblOffset val="100"/>
        <c:tickLblSkip val="3"/>
        <c:tickMarkSkip val="1"/>
        <c:noMultiLvlLbl val="0"/>
      </c:catAx>
      <c:valAx>
        <c:axId val="1"/>
        <c:scaling>
          <c:orientation val="minMax"/>
        </c:scaling>
        <c:delete val="0"/>
        <c:axPos val="l"/>
        <c:numFmt formatCode="0.00" sourceLinked="1"/>
        <c:majorTickMark val="out"/>
        <c:minorTickMark val="none"/>
        <c:tickLblPos val="nextTo"/>
        <c:spPr>
          <a:ln w="12700">
            <a:solidFill>
              <a:srgbClr val="8B8B8B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de-DE"/>
          </a:p>
        </c:txPr>
        <c:crossAx val="536814575"/>
        <c:crosses val="autoZero"/>
        <c:crossBetween val="between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12700">
      <a:solidFill>
        <a:srgbClr val="D9D9D9"/>
      </a:solidFill>
      <a:prstDash val="solid"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de-DE"/>
    </a:p>
  </c:txPr>
  <c:printSettings>
    <c:headerFooter alignWithMargins="0"/>
    <c:pageMargins b="0.984251969" l="0.78740157499999996" r="0.78740157499999996" t="0.984251969" header="0.51180555555555551" footer="0.51180555555555551"/>
    <c:pageSetup firstPageNumber="0"/>
  </c:printSettings>
  <c:userShapes r:id="rId1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4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de-DE"/>
              <a:t>Longest leaf length</a:t>
            </a:r>
          </a:p>
        </c:rich>
      </c:tx>
      <c:layout>
        <c:manualLayout>
          <c:xMode val="edge"/>
          <c:yMode val="edge"/>
          <c:x val="0.35378492582044263"/>
          <c:y val="4.0610539067231985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20283667804814409"/>
          <c:y val="0.36549395368522419"/>
          <c:w val="0.77125108978771073"/>
          <c:h val="0.25381524561473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rgbClr val="FFFFFF"/>
            </a:solidFill>
            <a:ln w="3175">
              <a:solidFill>
                <a:srgbClr val="000000"/>
              </a:solidFill>
              <a:prstDash val="solid"/>
            </a:ln>
          </c:spPr>
          <c:invertIfNegative val="0"/>
          <c:errBars>
            <c:errBarType val="both"/>
            <c:errValType val="cust"/>
            <c:noEndCap val="0"/>
            <c:plus>
              <c:numRef>
                <c:f>Summary!$B$9:$M$9</c:f>
                <c:numCache>
                  <c:formatCode>General</c:formatCode>
                  <c:ptCount val="12"/>
                  <c:pt idx="0">
                    <c:v>0</c:v>
                  </c:pt>
                  <c:pt idx="1">
                    <c:v>0</c:v>
                  </c:pt>
                  <c:pt idx="2">
                    <c:v>0</c:v>
                  </c:pt>
                  <c:pt idx="3">
                    <c:v>0</c:v>
                  </c:pt>
                  <c:pt idx="4">
                    <c:v>0</c:v>
                  </c:pt>
                  <c:pt idx="5">
                    <c:v>0</c:v>
                  </c:pt>
                  <c:pt idx="6">
                    <c:v>0</c:v>
                  </c:pt>
                  <c:pt idx="7">
                    <c:v>0</c:v>
                  </c:pt>
                  <c:pt idx="8">
                    <c:v>0</c:v>
                  </c:pt>
                  <c:pt idx="9">
                    <c:v>0</c:v>
                  </c:pt>
                  <c:pt idx="10">
                    <c:v>0</c:v>
                  </c:pt>
                  <c:pt idx="11">
                    <c:v>0</c:v>
                  </c:pt>
                </c:numCache>
              </c:numRef>
            </c:plus>
            <c:minus>
              <c:numRef>
                <c:f>Summary!$B$9:$M$9</c:f>
                <c:numCache>
                  <c:formatCode>General</c:formatCode>
                  <c:ptCount val="12"/>
                  <c:pt idx="0">
                    <c:v>0</c:v>
                  </c:pt>
                  <c:pt idx="1">
                    <c:v>0</c:v>
                  </c:pt>
                  <c:pt idx="2">
                    <c:v>0</c:v>
                  </c:pt>
                  <c:pt idx="3">
                    <c:v>0</c:v>
                  </c:pt>
                  <c:pt idx="4">
                    <c:v>0</c:v>
                  </c:pt>
                  <c:pt idx="5">
                    <c:v>0</c:v>
                  </c:pt>
                  <c:pt idx="6">
                    <c:v>0</c:v>
                  </c:pt>
                  <c:pt idx="7">
                    <c:v>0</c:v>
                  </c:pt>
                  <c:pt idx="8">
                    <c:v>0</c:v>
                  </c:pt>
                  <c:pt idx="9">
                    <c:v>0</c:v>
                  </c:pt>
                  <c:pt idx="10">
                    <c:v>0</c:v>
                  </c:pt>
                  <c:pt idx="11">
                    <c:v>0</c:v>
                  </c:pt>
                </c:numCache>
              </c:numRef>
            </c:minus>
            <c:spPr>
              <a:ln w="12700">
                <a:solidFill>
                  <a:srgbClr val="595959"/>
                </a:solidFill>
                <a:prstDash val="solid"/>
              </a:ln>
            </c:spPr>
          </c:errBars>
          <c:cat>
            <c:strRef>
              <c:f>Summary!$B$5:$M$5</c:f>
              <c:strCache>
                <c:ptCount val="12"/>
                <c:pt idx="0">
                  <c:v>Mock A</c:v>
                </c:pt>
                <c:pt idx="1">
                  <c:v>Mock B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Summary!$B$8:$M$8</c:f>
              <c:numCache>
                <c:formatCode>0.00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F73-904F-A816-F3AC7526DB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22683839"/>
        <c:axId val="1"/>
      </c:barChart>
      <c:catAx>
        <c:axId val="622683839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12700">
            <a:solidFill>
              <a:srgbClr val="8B8B8B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de-DE"/>
          </a:p>
        </c:txPr>
        <c:crossAx val="1"/>
        <c:crossesAt val="0"/>
        <c:auto val="0"/>
        <c:lblAlgn val="ctr"/>
        <c:lblOffset val="100"/>
        <c:tickLblSkip val="3"/>
        <c:tickMarkSkip val="1"/>
        <c:noMultiLvlLbl val="0"/>
      </c:catAx>
      <c:valAx>
        <c:axId val="1"/>
        <c:scaling>
          <c:orientation val="minMax"/>
        </c:scaling>
        <c:delete val="0"/>
        <c:axPos val="l"/>
        <c:numFmt formatCode="0.00" sourceLinked="1"/>
        <c:majorTickMark val="out"/>
        <c:minorTickMark val="none"/>
        <c:tickLblPos val="nextTo"/>
        <c:spPr>
          <a:ln w="12700">
            <a:solidFill>
              <a:srgbClr val="8B8B8B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de-DE"/>
          </a:p>
        </c:txPr>
        <c:crossAx val="622683839"/>
        <c:crosses val="autoZero"/>
        <c:crossBetween val="between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12700">
      <a:solidFill>
        <a:srgbClr val="D9D9D9"/>
      </a:solidFill>
      <a:prstDash val="solid"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de-DE"/>
    </a:p>
  </c:txPr>
  <c:printSettings>
    <c:headerFooter alignWithMargins="0"/>
    <c:pageMargins b="0.984251969" l="0.78740157499999996" r="0.78740157499999996" t="0.984251969" header="0.51180555555555551" footer="0.51180555555555551"/>
    <c:pageSetup firstPageNumber="0"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4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de-DE"/>
              <a:t>Weight</a:t>
            </a:r>
          </a:p>
        </c:rich>
      </c:tx>
      <c:layout>
        <c:manualLayout>
          <c:xMode val="edge"/>
          <c:yMode val="edge"/>
          <c:x val="0.44497874385420128"/>
          <c:y val="3.954903364352183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20375339259501946"/>
          <c:y val="0.36159320523022093"/>
          <c:w val="0.76583171699507313"/>
          <c:h val="0.22599575326888807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rgbClr val="FFFFFF"/>
            </a:solidFill>
            <a:ln w="3175">
              <a:solidFill>
                <a:srgbClr val="000000"/>
              </a:solidFill>
              <a:prstDash val="solid"/>
            </a:ln>
          </c:spPr>
          <c:invertIfNegative val="0"/>
          <c:errBars>
            <c:errBarType val="both"/>
            <c:errValType val="cust"/>
            <c:noEndCap val="0"/>
            <c:plus>
              <c:numRef>
                <c:f>Summary!$B$11:$M$11</c:f>
                <c:numCache>
                  <c:formatCode>General</c:formatCode>
                  <c:ptCount val="12"/>
                  <c:pt idx="0">
                    <c:v>0</c:v>
                  </c:pt>
                  <c:pt idx="1">
                    <c:v>0</c:v>
                  </c:pt>
                  <c:pt idx="2">
                    <c:v>0</c:v>
                  </c:pt>
                  <c:pt idx="3">
                    <c:v>0</c:v>
                  </c:pt>
                  <c:pt idx="4">
                    <c:v>0</c:v>
                  </c:pt>
                  <c:pt idx="5">
                    <c:v>0</c:v>
                  </c:pt>
                  <c:pt idx="6">
                    <c:v>0</c:v>
                  </c:pt>
                  <c:pt idx="7">
                    <c:v>0</c:v>
                  </c:pt>
                  <c:pt idx="8">
                    <c:v>0</c:v>
                  </c:pt>
                  <c:pt idx="9">
                    <c:v>0</c:v>
                  </c:pt>
                  <c:pt idx="10">
                    <c:v>0</c:v>
                  </c:pt>
                  <c:pt idx="11">
                    <c:v>0</c:v>
                  </c:pt>
                </c:numCache>
              </c:numRef>
            </c:plus>
            <c:minus>
              <c:numRef>
                <c:f>Summary!$B$11:$M$11</c:f>
                <c:numCache>
                  <c:formatCode>General</c:formatCode>
                  <c:ptCount val="12"/>
                  <c:pt idx="0">
                    <c:v>0</c:v>
                  </c:pt>
                  <c:pt idx="1">
                    <c:v>0</c:v>
                  </c:pt>
                  <c:pt idx="2">
                    <c:v>0</c:v>
                  </c:pt>
                  <c:pt idx="3">
                    <c:v>0</c:v>
                  </c:pt>
                  <c:pt idx="4">
                    <c:v>0</c:v>
                  </c:pt>
                  <c:pt idx="5">
                    <c:v>0</c:v>
                  </c:pt>
                  <c:pt idx="6">
                    <c:v>0</c:v>
                  </c:pt>
                  <c:pt idx="7">
                    <c:v>0</c:v>
                  </c:pt>
                  <c:pt idx="8">
                    <c:v>0</c:v>
                  </c:pt>
                  <c:pt idx="9">
                    <c:v>0</c:v>
                  </c:pt>
                  <c:pt idx="10">
                    <c:v>0</c:v>
                  </c:pt>
                  <c:pt idx="11">
                    <c:v>0</c:v>
                  </c:pt>
                </c:numCache>
              </c:numRef>
            </c:minus>
            <c:spPr>
              <a:ln w="12700">
                <a:solidFill>
                  <a:srgbClr val="595959"/>
                </a:solidFill>
                <a:prstDash val="solid"/>
              </a:ln>
            </c:spPr>
          </c:errBars>
          <c:cat>
            <c:strRef>
              <c:f>Summary!$B$5:$M$5</c:f>
              <c:strCache>
                <c:ptCount val="12"/>
                <c:pt idx="0">
                  <c:v>Mock A</c:v>
                </c:pt>
                <c:pt idx="1">
                  <c:v>Mock B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Summary!$B$10:$M$10</c:f>
              <c:numCache>
                <c:formatCode>0.00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F9D-F946-B945-F5375AC5DF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35673679"/>
        <c:axId val="1"/>
      </c:barChart>
      <c:catAx>
        <c:axId val="535673679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12700">
            <a:solidFill>
              <a:srgbClr val="8B8B8B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de-DE"/>
          </a:p>
        </c:txPr>
        <c:crossAx val="1"/>
        <c:crossesAt val="0"/>
        <c:auto val="0"/>
        <c:lblAlgn val="ctr"/>
        <c:lblOffset val="100"/>
        <c:tickLblSkip val="3"/>
        <c:tickMarkSkip val="1"/>
        <c:noMultiLvlLbl val="0"/>
      </c:catAx>
      <c:valAx>
        <c:axId val="1"/>
        <c:scaling>
          <c:orientation val="minMax"/>
        </c:scaling>
        <c:delete val="0"/>
        <c:axPos val="l"/>
        <c:numFmt formatCode="0.00" sourceLinked="1"/>
        <c:majorTickMark val="out"/>
        <c:minorTickMark val="none"/>
        <c:tickLblPos val="nextTo"/>
        <c:spPr>
          <a:ln w="12700">
            <a:solidFill>
              <a:srgbClr val="8B8B8B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de-DE"/>
          </a:p>
        </c:txPr>
        <c:crossAx val="535673679"/>
        <c:crosses val="autoZero"/>
        <c:crossBetween val="between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12700">
      <a:solidFill>
        <a:srgbClr val="D9D9D9"/>
      </a:solidFill>
      <a:prstDash val="solid"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de-DE"/>
    </a:p>
  </c:txPr>
  <c:printSettings>
    <c:headerFooter alignWithMargins="0"/>
    <c:pageMargins b="0.984251969" l="0.78740157499999996" r="0.78740157499999996" t="0.984251969" header="0.51180555555555551" footer="0.51180555555555551"/>
    <c:pageSetup firstPageNumber="0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4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de-DE"/>
              <a:t>Chart Title</a:t>
            </a:r>
          </a:p>
        </c:rich>
      </c:tx>
      <c:layout>
        <c:manualLayout>
          <c:xMode val="edge"/>
          <c:yMode val="edge"/>
          <c:x val="0.4557106447966045"/>
          <c:y val="2.7125566901310478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5.063451433725475E-2"/>
          <c:y val="0.17541237965390435"/>
          <c:w val="0.93547265238078159"/>
          <c:h val="0.63112289174446001"/>
        </c:manualLayout>
      </c:layout>
      <c:barChart>
        <c:barDir val="col"/>
        <c:grouping val="percentStacked"/>
        <c:varyColors val="0"/>
        <c:ser>
          <c:idx val="0"/>
          <c:order val="0"/>
          <c:spPr>
            <a:solidFill>
              <a:srgbClr val="70AD47"/>
            </a:solidFill>
            <a:ln w="25400">
              <a:noFill/>
            </a:ln>
          </c:spPr>
          <c:invertIfNegative val="0"/>
          <c:cat>
            <c:strRef>
              <c:f>'Tabelle1 (con)'!$M$1:$R$1</c:f>
              <c:strCache>
                <c:ptCount val="6"/>
                <c:pt idx="0">
                  <c:v>MOCK</c:v>
                </c:pt>
                <c:pt idx="1">
                  <c:v>WT</c:v>
                </c:pt>
                <c:pt idx="2">
                  <c:v>ΔLLM1</c:v>
                </c:pt>
                <c:pt idx="3">
                  <c:v>comp.LLM1</c:v>
                </c:pt>
                <c:pt idx="4">
                  <c:v>LLM1-GFP</c:v>
                </c:pt>
                <c:pt idx="5">
                  <c:v>oeLLM1</c:v>
                </c:pt>
              </c:strCache>
            </c:strRef>
          </c:cat>
          <c:val>
            <c:numRef>
              <c:f>'Tabelle1 (con)'!$M$2:$R$2</c:f>
              <c:numCache>
                <c:formatCode>General</c:formatCode>
                <c:ptCount val="6"/>
                <c:pt idx="0">
                  <c:v>177</c:v>
                </c:pt>
                <c:pt idx="1">
                  <c:v>31</c:v>
                </c:pt>
                <c:pt idx="2">
                  <c:v>59</c:v>
                </c:pt>
                <c:pt idx="3">
                  <c:v>11</c:v>
                </c:pt>
                <c:pt idx="4">
                  <c:v>10</c:v>
                </c:pt>
                <c:pt idx="5">
                  <c:v>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10E-FA40-882B-7D76FB2EA756}"/>
            </c:ext>
          </c:extLst>
        </c:ser>
        <c:ser>
          <c:idx val="1"/>
          <c:order val="1"/>
          <c:spPr>
            <a:solidFill>
              <a:srgbClr val="FFFF00"/>
            </a:solidFill>
            <a:ln w="25400">
              <a:noFill/>
            </a:ln>
          </c:spPr>
          <c:invertIfNegative val="0"/>
          <c:cat>
            <c:strRef>
              <c:f>'Tabelle1 (con)'!$M$1:$R$1</c:f>
              <c:strCache>
                <c:ptCount val="6"/>
                <c:pt idx="0">
                  <c:v>MOCK</c:v>
                </c:pt>
                <c:pt idx="1">
                  <c:v>WT</c:v>
                </c:pt>
                <c:pt idx="2">
                  <c:v>ΔLLM1</c:v>
                </c:pt>
                <c:pt idx="3">
                  <c:v>comp.LLM1</c:v>
                </c:pt>
                <c:pt idx="4">
                  <c:v>LLM1-GFP</c:v>
                </c:pt>
                <c:pt idx="5">
                  <c:v>oeLLM1</c:v>
                </c:pt>
              </c:strCache>
            </c:strRef>
          </c:cat>
          <c:val>
            <c:numRef>
              <c:f>'Tabelle1 (con)'!$M$3:$R$3</c:f>
              <c:numCache>
                <c:formatCode>General</c:formatCode>
                <c:ptCount val="6"/>
                <c:pt idx="0">
                  <c:v>3</c:v>
                </c:pt>
                <c:pt idx="1">
                  <c:v>66</c:v>
                </c:pt>
                <c:pt idx="2">
                  <c:v>54</c:v>
                </c:pt>
                <c:pt idx="3">
                  <c:v>14</c:v>
                </c:pt>
                <c:pt idx="4">
                  <c:v>7</c:v>
                </c:pt>
                <c:pt idx="5">
                  <c:v>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10E-FA40-882B-7D76FB2EA756}"/>
            </c:ext>
          </c:extLst>
        </c:ser>
        <c:ser>
          <c:idx val="2"/>
          <c:order val="2"/>
          <c:spPr>
            <a:solidFill>
              <a:srgbClr val="FFC000"/>
            </a:solidFill>
            <a:ln w="25400">
              <a:noFill/>
            </a:ln>
          </c:spPr>
          <c:invertIfNegative val="0"/>
          <c:cat>
            <c:strRef>
              <c:f>'Tabelle1 (con)'!$M$1:$R$1</c:f>
              <c:strCache>
                <c:ptCount val="6"/>
                <c:pt idx="0">
                  <c:v>MOCK</c:v>
                </c:pt>
                <c:pt idx="1">
                  <c:v>WT</c:v>
                </c:pt>
                <c:pt idx="2">
                  <c:v>ΔLLM1</c:v>
                </c:pt>
                <c:pt idx="3">
                  <c:v>comp.LLM1</c:v>
                </c:pt>
                <c:pt idx="4">
                  <c:v>LLM1-GFP</c:v>
                </c:pt>
                <c:pt idx="5">
                  <c:v>oeLLM1</c:v>
                </c:pt>
              </c:strCache>
            </c:strRef>
          </c:cat>
          <c:val>
            <c:numRef>
              <c:f>'Tabelle1 (con)'!$M$4:$R$4</c:f>
              <c:numCache>
                <c:formatCode>General</c:formatCode>
                <c:ptCount val="6"/>
                <c:pt idx="0">
                  <c:v>0</c:v>
                </c:pt>
                <c:pt idx="1">
                  <c:v>65</c:v>
                </c:pt>
                <c:pt idx="2">
                  <c:v>32</c:v>
                </c:pt>
                <c:pt idx="3">
                  <c:v>32</c:v>
                </c:pt>
                <c:pt idx="4">
                  <c:v>10</c:v>
                </c:pt>
                <c:pt idx="5">
                  <c:v>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10E-FA40-882B-7D76FB2EA756}"/>
            </c:ext>
          </c:extLst>
        </c:ser>
        <c:ser>
          <c:idx val="3"/>
          <c:order val="3"/>
          <c:spPr>
            <a:solidFill>
              <a:srgbClr val="ED7D31"/>
            </a:solidFill>
            <a:ln w="25400">
              <a:noFill/>
            </a:ln>
          </c:spPr>
          <c:invertIfNegative val="0"/>
          <c:cat>
            <c:strRef>
              <c:f>'Tabelle1 (con)'!$M$1:$R$1</c:f>
              <c:strCache>
                <c:ptCount val="6"/>
                <c:pt idx="0">
                  <c:v>MOCK</c:v>
                </c:pt>
                <c:pt idx="1">
                  <c:v>WT</c:v>
                </c:pt>
                <c:pt idx="2">
                  <c:v>ΔLLM1</c:v>
                </c:pt>
                <c:pt idx="3">
                  <c:v>comp.LLM1</c:v>
                </c:pt>
                <c:pt idx="4">
                  <c:v>LLM1-GFP</c:v>
                </c:pt>
                <c:pt idx="5">
                  <c:v>oeLLM1</c:v>
                </c:pt>
              </c:strCache>
            </c:strRef>
          </c:cat>
          <c:val>
            <c:numRef>
              <c:f>'Tabelle1 (con)'!$M$5:$R$5</c:f>
              <c:numCache>
                <c:formatCode>General</c:formatCode>
                <c:ptCount val="6"/>
                <c:pt idx="0">
                  <c:v>0</c:v>
                </c:pt>
                <c:pt idx="1">
                  <c:v>18</c:v>
                </c:pt>
                <c:pt idx="2">
                  <c:v>5</c:v>
                </c:pt>
                <c:pt idx="3">
                  <c:v>3</c:v>
                </c:pt>
                <c:pt idx="4">
                  <c:v>3</c:v>
                </c:pt>
                <c:pt idx="5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10E-FA40-882B-7D76FB2EA7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50046239"/>
        <c:axId val="1"/>
      </c:barChart>
      <c:catAx>
        <c:axId val="650046239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12700">
            <a:solidFill>
              <a:srgbClr val="D9D9D9"/>
            </a:solidFill>
            <a:prstDash val="solid"/>
          </a:ln>
        </c:spPr>
        <c:txPr>
          <a:bodyPr rot="4800000" vert="horz"/>
          <a:lstStyle/>
          <a:p>
            <a:pPr>
              <a:defRPr sz="9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de-DE"/>
          </a:p>
        </c:txPr>
        <c:crossAx val="1"/>
        <c:crossesAt val="0"/>
        <c:auto val="0"/>
        <c:lblAlgn val="ctr"/>
        <c:lblOffset val="100"/>
        <c:tickLblSkip val="1"/>
        <c:tickMarkSkip val="1"/>
        <c:noMultiLvlLbl val="0"/>
      </c:catAx>
      <c:valAx>
        <c:axId val="1"/>
        <c:scaling>
          <c:orientation val="minMax"/>
        </c:scaling>
        <c:delete val="0"/>
        <c:axPos val="l"/>
        <c:majorGridlines>
          <c:spPr>
            <a:ln w="12700">
              <a:solidFill>
                <a:srgbClr val="D9D9D9"/>
              </a:solidFill>
              <a:prstDash val="solid"/>
            </a:ln>
          </c:spPr>
        </c:majorGridlines>
        <c:numFmt formatCode="0%" sourceLinked="1"/>
        <c:majorTickMark val="none"/>
        <c:minorTickMark val="none"/>
        <c:tickLblPos val="nextTo"/>
        <c:spPr>
          <a:ln w="6350">
            <a:noFill/>
          </a:ln>
        </c:spPr>
        <c:txPr>
          <a:bodyPr rot="4800000" vert="horz"/>
          <a:lstStyle/>
          <a:p>
            <a:pPr>
              <a:defRPr sz="9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de-DE"/>
          </a:p>
        </c:txPr>
        <c:crossAx val="650046239"/>
        <c:crosses val="autoZero"/>
        <c:crossBetween val="between"/>
      </c:valAx>
      <c:spPr>
        <a:noFill/>
        <a:ln w="25400">
          <a:noFill/>
        </a:ln>
      </c:spPr>
    </c:plotArea>
    <c:legend>
      <c:legendPos val="b"/>
      <c:layout>
        <c:manualLayout>
          <c:xMode val="edge"/>
          <c:yMode val="edge"/>
          <c:x val="0.41520299886947382"/>
          <c:y val="0.96567221279318882"/>
          <c:w val="0.20506981495071303"/>
          <c:h val="2.5317186500097399E-2"/>
        </c:manualLayout>
      </c:layout>
      <c:overlay val="0"/>
      <c:spPr>
        <a:noFill/>
        <a:ln w="25400">
          <a:noFill/>
        </a:ln>
      </c:spPr>
      <c:txPr>
        <a:bodyPr/>
        <a:lstStyle/>
        <a:p>
          <a:pPr>
            <a:defRPr sz="825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de-DE"/>
        </a:p>
      </c:txPr>
    </c:legend>
    <c:plotVisOnly val="1"/>
    <c:dispBlanksAs val="gap"/>
    <c:showDLblsOverMax val="0"/>
  </c:chart>
  <c:spPr>
    <a:solidFill>
      <a:srgbClr val="FFFFFF"/>
    </a:solidFill>
    <a:ln w="12700">
      <a:solidFill>
        <a:srgbClr val="D9D9D9"/>
      </a:solidFill>
      <a:prstDash val="solid"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de-DE"/>
    </a:p>
  </c:txPr>
  <c:printSettings>
    <c:headerFooter alignWithMargins="0"/>
    <c:pageMargins b="0.984251969" l="0.78740157499999996" r="0.78740157499999996" t="0.984251969" header="0.51180555555555551" footer="0.51180555555555551"/>
    <c:pageSetup firstPageNumber="0"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E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'Tabelle1 (sin)'!$L$2</c:f>
              <c:strCache>
                <c:ptCount val="1"/>
                <c:pt idx="0">
                  <c:v>healthy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'Tabelle1 (sin)'!$M$1:$R$1</c:f>
              <c:strCache>
                <c:ptCount val="6"/>
                <c:pt idx="0">
                  <c:v>MOCK</c:v>
                </c:pt>
                <c:pt idx="1">
                  <c:v>WT</c:v>
                </c:pt>
                <c:pt idx="2">
                  <c:v>ΔLLM1</c:v>
                </c:pt>
                <c:pt idx="3">
                  <c:v>comp.LLM1</c:v>
                </c:pt>
                <c:pt idx="4">
                  <c:v>LLM1-GFP</c:v>
                </c:pt>
                <c:pt idx="5">
                  <c:v>oeLLM1</c:v>
                </c:pt>
              </c:strCache>
            </c:strRef>
          </c:cat>
          <c:val>
            <c:numRef>
              <c:f>'Tabelle1 (sin)'!$M$2:$R$2</c:f>
              <c:numCache>
                <c:formatCode>General</c:formatCode>
                <c:ptCount val="6"/>
                <c:pt idx="0">
                  <c:v>148</c:v>
                </c:pt>
                <c:pt idx="1">
                  <c:v>22</c:v>
                </c:pt>
                <c:pt idx="2">
                  <c:v>25</c:v>
                </c:pt>
                <c:pt idx="3">
                  <c:v>11</c:v>
                </c:pt>
                <c:pt idx="4">
                  <c:v>10</c:v>
                </c:pt>
                <c:pt idx="5">
                  <c:v>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4B-46E0-A6D7-B2CD09A5B51D}"/>
            </c:ext>
          </c:extLst>
        </c:ser>
        <c:ser>
          <c:idx val="1"/>
          <c:order val="1"/>
          <c:tx>
            <c:strRef>
              <c:f>'Tabelle1 (sin)'!$L$3</c:f>
              <c:strCache>
                <c:ptCount val="1"/>
                <c:pt idx="0">
                  <c:v>weak symptoms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'Tabelle1 (sin)'!$M$1:$R$1</c:f>
              <c:strCache>
                <c:ptCount val="6"/>
                <c:pt idx="0">
                  <c:v>MOCK</c:v>
                </c:pt>
                <c:pt idx="1">
                  <c:v>WT</c:v>
                </c:pt>
                <c:pt idx="2">
                  <c:v>ΔLLM1</c:v>
                </c:pt>
                <c:pt idx="3">
                  <c:v>comp.LLM1</c:v>
                </c:pt>
                <c:pt idx="4">
                  <c:v>LLM1-GFP</c:v>
                </c:pt>
                <c:pt idx="5">
                  <c:v>oeLLM1</c:v>
                </c:pt>
              </c:strCache>
            </c:strRef>
          </c:cat>
          <c:val>
            <c:numRef>
              <c:f>'Tabelle1 (sin)'!$M$3:$R$3</c:f>
              <c:numCache>
                <c:formatCode>General</c:formatCode>
                <c:ptCount val="6"/>
                <c:pt idx="0">
                  <c:v>2</c:v>
                </c:pt>
                <c:pt idx="1">
                  <c:v>52</c:v>
                </c:pt>
                <c:pt idx="2">
                  <c:v>28</c:v>
                </c:pt>
                <c:pt idx="3">
                  <c:v>14</c:v>
                </c:pt>
                <c:pt idx="4">
                  <c:v>7</c:v>
                </c:pt>
                <c:pt idx="5">
                  <c:v>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4B-46E0-A6D7-B2CD09A5B51D}"/>
            </c:ext>
          </c:extLst>
        </c:ser>
        <c:ser>
          <c:idx val="2"/>
          <c:order val="2"/>
          <c:tx>
            <c:strRef>
              <c:f>'Tabelle1 (sin)'!$L$4</c:f>
              <c:strCache>
                <c:ptCount val="1"/>
                <c:pt idx="0">
                  <c:v>strong symptoms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'Tabelle1 (sin)'!$M$1:$R$1</c:f>
              <c:strCache>
                <c:ptCount val="6"/>
                <c:pt idx="0">
                  <c:v>MOCK</c:v>
                </c:pt>
                <c:pt idx="1">
                  <c:v>WT</c:v>
                </c:pt>
                <c:pt idx="2">
                  <c:v>ΔLLM1</c:v>
                </c:pt>
                <c:pt idx="3">
                  <c:v>comp.LLM1</c:v>
                </c:pt>
                <c:pt idx="4">
                  <c:v>LLM1-GFP</c:v>
                </c:pt>
                <c:pt idx="5">
                  <c:v>oeLLM1</c:v>
                </c:pt>
              </c:strCache>
            </c:strRef>
          </c:cat>
          <c:val>
            <c:numRef>
              <c:f>'Tabelle1 (sin)'!$M$4:$R$4</c:f>
              <c:numCache>
                <c:formatCode>General</c:formatCode>
                <c:ptCount val="6"/>
                <c:pt idx="0">
                  <c:v>0</c:v>
                </c:pt>
                <c:pt idx="1">
                  <c:v>58</c:v>
                </c:pt>
                <c:pt idx="2">
                  <c:v>32</c:v>
                </c:pt>
                <c:pt idx="3">
                  <c:v>32</c:v>
                </c:pt>
                <c:pt idx="4">
                  <c:v>10</c:v>
                </c:pt>
                <c:pt idx="5">
                  <c:v>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D4B-46E0-A6D7-B2CD09A5B51D}"/>
            </c:ext>
          </c:extLst>
        </c:ser>
        <c:ser>
          <c:idx val="3"/>
          <c:order val="3"/>
          <c:tx>
            <c:strRef>
              <c:f>'Tabelle1 (sin)'!$L$5</c:f>
              <c:strCache>
                <c:ptCount val="1"/>
                <c:pt idx="0">
                  <c:v>very strong symptoms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'Tabelle1 (sin)'!$M$1:$R$1</c:f>
              <c:strCache>
                <c:ptCount val="6"/>
                <c:pt idx="0">
                  <c:v>MOCK</c:v>
                </c:pt>
                <c:pt idx="1">
                  <c:v>WT</c:v>
                </c:pt>
                <c:pt idx="2">
                  <c:v>ΔLLM1</c:v>
                </c:pt>
                <c:pt idx="3">
                  <c:v>comp.LLM1</c:v>
                </c:pt>
                <c:pt idx="4">
                  <c:v>LLM1-GFP</c:v>
                </c:pt>
                <c:pt idx="5">
                  <c:v>oeLLM1</c:v>
                </c:pt>
              </c:strCache>
            </c:strRef>
          </c:cat>
          <c:val>
            <c:numRef>
              <c:f>'Tabelle1 (sin)'!$M$5:$R$5</c:f>
              <c:numCache>
                <c:formatCode>General</c:formatCode>
                <c:ptCount val="6"/>
                <c:pt idx="0">
                  <c:v>0</c:v>
                </c:pt>
                <c:pt idx="1">
                  <c:v>18</c:v>
                </c:pt>
                <c:pt idx="2">
                  <c:v>5</c:v>
                </c:pt>
                <c:pt idx="3">
                  <c:v>3</c:v>
                </c:pt>
                <c:pt idx="4">
                  <c:v>3</c:v>
                </c:pt>
                <c:pt idx="5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D4B-46E0-A6D7-B2CD09A5B5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716528191"/>
        <c:axId val="1512392207"/>
      </c:barChart>
      <c:catAx>
        <c:axId val="17165281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1512392207"/>
        <c:crosses val="autoZero"/>
        <c:auto val="1"/>
        <c:lblAlgn val="ctr"/>
        <c:lblOffset val="100"/>
        <c:noMultiLvlLbl val="0"/>
      </c:catAx>
      <c:valAx>
        <c:axId val="15123922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17165281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E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101600</xdr:colOff>
      <xdr:row>14</xdr:row>
      <xdr:rowOff>165100</xdr:rowOff>
    </xdr:from>
    <xdr:to>
      <xdr:col>6</xdr:col>
      <xdr:colOff>114300</xdr:colOff>
      <xdr:row>26</xdr:row>
      <xdr:rowOff>38100</xdr:rowOff>
    </xdr:to>
    <xdr:graphicFrame macro="">
      <xdr:nvGraphicFramePr>
        <xdr:cNvPr id="2085" name="Diagramm 1">
          <a:extLst>
            <a:ext uri="{FF2B5EF4-FFF2-40B4-BE49-F238E27FC236}">
              <a16:creationId xmlns:a16="http://schemas.microsoft.com/office/drawing/2014/main" id="{CE2C128F-87D7-F442-BCDF-D370F28806B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127000</xdr:colOff>
      <xdr:row>26</xdr:row>
      <xdr:rowOff>88900</xdr:rowOff>
    </xdr:from>
    <xdr:to>
      <xdr:col>6</xdr:col>
      <xdr:colOff>25400</xdr:colOff>
      <xdr:row>40</xdr:row>
      <xdr:rowOff>0</xdr:rowOff>
    </xdr:to>
    <xdr:graphicFrame macro="">
      <xdr:nvGraphicFramePr>
        <xdr:cNvPr id="2086" name="Diagramm 2">
          <a:extLst>
            <a:ext uri="{FF2B5EF4-FFF2-40B4-BE49-F238E27FC236}">
              <a16:creationId xmlns:a16="http://schemas.microsoft.com/office/drawing/2014/main" id="{66B1BD1C-3FC5-EA44-ACA4-60107239D7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88900</xdr:colOff>
      <xdr:row>40</xdr:row>
      <xdr:rowOff>127000</xdr:rowOff>
    </xdr:from>
    <xdr:to>
      <xdr:col>6</xdr:col>
      <xdr:colOff>25400</xdr:colOff>
      <xdr:row>52</xdr:row>
      <xdr:rowOff>165100</xdr:rowOff>
    </xdr:to>
    <xdr:graphicFrame macro="">
      <xdr:nvGraphicFramePr>
        <xdr:cNvPr id="2087" name="Diagramm 3">
          <a:extLst>
            <a:ext uri="{FF2B5EF4-FFF2-40B4-BE49-F238E27FC236}">
              <a16:creationId xmlns:a16="http://schemas.microsoft.com/office/drawing/2014/main" id="{3BF33798-94E7-2D4F-B635-EEED4F1ABD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0.20237</cdr:x>
      <cdr:y>0.53946</cdr:y>
    </cdr:from>
    <cdr:to>
      <cdr:x>0.20575</cdr:x>
      <cdr:y>0.61303</cdr:y>
    </cdr:to>
    <cdr:sp macro="" textlink="">
      <cdr:nvSpPr>
        <cdr:cNvPr id="9217" name="Text Box 1">
          <a:extLst xmlns:a="http://schemas.openxmlformats.org/drawingml/2006/main">
            <a:ext uri="{FF2B5EF4-FFF2-40B4-BE49-F238E27FC236}">
              <a16:creationId xmlns:a16="http://schemas.microsoft.com/office/drawing/2014/main" id="{FDE438C5-2104-0A48-BDFB-C66A381A378D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1113623" y="1154132"/>
          <a:ext cx="18531" cy="156518"/>
        </a:xfrm>
        <a:prstGeom xmlns:a="http://schemas.openxmlformats.org/drawingml/2006/main" prst="rect">
          <a:avLst/>
        </a:prstGeom>
        <a:solidFill xmlns:a="http://schemas.openxmlformats.org/drawingml/2006/main">
          <a:srgbClr xmlns:mc="http://schemas.openxmlformats.org/markup-compatibility/2006" xmlns:a14="http://schemas.microsoft.com/office/drawing/2010/main" val="FFFFFF" mc:Ignorable="a14" a14:legacySpreadsheetColorIndex="9"/>
        </a:solidFill>
        <a:ln xmlns:a="http://schemas.openxmlformats.org/drawingml/2006/main">
          <a:noFill/>
        </a:ln>
        <a:effectLst xmlns:a="http://schemas.openxmlformats.org/drawingml/2006/main"/>
        <a:extLst xmlns:a="http://schemas.openxmlformats.org/drawingml/2006/main"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000000" mc:Ignorable="a14" a14:legacySpreadsheetColorIndex="77"/>
              </a:solidFill>
              <a:miter lim="800000"/>
              <a:headEnd/>
              <a:tailEnd type="none" w="med" len="med"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cdr:spPr>
      <cdr:txBody>
        <a:bodyPr xmlns:a="http://schemas.openxmlformats.org/drawingml/2006/main" wrap="none" lIns="18288" tIns="0" rIns="0" bIns="0" anchor="ctr" upright="1">
          <a:spAutoFit/>
        </a:bodyPr>
        <a:lstStyle xmlns:a="http://schemas.openxmlformats.org/drawingml/2006/main"/>
        <a:p xmlns:a="http://schemas.openxmlformats.org/drawingml/2006/main">
          <a:pPr algn="ctr" rtl="0">
            <a:defRPr sz="1000"/>
          </a:pPr>
          <a:endParaRPr lang="de-DE"/>
        </a:p>
      </cdr:txBody>
    </cdr:sp>
  </cdr:relSizeAnchor>
  <cdr:relSizeAnchor xmlns:cdr="http://schemas.openxmlformats.org/drawingml/2006/chartDrawing">
    <cdr:from>
      <cdr:x>0.20237</cdr:x>
      <cdr:y>0.53946</cdr:y>
    </cdr:from>
    <cdr:to>
      <cdr:x>0.20575</cdr:x>
      <cdr:y>0.61303</cdr:y>
    </cdr:to>
    <cdr:sp macro="" textlink="">
      <cdr:nvSpPr>
        <cdr:cNvPr id="9218" name="Text Box 2">
          <a:extLst xmlns:a="http://schemas.openxmlformats.org/drawingml/2006/main">
            <a:ext uri="{FF2B5EF4-FFF2-40B4-BE49-F238E27FC236}">
              <a16:creationId xmlns:a16="http://schemas.microsoft.com/office/drawing/2014/main" id="{DD1169CE-38D6-F84E-936B-ED15C2530410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1113623" y="1154132"/>
          <a:ext cx="18531" cy="156518"/>
        </a:xfrm>
        <a:prstGeom xmlns:a="http://schemas.openxmlformats.org/drawingml/2006/main" prst="rect">
          <a:avLst/>
        </a:prstGeom>
        <a:solidFill xmlns:a="http://schemas.openxmlformats.org/drawingml/2006/main">
          <a:srgbClr xmlns:mc="http://schemas.openxmlformats.org/markup-compatibility/2006" xmlns:a14="http://schemas.microsoft.com/office/drawing/2010/main" val="FFFFFF" mc:Ignorable="a14" a14:legacySpreadsheetColorIndex="9"/>
        </a:solidFill>
        <a:ln xmlns:a="http://schemas.openxmlformats.org/drawingml/2006/main">
          <a:noFill/>
        </a:ln>
        <a:effectLst xmlns:a="http://schemas.openxmlformats.org/drawingml/2006/main"/>
        <a:extLst xmlns:a="http://schemas.openxmlformats.org/drawingml/2006/main"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000000" mc:Ignorable="a14" a14:legacySpreadsheetColorIndex="77"/>
              </a:solidFill>
              <a:miter lim="800000"/>
              <a:headEnd/>
              <a:tailEnd type="none" w="med" len="med"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cdr:spPr>
      <cdr:txBody>
        <a:bodyPr xmlns:a="http://schemas.openxmlformats.org/drawingml/2006/main" wrap="none" lIns="18288" tIns="0" rIns="0" bIns="0" anchor="ctr" upright="1">
          <a:spAutoFit/>
        </a:bodyPr>
        <a:lstStyle xmlns:a="http://schemas.openxmlformats.org/drawingml/2006/main"/>
        <a:p xmlns:a="http://schemas.openxmlformats.org/drawingml/2006/main">
          <a:pPr algn="ctr" rtl="0">
            <a:defRPr sz="1000"/>
          </a:pPr>
          <a:endParaRPr lang="de-DE"/>
        </a:p>
      </cdr:txBody>
    </cdr:sp>
  </cdr:relSizeAnchor>
  <cdr:relSizeAnchor xmlns:cdr="http://schemas.openxmlformats.org/drawingml/2006/chartDrawing">
    <cdr:from>
      <cdr:x>0.20237</cdr:x>
      <cdr:y>0.53946</cdr:y>
    </cdr:from>
    <cdr:to>
      <cdr:x>0.20575</cdr:x>
      <cdr:y>0.61303</cdr:y>
    </cdr:to>
    <cdr:sp macro="" textlink="">
      <cdr:nvSpPr>
        <cdr:cNvPr id="9219" name="Text Box 3">
          <a:extLst xmlns:a="http://schemas.openxmlformats.org/drawingml/2006/main">
            <a:ext uri="{FF2B5EF4-FFF2-40B4-BE49-F238E27FC236}">
              <a16:creationId xmlns:a16="http://schemas.microsoft.com/office/drawing/2014/main" id="{222E501A-29DE-6E45-8ED7-0CBF9D46C2E4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1113623" y="1154132"/>
          <a:ext cx="18531" cy="156518"/>
        </a:xfrm>
        <a:prstGeom xmlns:a="http://schemas.openxmlformats.org/drawingml/2006/main" prst="rect">
          <a:avLst/>
        </a:prstGeom>
        <a:solidFill xmlns:a="http://schemas.openxmlformats.org/drawingml/2006/main">
          <a:srgbClr xmlns:mc="http://schemas.openxmlformats.org/markup-compatibility/2006" xmlns:a14="http://schemas.microsoft.com/office/drawing/2010/main" val="FFFFFF" mc:Ignorable="a14" a14:legacySpreadsheetColorIndex="9"/>
        </a:solidFill>
        <a:ln xmlns:a="http://schemas.openxmlformats.org/drawingml/2006/main">
          <a:noFill/>
        </a:ln>
        <a:effectLst xmlns:a="http://schemas.openxmlformats.org/drawingml/2006/main"/>
        <a:extLst xmlns:a="http://schemas.openxmlformats.org/drawingml/2006/main"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000000" mc:Ignorable="a14" a14:legacySpreadsheetColorIndex="77"/>
              </a:solidFill>
              <a:miter lim="800000"/>
              <a:headEnd/>
              <a:tailEnd type="none" w="med" len="med"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cdr:spPr>
      <cdr:txBody>
        <a:bodyPr xmlns:a="http://schemas.openxmlformats.org/drawingml/2006/main" wrap="none" lIns="18288" tIns="0" rIns="0" bIns="0" anchor="ctr" upright="1">
          <a:spAutoFit/>
        </a:bodyPr>
        <a:lstStyle xmlns:a="http://schemas.openxmlformats.org/drawingml/2006/main"/>
        <a:p xmlns:a="http://schemas.openxmlformats.org/drawingml/2006/main">
          <a:pPr algn="ctr" rtl="0">
            <a:defRPr sz="1000"/>
          </a:pPr>
          <a:endParaRPr lang="de-DE"/>
        </a:p>
      </cdr:txBody>
    </cdr:sp>
  </cdr:relSizeAnchor>
  <cdr:relSizeAnchor xmlns:cdr="http://schemas.openxmlformats.org/drawingml/2006/chartDrawing">
    <cdr:from>
      <cdr:x>0.20237</cdr:x>
      <cdr:y>0.53946</cdr:y>
    </cdr:from>
    <cdr:to>
      <cdr:x>0.20575</cdr:x>
      <cdr:y>0.61303</cdr:y>
    </cdr:to>
    <cdr:sp macro="" textlink="">
      <cdr:nvSpPr>
        <cdr:cNvPr id="9220" name="Text Box 4">
          <a:extLst xmlns:a="http://schemas.openxmlformats.org/drawingml/2006/main">
            <a:ext uri="{FF2B5EF4-FFF2-40B4-BE49-F238E27FC236}">
              <a16:creationId xmlns:a16="http://schemas.microsoft.com/office/drawing/2014/main" id="{F6A0DF1E-AFFC-7847-A5E7-C8B8F10FAD07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1113623" y="1154132"/>
          <a:ext cx="18531" cy="156518"/>
        </a:xfrm>
        <a:prstGeom xmlns:a="http://schemas.openxmlformats.org/drawingml/2006/main" prst="rect">
          <a:avLst/>
        </a:prstGeom>
        <a:solidFill xmlns:a="http://schemas.openxmlformats.org/drawingml/2006/main">
          <a:srgbClr xmlns:mc="http://schemas.openxmlformats.org/markup-compatibility/2006" xmlns:a14="http://schemas.microsoft.com/office/drawing/2010/main" val="FFFFFF" mc:Ignorable="a14" a14:legacySpreadsheetColorIndex="9"/>
        </a:solidFill>
        <a:ln xmlns:a="http://schemas.openxmlformats.org/drawingml/2006/main">
          <a:noFill/>
        </a:ln>
        <a:effectLst xmlns:a="http://schemas.openxmlformats.org/drawingml/2006/main"/>
        <a:extLst xmlns:a="http://schemas.openxmlformats.org/drawingml/2006/main"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000000" mc:Ignorable="a14" a14:legacySpreadsheetColorIndex="77"/>
              </a:solidFill>
              <a:miter lim="800000"/>
              <a:headEnd/>
              <a:tailEnd type="none" w="med" len="med"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cdr:spPr>
      <cdr:txBody>
        <a:bodyPr xmlns:a="http://schemas.openxmlformats.org/drawingml/2006/main" wrap="none" lIns="18288" tIns="0" rIns="0" bIns="0" anchor="ctr" upright="1">
          <a:spAutoFit/>
        </a:bodyPr>
        <a:lstStyle xmlns:a="http://schemas.openxmlformats.org/drawingml/2006/main"/>
        <a:p xmlns:a="http://schemas.openxmlformats.org/drawingml/2006/main">
          <a:pPr algn="ctr" rtl="0">
            <a:defRPr sz="1000"/>
          </a:pPr>
          <a:endParaRPr lang="de-DE"/>
        </a:p>
      </cdr:txBody>
    </cdr:sp>
  </cdr:relSizeAnchor>
  <cdr:relSizeAnchor xmlns:cdr="http://schemas.openxmlformats.org/drawingml/2006/chartDrawing">
    <cdr:from>
      <cdr:x>0.20237</cdr:x>
      <cdr:y>0.53946</cdr:y>
    </cdr:from>
    <cdr:to>
      <cdr:x>0.20575</cdr:x>
      <cdr:y>0.61303</cdr:y>
    </cdr:to>
    <cdr:sp macro="" textlink="">
      <cdr:nvSpPr>
        <cdr:cNvPr id="9221" name="Text Box 5">
          <a:extLst xmlns:a="http://schemas.openxmlformats.org/drawingml/2006/main">
            <a:ext uri="{FF2B5EF4-FFF2-40B4-BE49-F238E27FC236}">
              <a16:creationId xmlns:a16="http://schemas.microsoft.com/office/drawing/2014/main" id="{141155C4-1D3B-C94A-B03A-2FA2AF8FF5CA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1113623" y="1154132"/>
          <a:ext cx="18531" cy="156518"/>
        </a:xfrm>
        <a:prstGeom xmlns:a="http://schemas.openxmlformats.org/drawingml/2006/main" prst="rect">
          <a:avLst/>
        </a:prstGeom>
        <a:solidFill xmlns:a="http://schemas.openxmlformats.org/drawingml/2006/main">
          <a:srgbClr xmlns:mc="http://schemas.openxmlformats.org/markup-compatibility/2006" xmlns:a14="http://schemas.microsoft.com/office/drawing/2010/main" val="FFFFFF" mc:Ignorable="a14" a14:legacySpreadsheetColorIndex="9"/>
        </a:solidFill>
        <a:ln xmlns:a="http://schemas.openxmlformats.org/drawingml/2006/main">
          <a:noFill/>
        </a:ln>
        <a:effectLst xmlns:a="http://schemas.openxmlformats.org/drawingml/2006/main"/>
        <a:extLst xmlns:a="http://schemas.openxmlformats.org/drawingml/2006/main"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000000" mc:Ignorable="a14" a14:legacySpreadsheetColorIndex="77"/>
              </a:solidFill>
              <a:miter lim="800000"/>
              <a:headEnd/>
              <a:tailEnd type="none" w="med" len="med"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cdr:spPr>
      <cdr:txBody>
        <a:bodyPr xmlns:a="http://schemas.openxmlformats.org/drawingml/2006/main" wrap="none" lIns="18288" tIns="0" rIns="0" bIns="0" anchor="ctr" upright="1">
          <a:spAutoFit/>
        </a:bodyPr>
        <a:lstStyle xmlns:a="http://schemas.openxmlformats.org/drawingml/2006/main"/>
        <a:p xmlns:a="http://schemas.openxmlformats.org/drawingml/2006/main">
          <a:pPr algn="ctr" rtl="0">
            <a:defRPr sz="1000"/>
          </a:pPr>
          <a:endParaRPr lang="de-DE"/>
        </a:p>
      </cdr:txBody>
    </cdr:sp>
  </cdr:relSizeAnchor>
  <cdr:relSizeAnchor xmlns:cdr="http://schemas.openxmlformats.org/drawingml/2006/chartDrawing">
    <cdr:from>
      <cdr:x>0.20237</cdr:x>
      <cdr:y>0.53946</cdr:y>
    </cdr:from>
    <cdr:to>
      <cdr:x>0.20575</cdr:x>
      <cdr:y>0.61303</cdr:y>
    </cdr:to>
    <cdr:sp macro="" textlink="">
      <cdr:nvSpPr>
        <cdr:cNvPr id="9222" name="Text Box 6">
          <a:extLst xmlns:a="http://schemas.openxmlformats.org/drawingml/2006/main">
            <a:ext uri="{FF2B5EF4-FFF2-40B4-BE49-F238E27FC236}">
              <a16:creationId xmlns:a16="http://schemas.microsoft.com/office/drawing/2014/main" id="{ECBE4335-D347-C74E-8A53-3348B1AE3804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1113623" y="1154132"/>
          <a:ext cx="18531" cy="156518"/>
        </a:xfrm>
        <a:prstGeom xmlns:a="http://schemas.openxmlformats.org/drawingml/2006/main" prst="rect">
          <a:avLst/>
        </a:prstGeom>
        <a:solidFill xmlns:a="http://schemas.openxmlformats.org/drawingml/2006/main">
          <a:srgbClr xmlns:mc="http://schemas.openxmlformats.org/markup-compatibility/2006" xmlns:a14="http://schemas.microsoft.com/office/drawing/2010/main" val="FFFFFF" mc:Ignorable="a14" a14:legacySpreadsheetColorIndex="9"/>
        </a:solidFill>
        <a:ln xmlns:a="http://schemas.openxmlformats.org/drawingml/2006/main">
          <a:noFill/>
        </a:ln>
        <a:effectLst xmlns:a="http://schemas.openxmlformats.org/drawingml/2006/main"/>
        <a:extLst xmlns:a="http://schemas.openxmlformats.org/drawingml/2006/main"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000000" mc:Ignorable="a14" a14:legacySpreadsheetColorIndex="77"/>
              </a:solidFill>
              <a:miter lim="800000"/>
              <a:headEnd/>
              <a:tailEnd type="none" w="med" len="med"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cdr:spPr>
      <cdr:txBody>
        <a:bodyPr xmlns:a="http://schemas.openxmlformats.org/drawingml/2006/main" wrap="none" lIns="18288" tIns="0" rIns="0" bIns="0" anchor="ctr" upright="1">
          <a:spAutoFit/>
        </a:bodyPr>
        <a:lstStyle xmlns:a="http://schemas.openxmlformats.org/drawingml/2006/main"/>
        <a:p xmlns:a="http://schemas.openxmlformats.org/drawingml/2006/main">
          <a:pPr algn="ctr" rtl="0">
            <a:defRPr sz="1000"/>
          </a:pPr>
          <a:endParaRPr lang="de-DE"/>
        </a:p>
      </cdr:txBody>
    </cdr:sp>
  </cdr:relSizeAnchor>
  <cdr:relSizeAnchor xmlns:cdr="http://schemas.openxmlformats.org/drawingml/2006/chartDrawing">
    <cdr:from>
      <cdr:x>0.20237</cdr:x>
      <cdr:y>0.53946</cdr:y>
    </cdr:from>
    <cdr:to>
      <cdr:x>0.20575</cdr:x>
      <cdr:y>0.61303</cdr:y>
    </cdr:to>
    <cdr:sp macro="" textlink="">
      <cdr:nvSpPr>
        <cdr:cNvPr id="9223" name="Text Box 7">
          <a:extLst xmlns:a="http://schemas.openxmlformats.org/drawingml/2006/main">
            <a:ext uri="{FF2B5EF4-FFF2-40B4-BE49-F238E27FC236}">
              <a16:creationId xmlns:a16="http://schemas.microsoft.com/office/drawing/2014/main" id="{676C1DCC-9E0A-4447-8E71-7B2CD3598F90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1113623" y="1154132"/>
          <a:ext cx="18531" cy="156518"/>
        </a:xfrm>
        <a:prstGeom xmlns:a="http://schemas.openxmlformats.org/drawingml/2006/main" prst="rect">
          <a:avLst/>
        </a:prstGeom>
        <a:solidFill xmlns:a="http://schemas.openxmlformats.org/drawingml/2006/main">
          <a:srgbClr xmlns:mc="http://schemas.openxmlformats.org/markup-compatibility/2006" xmlns:a14="http://schemas.microsoft.com/office/drawing/2010/main" val="FFFFFF" mc:Ignorable="a14" a14:legacySpreadsheetColorIndex="9"/>
        </a:solidFill>
        <a:ln xmlns:a="http://schemas.openxmlformats.org/drawingml/2006/main">
          <a:noFill/>
        </a:ln>
        <a:effectLst xmlns:a="http://schemas.openxmlformats.org/drawingml/2006/main"/>
        <a:extLst xmlns:a="http://schemas.openxmlformats.org/drawingml/2006/main"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000000" mc:Ignorable="a14" a14:legacySpreadsheetColorIndex="77"/>
              </a:solidFill>
              <a:miter lim="800000"/>
              <a:headEnd/>
              <a:tailEnd type="none" w="med" len="med"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cdr:spPr>
      <cdr:txBody>
        <a:bodyPr xmlns:a="http://schemas.openxmlformats.org/drawingml/2006/main" wrap="none" lIns="18288" tIns="0" rIns="0" bIns="0" anchor="ctr" upright="1">
          <a:spAutoFit/>
        </a:bodyPr>
        <a:lstStyle xmlns:a="http://schemas.openxmlformats.org/drawingml/2006/main"/>
        <a:p xmlns:a="http://schemas.openxmlformats.org/drawingml/2006/main">
          <a:pPr algn="ctr" rtl="0">
            <a:defRPr sz="1000"/>
          </a:pPr>
          <a:endParaRPr lang="de-DE"/>
        </a:p>
      </cdr:txBody>
    </cdr:sp>
  </cdr:relSizeAnchor>
  <cdr:relSizeAnchor xmlns:cdr="http://schemas.openxmlformats.org/drawingml/2006/chartDrawing">
    <cdr:from>
      <cdr:x>0.20237</cdr:x>
      <cdr:y>0.53946</cdr:y>
    </cdr:from>
    <cdr:to>
      <cdr:x>0.20575</cdr:x>
      <cdr:y>0.61303</cdr:y>
    </cdr:to>
    <cdr:sp macro="" textlink="">
      <cdr:nvSpPr>
        <cdr:cNvPr id="9224" name="Text Box 8">
          <a:extLst xmlns:a="http://schemas.openxmlformats.org/drawingml/2006/main">
            <a:ext uri="{FF2B5EF4-FFF2-40B4-BE49-F238E27FC236}">
              <a16:creationId xmlns:a16="http://schemas.microsoft.com/office/drawing/2014/main" id="{304AF934-78A9-3445-B0B1-A0A333D55FEF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1113623" y="1154132"/>
          <a:ext cx="18531" cy="156518"/>
        </a:xfrm>
        <a:prstGeom xmlns:a="http://schemas.openxmlformats.org/drawingml/2006/main" prst="rect">
          <a:avLst/>
        </a:prstGeom>
        <a:solidFill xmlns:a="http://schemas.openxmlformats.org/drawingml/2006/main">
          <a:srgbClr xmlns:mc="http://schemas.openxmlformats.org/markup-compatibility/2006" xmlns:a14="http://schemas.microsoft.com/office/drawing/2010/main" val="FFFFFF" mc:Ignorable="a14" a14:legacySpreadsheetColorIndex="9"/>
        </a:solidFill>
        <a:ln xmlns:a="http://schemas.openxmlformats.org/drawingml/2006/main">
          <a:noFill/>
        </a:ln>
        <a:effectLst xmlns:a="http://schemas.openxmlformats.org/drawingml/2006/main"/>
        <a:extLst xmlns:a="http://schemas.openxmlformats.org/drawingml/2006/main"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000000" mc:Ignorable="a14" a14:legacySpreadsheetColorIndex="77"/>
              </a:solidFill>
              <a:miter lim="800000"/>
              <a:headEnd/>
              <a:tailEnd type="none" w="med" len="med"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cdr:spPr>
      <cdr:txBody>
        <a:bodyPr xmlns:a="http://schemas.openxmlformats.org/drawingml/2006/main" wrap="none" lIns="18288" tIns="0" rIns="0" bIns="0" anchor="ctr" upright="1">
          <a:spAutoFit/>
        </a:bodyPr>
        <a:lstStyle xmlns:a="http://schemas.openxmlformats.org/drawingml/2006/main"/>
        <a:p xmlns:a="http://schemas.openxmlformats.org/drawingml/2006/main">
          <a:pPr algn="ctr" rtl="0">
            <a:defRPr sz="1000"/>
          </a:pPr>
          <a:endParaRPr lang="de-DE"/>
        </a:p>
      </cdr:txBody>
    </cdr:sp>
  </cdr:relSizeAnchor>
  <cdr:relSizeAnchor xmlns:cdr="http://schemas.openxmlformats.org/drawingml/2006/chartDrawing">
    <cdr:from>
      <cdr:x>0.20237</cdr:x>
      <cdr:y>0.53946</cdr:y>
    </cdr:from>
    <cdr:to>
      <cdr:x>0.20575</cdr:x>
      <cdr:y>0.61303</cdr:y>
    </cdr:to>
    <cdr:sp macro="" textlink="">
      <cdr:nvSpPr>
        <cdr:cNvPr id="9225" name="Text Box 9">
          <a:extLst xmlns:a="http://schemas.openxmlformats.org/drawingml/2006/main">
            <a:ext uri="{FF2B5EF4-FFF2-40B4-BE49-F238E27FC236}">
              <a16:creationId xmlns:a16="http://schemas.microsoft.com/office/drawing/2014/main" id="{1589E92C-E402-784D-B1AD-A0FEEFFBC012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1113623" y="1154132"/>
          <a:ext cx="18531" cy="156518"/>
        </a:xfrm>
        <a:prstGeom xmlns:a="http://schemas.openxmlformats.org/drawingml/2006/main" prst="rect">
          <a:avLst/>
        </a:prstGeom>
        <a:solidFill xmlns:a="http://schemas.openxmlformats.org/drawingml/2006/main">
          <a:srgbClr xmlns:mc="http://schemas.openxmlformats.org/markup-compatibility/2006" xmlns:a14="http://schemas.microsoft.com/office/drawing/2010/main" val="FFFFFF" mc:Ignorable="a14" a14:legacySpreadsheetColorIndex="9"/>
        </a:solidFill>
        <a:ln xmlns:a="http://schemas.openxmlformats.org/drawingml/2006/main">
          <a:noFill/>
        </a:ln>
        <a:effectLst xmlns:a="http://schemas.openxmlformats.org/drawingml/2006/main"/>
        <a:extLst xmlns:a="http://schemas.openxmlformats.org/drawingml/2006/main"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000000" mc:Ignorable="a14" a14:legacySpreadsheetColorIndex="77"/>
              </a:solidFill>
              <a:miter lim="800000"/>
              <a:headEnd/>
              <a:tailEnd type="none" w="med" len="med"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cdr:spPr>
      <cdr:txBody>
        <a:bodyPr xmlns:a="http://schemas.openxmlformats.org/drawingml/2006/main" wrap="none" lIns="18288" tIns="0" rIns="0" bIns="0" anchor="ctr" upright="1">
          <a:spAutoFit/>
        </a:bodyPr>
        <a:lstStyle xmlns:a="http://schemas.openxmlformats.org/drawingml/2006/main"/>
        <a:p xmlns:a="http://schemas.openxmlformats.org/drawingml/2006/main">
          <a:pPr algn="ctr" rtl="0">
            <a:defRPr sz="1000"/>
          </a:pPr>
          <a:endParaRPr lang="de-DE"/>
        </a:p>
      </cdr:txBody>
    </cdr:sp>
  </cdr:relSizeAnchor>
  <cdr:relSizeAnchor xmlns:cdr="http://schemas.openxmlformats.org/drawingml/2006/chartDrawing">
    <cdr:from>
      <cdr:x>0.20237</cdr:x>
      <cdr:y>0.53946</cdr:y>
    </cdr:from>
    <cdr:to>
      <cdr:x>0.20575</cdr:x>
      <cdr:y>0.61303</cdr:y>
    </cdr:to>
    <cdr:sp macro="" textlink="">
      <cdr:nvSpPr>
        <cdr:cNvPr id="9226" name="Text Box 10">
          <a:extLst xmlns:a="http://schemas.openxmlformats.org/drawingml/2006/main">
            <a:ext uri="{FF2B5EF4-FFF2-40B4-BE49-F238E27FC236}">
              <a16:creationId xmlns:a16="http://schemas.microsoft.com/office/drawing/2014/main" id="{FC543B5E-0C6C-594B-9066-31D6F7006C91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1113623" y="1154132"/>
          <a:ext cx="18531" cy="156518"/>
        </a:xfrm>
        <a:prstGeom xmlns:a="http://schemas.openxmlformats.org/drawingml/2006/main" prst="rect">
          <a:avLst/>
        </a:prstGeom>
        <a:solidFill xmlns:a="http://schemas.openxmlformats.org/drawingml/2006/main">
          <a:srgbClr xmlns:mc="http://schemas.openxmlformats.org/markup-compatibility/2006" xmlns:a14="http://schemas.microsoft.com/office/drawing/2010/main" val="FFFFFF" mc:Ignorable="a14" a14:legacySpreadsheetColorIndex="9"/>
        </a:solidFill>
        <a:ln xmlns:a="http://schemas.openxmlformats.org/drawingml/2006/main">
          <a:noFill/>
        </a:ln>
        <a:effectLst xmlns:a="http://schemas.openxmlformats.org/drawingml/2006/main"/>
        <a:extLst xmlns:a="http://schemas.openxmlformats.org/drawingml/2006/main"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000000" mc:Ignorable="a14" a14:legacySpreadsheetColorIndex="77"/>
              </a:solidFill>
              <a:miter lim="800000"/>
              <a:headEnd/>
              <a:tailEnd type="none" w="med" len="med"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cdr:spPr>
      <cdr:txBody>
        <a:bodyPr xmlns:a="http://schemas.openxmlformats.org/drawingml/2006/main" wrap="none" lIns="18288" tIns="0" rIns="0" bIns="0" anchor="ctr" upright="1">
          <a:spAutoFit/>
        </a:bodyPr>
        <a:lstStyle xmlns:a="http://schemas.openxmlformats.org/drawingml/2006/main"/>
        <a:p xmlns:a="http://schemas.openxmlformats.org/drawingml/2006/main">
          <a:pPr algn="ctr" rtl="0">
            <a:defRPr sz="1000"/>
          </a:pPr>
          <a:endParaRPr lang="de-DE"/>
        </a:p>
      </cdr:txBody>
    </cdr:sp>
  </cdr:relSizeAnchor>
  <cdr:relSizeAnchor xmlns:cdr="http://schemas.openxmlformats.org/drawingml/2006/chartDrawing">
    <cdr:from>
      <cdr:x>0.20237</cdr:x>
      <cdr:y>0.53946</cdr:y>
    </cdr:from>
    <cdr:to>
      <cdr:x>0.20575</cdr:x>
      <cdr:y>0.61303</cdr:y>
    </cdr:to>
    <cdr:sp macro="" textlink="">
      <cdr:nvSpPr>
        <cdr:cNvPr id="9227" name="Text Box 11">
          <a:extLst xmlns:a="http://schemas.openxmlformats.org/drawingml/2006/main">
            <a:ext uri="{FF2B5EF4-FFF2-40B4-BE49-F238E27FC236}">
              <a16:creationId xmlns:a16="http://schemas.microsoft.com/office/drawing/2014/main" id="{1CB22DD7-10D9-CA46-8912-9D815BF50B70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1113623" y="1154132"/>
          <a:ext cx="18531" cy="156518"/>
        </a:xfrm>
        <a:prstGeom xmlns:a="http://schemas.openxmlformats.org/drawingml/2006/main" prst="rect">
          <a:avLst/>
        </a:prstGeom>
        <a:solidFill xmlns:a="http://schemas.openxmlformats.org/drawingml/2006/main">
          <a:srgbClr xmlns:mc="http://schemas.openxmlformats.org/markup-compatibility/2006" xmlns:a14="http://schemas.microsoft.com/office/drawing/2010/main" val="FFFFFF" mc:Ignorable="a14" a14:legacySpreadsheetColorIndex="9"/>
        </a:solidFill>
        <a:ln xmlns:a="http://schemas.openxmlformats.org/drawingml/2006/main">
          <a:noFill/>
        </a:ln>
        <a:effectLst xmlns:a="http://schemas.openxmlformats.org/drawingml/2006/main"/>
        <a:extLst xmlns:a="http://schemas.openxmlformats.org/drawingml/2006/main"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000000" mc:Ignorable="a14" a14:legacySpreadsheetColorIndex="77"/>
              </a:solidFill>
              <a:miter lim="800000"/>
              <a:headEnd/>
              <a:tailEnd type="none" w="med" len="med"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cdr:spPr>
      <cdr:txBody>
        <a:bodyPr xmlns:a="http://schemas.openxmlformats.org/drawingml/2006/main" wrap="none" lIns="18288" tIns="0" rIns="0" bIns="0" anchor="ctr" upright="1">
          <a:spAutoFit/>
        </a:bodyPr>
        <a:lstStyle xmlns:a="http://schemas.openxmlformats.org/drawingml/2006/main"/>
        <a:p xmlns:a="http://schemas.openxmlformats.org/drawingml/2006/main">
          <a:pPr algn="ctr" rtl="0">
            <a:defRPr sz="1000"/>
          </a:pPr>
          <a:endParaRPr lang="de-DE"/>
        </a:p>
      </cdr:txBody>
    </cdr:sp>
  </cdr:relSizeAnchor>
  <cdr:relSizeAnchor xmlns:cdr="http://schemas.openxmlformats.org/drawingml/2006/chartDrawing">
    <cdr:from>
      <cdr:x>0.20237</cdr:x>
      <cdr:y>0.53946</cdr:y>
    </cdr:from>
    <cdr:to>
      <cdr:x>0.20575</cdr:x>
      <cdr:y>0.61303</cdr:y>
    </cdr:to>
    <cdr:sp macro="" textlink="">
      <cdr:nvSpPr>
        <cdr:cNvPr id="9228" name="Text Box 12">
          <a:extLst xmlns:a="http://schemas.openxmlformats.org/drawingml/2006/main">
            <a:ext uri="{FF2B5EF4-FFF2-40B4-BE49-F238E27FC236}">
              <a16:creationId xmlns:a16="http://schemas.microsoft.com/office/drawing/2014/main" id="{B4ED975E-8AF7-0448-A9AE-7F801CD8C2C1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1113623" y="1154132"/>
          <a:ext cx="18531" cy="156518"/>
        </a:xfrm>
        <a:prstGeom xmlns:a="http://schemas.openxmlformats.org/drawingml/2006/main" prst="rect">
          <a:avLst/>
        </a:prstGeom>
        <a:solidFill xmlns:a="http://schemas.openxmlformats.org/drawingml/2006/main">
          <a:srgbClr xmlns:mc="http://schemas.openxmlformats.org/markup-compatibility/2006" xmlns:a14="http://schemas.microsoft.com/office/drawing/2010/main" val="FFFFFF" mc:Ignorable="a14" a14:legacySpreadsheetColorIndex="9"/>
        </a:solidFill>
        <a:ln xmlns:a="http://schemas.openxmlformats.org/drawingml/2006/main">
          <a:noFill/>
        </a:ln>
        <a:effectLst xmlns:a="http://schemas.openxmlformats.org/drawingml/2006/main"/>
        <a:extLst xmlns:a="http://schemas.openxmlformats.org/drawingml/2006/main"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000000" mc:Ignorable="a14" a14:legacySpreadsheetColorIndex="77"/>
              </a:solidFill>
              <a:miter lim="800000"/>
              <a:headEnd/>
              <a:tailEnd type="none" w="med" len="med"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cdr:spPr>
      <cdr:txBody>
        <a:bodyPr xmlns:a="http://schemas.openxmlformats.org/drawingml/2006/main" wrap="none" lIns="18288" tIns="0" rIns="0" bIns="0" anchor="ctr" upright="1">
          <a:spAutoFit/>
        </a:bodyPr>
        <a:lstStyle xmlns:a="http://schemas.openxmlformats.org/drawingml/2006/main"/>
        <a:p xmlns:a="http://schemas.openxmlformats.org/drawingml/2006/main">
          <a:pPr algn="ctr" rtl="0">
            <a:defRPr sz="1000"/>
          </a:pPr>
          <a:endParaRPr lang="de-DE"/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25400</xdr:colOff>
      <xdr:row>0</xdr:row>
      <xdr:rowOff>0</xdr:rowOff>
    </xdr:from>
    <xdr:to>
      <xdr:col>15</xdr:col>
      <xdr:colOff>342900</xdr:colOff>
      <xdr:row>36</xdr:row>
      <xdr:rowOff>165100</xdr:rowOff>
    </xdr:to>
    <xdr:graphicFrame macro="">
      <xdr:nvGraphicFramePr>
        <xdr:cNvPr id="6157" name="Diagramm 1">
          <a:extLst>
            <a:ext uri="{FF2B5EF4-FFF2-40B4-BE49-F238E27FC236}">
              <a16:creationId xmlns:a16="http://schemas.microsoft.com/office/drawing/2014/main" id="{37FA77BA-0672-8844-89F3-089DEDF5C6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61575</xdr:colOff>
      <xdr:row>9</xdr:row>
      <xdr:rowOff>156247</xdr:rowOff>
    </xdr:from>
    <xdr:to>
      <xdr:col>23</xdr:col>
      <xdr:colOff>146241</xdr:colOff>
      <xdr:row>31</xdr:row>
      <xdr:rowOff>153939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A586122-807A-09A5-09AC-9273E7D7C6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71"/>
  <sheetViews>
    <sheetView topLeftCell="A34" zoomScale="110" zoomScaleNormal="110" workbookViewId="0">
      <selection activeCell="H54" sqref="H54"/>
    </sheetView>
  </sheetViews>
  <sheetFormatPr defaultColWidth="9.109375" defaultRowHeight="13.8" x14ac:dyDescent="0.25"/>
  <cols>
    <col min="1" max="1" width="18" style="1" customWidth="1"/>
    <col min="2" max="2" width="19.6640625" style="1" customWidth="1"/>
    <col min="3" max="4" width="18.6640625" style="1" customWidth="1"/>
    <col min="5" max="5" width="17.6640625" style="1" customWidth="1"/>
    <col min="6" max="6" width="8.88671875" style="2" customWidth="1"/>
    <col min="7" max="7" width="8.88671875" style="1" customWidth="1"/>
    <col min="8" max="9" width="11" style="1" customWidth="1"/>
    <col min="10" max="10" width="14.109375" style="1" customWidth="1"/>
    <col min="11" max="11" width="14.33203125" style="1" customWidth="1"/>
    <col min="12" max="16384" width="9.109375" style="1"/>
  </cols>
  <sheetData>
    <row r="1" spans="1:11" ht="21" x14ac:dyDescent="0.4">
      <c r="A1" s="3" t="s">
        <v>53</v>
      </c>
    </row>
    <row r="2" spans="1:11" x14ac:dyDescent="0.25">
      <c r="A2" s="1" t="s">
        <v>0</v>
      </c>
    </row>
    <row r="3" spans="1:11" x14ac:dyDescent="0.25">
      <c r="A3" s="1" t="s">
        <v>52</v>
      </c>
      <c r="B3" s="5"/>
    </row>
    <row r="4" spans="1:11" x14ac:dyDescent="0.25">
      <c r="A4" s="1" t="s">
        <v>51</v>
      </c>
      <c r="B4" s="6"/>
    </row>
    <row r="5" spans="1:11" x14ac:dyDescent="0.25">
      <c r="A5" s="1" t="s">
        <v>1</v>
      </c>
      <c r="B5" s="6"/>
    </row>
    <row r="6" spans="1:11" x14ac:dyDescent="0.25">
      <c r="B6" s="7"/>
      <c r="C6" s="7"/>
    </row>
    <row r="7" spans="1:11" ht="15" customHeight="1" x14ac:dyDescent="0.25">
      <c r="A7" s="8" t="s">
        <v>54</v>
      </c>
      <c r="B7" s="37" t="s">
        <v>3</v>
      </c>
      <c r="C7" s="37" t="s">
        <v>4</v>
      </c>
      <c r="D7" s="37" t="s">
        <v>5</v>
      </c>
      <c r="E7" s="37" t="s">
        <v>6</v>
      </c>
    </row>
    <row r="8" spans="1:11" x14ac:dyDescent="0.25">
      <c r="A8" s="10" t="s">
        <v>7</v>
      </c>
      <c r="B8" s="37"/>
      <c r="C8" s="37"/>
      <c r="D8" s="37"/>
      <c r="E8" s="37"/>
    </row>
    <row r="9" spans="1:11" ht="15" customHeight="1" x14ac:dyDescent="0.25">
      <c r="A9" s="11">
        <v>1</v>
      </c>
      <c r="B9" s="12"/>
      <c r="C9" s="12"/>
      <c r="D9" s="12"/>
      <c r="E9" s="12"/>
      <c r="G9" s="1" t="s">
        <v>2</v>
      </c>
      <c r="H9" s="37" t="s">
        <v>3</v>
      </c>
      <c r="I9" s="37" t="s">
        <v>8</v>
      </c>
      <c r="J9" s="37" t="s">
        <v>5</v>
      </c>
      <c r="K9" s="37" t="s">
        <v>6</v>
      </c>
    </row>
    <row r="10" spans="1:11" x14ac:dyDescent="0.25">
      <c r="A10" s="13">
        <v>2</v>
      </c>
      <c r="B10" s="12"/>
      <c r="C10" s="12"/>
      <c r="D10" s="12"/>
      <c r="E10" s="12"/>
      <c r="H10" s="37"/>
      <c r="I10" s="37"/>
      <c r="J10" s="37"/>
      <c r="K10" s="37"/>
    </row>
    <row r="11" spans="1:11" x14ac:dyDescent="0.25">
      <c r="A11" s="13">
        <v>3</v>
      </c>
      <c r="B11" s="12"/>
      <c r="C11" s="12"/>
      <c r="D11" s="12"/>
      <c r="E11" s="12"/>
      <c r="G11" s="1" t="s">
        <v>9</v>
      </c>
      <c r="H11" s="14" t="e">
        <f>B39-B40</f>
        <v>#DIV/0!</v>
      </c>
      <c r="I11" s="14" t="e">
        <f>C39-C40</f>
        <v>#DIV/0!</v>
      </c>
      <c r="J11" s="14" t="e">
        <f>D39-D40</f>
        <v>#DIV/0!</v>
      </c>
      <c r="K11" s="14" t="e">
        <f>E39-E40</f>
        <v>#DIV/0!</v>
      </c>
    </row>
    <row r="12" spans="1:11" x14ac:dyDescent="0.25">
      <c r="A12" s="13">
        <v>4</v>
      </c>
      <c r="B12" s="12"/>
      <c r="C12" s="12"/>
      <c r="D12" s="12"/>
      <c r="E12" s="12"/>
      <c r="G12" s="1" t="s">
        <v>10</v>
      </c>
      <c r="H12" s="14" t="e">
        <f>B39+B40</f>
        <v>#DIV/0!</v>
      </c>
      <c r="I12" s="14" t="e">
        <f>C39+C40</f>
        <v>#DIV/0!</v>
      </c>
      <c r="J12" s="14" t="e">
        <f>D39+D40</f>
        <v>#DIV/0!</v>
      </c>
      <c r="K12" s="14" t="e">
        <f>E39+E40</f>
        <v>#DIV/0!</v>
      </c>
    </row>
    <row r="13" spans="1:11" x14ac:dyDescent="0.25">
      <c r="A13" s="13">
        <v>5</v>
      </c>
      <c r="B13" s="12"/>
      <c r="C13" s="12"/>
      <c r="D13" s="12"/>
      <c r="E13" s="12"/>
    </row>
    <row r="14" spans="1:11" x14ac:dyDescent="0.25">
      <c r="A14" s="13">
        <v>6</v>
      </c>
      <c r="B14" s="12"/>
      <c r="C14" s="12"/>
      <c r="D14" s="12"/>
      <c r="E14" s="12"/>
    </row>
    <row r="15" spans="1:11" ht="15" customHeight="1" x14ac:dyDescent="0.25">
      <c r="A15" s="13">
        <v>7</v>
      </c>
      <c r="B15" s="12"/>
      <c r="C15" s="12"/>
      <c r="D15" s="12"/>
      <c r="E15" s="12"/>
    </row>
    <row r="16" spans="1:11" x14ac:dyDescent="0.25">
      <c r="A16" s="13">
        <v>8</v>
      </c>
      <c r="B16" s="12"/>
      <c r="C16" s="12"/>
      <c r="D16" s="12"/>
      <c r="E16" s="12"/>
    </row>
    <row r="17" spans="1:5" x14ac:dyDescent="0.25">
      <c r="A17" s="13">
        <v>9</v>
      </c>
      <c r="B17" s="12"/>
      <c r="C17" s="12"/>
      <c r="D17" s="12"/>
      <c r="E17" s="12"/>
    </row>
    <row r="18" spans="1:5" x14ac:dyDescent="0.25">
      <c r="A18" s="13">
        <v>10</v>
      </c>
      <c r="B18" s="12"/>
      <c r="C18" s="12"/>
      <c r="D18" s="12"/>
      <c r="E18" s="12"/>
    </row>
    <row r="19" spans="1:5" ht="14.1" customHeight="1" x14ac:dyDescent="0.25">
      <c r="A19" s="13">
        <v>11</v>
      </c>
      <c r="B19" s="12"/>
      <c r="C19" s="12"/>
      <c r="D19" s="12"/>
      <c r="E19" s="12"/>
    </row>
    <row r="20" spans="1:5" x14ac:dyDescent="0.25">
      <c r="A20" s="13">
        <v>12</v>
      </c>
      <c r="B20" s="12"/>
      <c r="C20" s="12"/>
      <c r="D20" s="12"/>
      <c r="E20" s="12"/>
    </row>
    <row r="21" spans="1:5" x14ac:dyDescent="0.25">
      <c r="A21" s="13">
        <v>13</v>
      </c>
      <c r="B21" s="12"/>
      <c r="C21" s="12"/>
      <c r="D21" s="12"/>
      <c r="E21" s="12"/>
    </row>
    <row r="22" spans="1:5" x14ac:dyDescent="0.25">
      <c r="A22" s="13">
        <v>14</v>
      </c>
      <c r="B22" s="12"/>
      <c r="C22" s="12"/>
      <c r="D22" s="12"/>
      <c r="E22" s="12"/>
    </row>
    <row r="23" spans="1:5" x14ac:dyDescent="0.25">
      <c r="A23" s="13">
        <v>15</v>
      </c>
      <c r="B23" s="12"/>
      <c r="C23" s="12"/>
      <c r="D23" s="12"/>
      <c r="E23" s="12"/>
    </row>
    <row r="24" spans="1:5" x14ac:dyDescent="0.25">
      <c r="A24" s="13">
        <v>16</v>
      </c>
      <c r="B24" s="12"/>
      <c r="C24" s="12"/>
      <c r="D24" s="12"/>
      <c r="E24" s="12"/>
    </row>
    <row r="25" spans="1:5" x14ac:dyDescent="0.25">
      <c r="A25" s="13">
        <v>17</v>
      </c>
      <c r="B25" s="12"/>
      <c r="C25" s="12"/>
      <c r="D25" s="12"/>
      <c r="E25" s="12"/>
    </row>
    <row r="26" spans="1:5" x14ac:dyDescent="0.25">
      <c r="A26" s="13">
        <v>18</v>
      </c>
      <c r="B26" s="12"/>
      <c r="C26" s="12"/>
      <c r="D26" s="12"/>
      <c r="E26" s="12"/>
    </row>
    <row r="27" spans="1:5" x14ac:dyDescent="0.25">
      <c r="A27" s="13">
        <v>19</v>
      </c>
      <c r="B27" s="12"/>
      <c r="C27" s="12"/>
      <c r="D27" s="12"/>
      <c r="E27" s="12"/>
    </row>
    <row r="28" spans="1:5" x14ac:dyDescent="0.25">
      <c r="A28" s="13">
        <v>20</v>
      </c>
      <c r="B28" s="12"/>
      <c r="C28" s="12"/>
      <c r="D28" s="12"/>
      <c r="E28" s="12"/>
    </row>
    <row r="29" spans="1:5" x14ac:dyDescent="0.25">
      <c r="A29" s="13">
        <v>21</v>
      </c>
      <c r="B29" s="12"/>
      <c r="C29" s="12"/>
      <c r="D29" s="12"/>
      <c r="E29" s="12"/>
    </row>
    <row r="30" spans="1:5" x14ac:dyDescent="0.25">
      <c r="A30" s="13">
        <v>22</v>
      </c>
      <c r="B30" s="12"/>
      <c r="C30" s="12"/>
      <c r="D30" s="12"/>
      <c r="E30" s="12"/>
    </row>
    <row r="31" spans="1:5" x14ac:dyDescent="0.25">
      <c r="A31" s="13">
        <v>23</v>
      </c>
      <c r="B31" s="12"/>
      <c r="C31" s="12"/>
      <c r="D31" s="12"/>
      <c r="E31" s="12"/>
    </row>
    <row r="32" spans="1:5" x14ac:dyDescent="0.25">
      <c r="A32" s="13">
        <v>24</v>
      </c>
      <c r="B32" s="12"/>
      <c r="C32" s="12"/>
      <c r="D32" s="12"/>
      <c r="E32" s="12"/>
    </row>
    <row r="33" spans="1:6" x14ac:dyDescent="0.25">
      <c r="A33" s="13">
        <v>25</v>
      </c>
      <c r="B33" s="12"/>
      <c r="C33" s="12"/>
      <c r="D33" s="12"/>
      <c r="E33" s="12"/>
    </row>
    <row r="34" spans="1:6" x14ac:dyDescent="0.25">
      <c r="A34" s="13">
        <v>26</v>
      </c>
      <c r="B34" s="12"/>
      <c r="C34" s="12"/>
      <c r="D34" s="12"/>
      <c r="E34" s="12"/>
    </row>
    <row r="35" spans="1:6" x14ac:dyDescent="0.25">
      <c r="A35" s="13">
        <v>27</v>
      </c>
      <c r="B35" s="12"/>
      <c r="C35" s="12"/>
      <c r="D35" s="12"/>
      <c r="E35" s="12"/>
    </row>
    <row r="36" spans="1:6" x14ac:dyDescent="0.25">
      <c r="A36" s="13">
        <v>28</v>
      </c>
      <c r="B36" s="12"/>
      <c r="C36" s="12"/>
      <c r="D36" s="12"/>
      <c r="E36" s="12"/>
    </row>
    <row r="37" spans="1:6" x14ac:dyDescent="0.25">
      <c r="A37" s="13">
        <v>29</v>
      </c>
      <c r="B37" s="12"/>
      <c r="C37" s="12"/>
      <c r="D37" s="12"/>
      <c r="E37" s="12"/>
    </row>
    <row r="38" spans="1:6" x14ac:dyDescent="0.25">
      <c r="A38" s="13">
        <v>30</v>
      </c>
      <c r="B38" s="12"/>
      <c r="C38" s="12"/>
      <c r="D38" s="12"/>
      <c r="E38" s="12"/>
    </row>
    <row r="39" spans="1:6" x14ac:dyDescent="0.25">
      <c r="A39" s="15" t="s">
        <v>11</v>
      </c>
      <c r="B39" s="16" t="e">
        <f>AVERAGE(B9:B38)</f>
        <v>#DIV/0!</v>
      </c>
      <c r="C39" s="16" t="e">
        <f t="shared" ref="C39:E39" si="0">AVERAGE(C9:C38)</f>
        <v>#DIV/0!</v>
      </c>
      <c r="D39" s="16" t="e">
        <f t="shared" si="0"/>
        <v>#DIV/0!</v>
      </c>
      <c r="E39" s="16" t="e">
        <f t="shared" si="0"/>
        <v>#DIV/0!</v>
      </c>
      <c r="F39" s="2" t="s">
        <v>12</v>
      </c>
    </row>
    <row r="40" spans="1:6" x14ac:dyDescent="0.25">
      <c r="A40" s="12" t="s">
        <v>13</v>
      </c>
      <c r="B40" s="17" t="e">
        <f>STDEV(B9:B38)</f>
        <v>#DIV/0!</v>
      </c>
      <c r="C40" s="17" t="e">
        <f t="shared" ref="C40:E40" si="1">STDEV(C9:C38)</f>
        <v>#DIV/0!</v>
      </c>
      <c r="D40" s="17" t="e">
        <f t="shared" si="1"/>
        <v>#DIV/0!</v>
      </c>
      <c r="E40" s="17" t="e">
        <f t="shared" si="1"/>
        <v>#DIV/0!</v>
      </c>
      <c r="F40" s="2">
        <v>15</v>
      </c>
    </row>
    <row r="41" spans="1:6" x14ac:dyDescent="0.25">
      <c r="B41" s="14"/>
      <c r="C41" s="14"/>
      <c r="D41" s="14"/>
      <c r="E41" s="14"/>
    </row>
    <row r="43" spans="1:6" ht="31.5" customHeight="1" x14ac:dyDescent="0.25">
      <c r="A43" s="18" t="s">
        <v>55</v>
      </c>
      <c r="B43" s="37" t="s">
        <v>3</v>
      </c>
      <c r="C43" s="37" t="s">
        <v>4</v>
      </c>
      <c r="D43" s="37" t="s">
        <v>5</v>
      </c>
      <c r="E43" s="37" t="s">
        <v>6</v>
      </c>
    </row>
    <row r="44" spans="1:6" x14ac:dyDescent="0.25">
      <c r="A44" s="10" t="s">
        <v>7</v>
      </c>
      <c r="B44" s="37"/>
      <c r="C44" s="37"/>
      <c r="D44" s="37"/>
      <c r="E44" s="37"/>
    </row>
    <row r="45" spans="1:6" ht="15" customHeight="1" x14ac:dyDescent="0.25">
      <c r="A45" s="11">
        <v>1</v>
      </c>
      <c r="B45" s="12"/>
      <c r="C45" s="12"/>
      <c r="D45" s="12"/>
      <c r="E45" s="12"/>
    </row>
    <row r="46" spans="1:6" x14ac:dyDescent="0.25">
      <c r="A46" s="13">
        <v>2</v>
      </c>
      <c r="B46" s="12"/>
      <c r="C46" s="12"/>
      <c r="D46" s="12"/>
      <c r="E46" s="12"/>
    </row>
    <row r="47" spans="1:6" x14ac:dyDescent="0.25">
      <c r="A47" s="13">
        <v>3</v>
      </c>
      <c r="B47" s="12"/>
      <c r="C47" s="12"/>
      <c r="D47" s="12"/>
      <c r="E47" s="12"/>
    </row>
    <row r="48" spans="1:6" x14ac:dyDescent="0.25">
      <c r="A48" s="13">
        <v>4</v>
      </c>
      <c r="B48" s="12"/>
      <c r="C48" s="12"/>
      <c r="D48" s="12"/>
      <c r="E48" s="12"/>
    </row>
    <row r="49" spans="1:6" x14ac:dyDescent="0.25">
      <c r="A49" s="13">
        <v>5</v>
      </c>
      <c r="B49" s="12"/>
      <c r="C49" s="12"/>
      <c r="D49" s="12"/>
      <c r="E49" s="12"/>
    </row>
    <row r="50" spans="1:6" x14ac:dyDescent="0.25">
      <c r="A50" s="13">
        <v>6</v>
      </c>
      <c r="B50" s="12"/>
      <c r="C50" s="12"/>
      <c r="D50" s="12"/>
      <c r="E50" s="12"/>
    </row>
    <row r="51" spans="1:6" ht="15" customHeight="1" x14ac:dyDescent="0.25">
      <c r="A51" s="13">
        <v>7</v>
      </c>
      <c r="B51" s="12"/>
      <c r="C51" s="12"/>
      <c r="D51" s="12"/>
      <c r="E51" s="12"/>
    </row>
    <row r="52" spans="1:6" x14ac:dyDescent="0.25">
      <c r="A52" s="13">
        <v>8</v>
      </c>
      <c r="B52" s="12"/>
      <c r="C52" s="12"/>
      <c r="D52" s="12"/>
      <c r="E52" s="12"/>
    </row>
    <row r="53" spans="1:6" x14ac:dyDescent="0.25">
      <c r="A53" s="13">
        <v>9</v>
      </c>
      <c r="B53" s="12"/>
      <c r="C53" s="12"/>
      <c r="D53" s="12"/>
      <c r="E53" s="12"/>
    </row>
    <row r="54" spans="1:6" x14ac:dyDescent="0.25">
      <c r="A54" s="13">
        <v>10</v>
      </c>
      <c r="B54" s="12"/>
      <c r="C54" s="12"/>
      <c r="D54" s="12"/>
      <c r="E54" s="12"/>
    </row>
    <row r="55" spans="1:6" x14ac:dyDescent="0.25">
      <c r="A55" s="13">
        <v>11</v>
      </c>
      <c r="B55" s="12"/>
      <c r="C55" s="12"/>
      <c r="D55" s="12"/>
      <c r="E55" s="12"/>
    </row>
    <row r="56" spans="1:6" x14ac:dyDescent="0.25">
      <c r="A56" s="13">
        <v>12</v>
      </c>
      <c r="B56" s="12"/>
      <c r="C56" s="12"/>
      <c r="D56" s="12"/>
      <c r="E56" s="12"/>
    </row>
    <row r="57" spans="1:6" x14ac:dyDescent="0.25">
      <c r="A57" s="13">
        <v>13</v>
      </c>
      <c r="B57" s="12"/>
      <c r="C57" s="12"/>
      <c r="D57" s="12"/>
      <c r="E57" s="12"/>
    </row>
    <row r="58" spans="1:6" x14ac:dyDescent="0.25">
      <c r="A58" s="13">
        <v>14</v>
      </c>
      <c r="B58" s="12"/>
      <c r="C58" s="12"/>
      <c r="D58" s="12"/>
      <c r="E58" s="12"/>
    </row>
    <row r="59" spans="1:6" x14ac:dyDescent="0.25">
      <c r="A59" s="13">
        <v>15</v>
      </c>
      <c r="B59" s="12"/>
      <c r="C59" s="12"/>
      <c r="D59" s="12"/>
      <c r="E59" s="12"/>
    </row>
    <row r="60" spans="1:6" x14ac:dyDescent="0.25">
      <c r="A60" s="15" t="s">
        <v>11</v>
      </c>
      <c r="B60" s="16" t="e">
        <f>AVERAGE(B45:B59)</f>
        <v>#DIV/0!</v>
      </c>
      <c r="C60" s="16" t="e">
        <f>AVERAGE(C45:C59)</f>
        <v>#DIV/0!</v>
      </c>
      <c r="D60" s="16" t="e">
        <f>AVERAGE(D45:D59)</f>
        <v>#DIV/0!</v>
      </c>
      <c r="E60" s="16" t="e">
        <f>AVERAGE(E45:E59)</f>
        <v>#DIV/0!</v>
      </c>
      <c r="F60" s="2" t="s">
        <v>12</v>
      </c>
    </row>
    <row r="61" spans="1:6" x14ac:dyDescent="0.25">
      <c r="A61" s="12" t="s">
        <v>13</v>
      </c>
      <c r="B61" s="17" t="e">
        <f>STDEV(B45:B59)</f>
        <v>#DIV/0!</v>
      </c>
      <c r="C61" s="17" t="e">
        <f>STDEV(C45:C59)</f>
        <v>#DIV/0!</v>
      </c>
      <c r="D61" s="17" t="e">
        <f>STDEV(D45:D59)</f>
        <v>#DIV/0!</v>
      </c>
      <c r="E61" s="17" t="e">
        <f>STDEV(E45:E59)</f>
        <v>#DIV/0!</v>
      </c>
      <c r="F61" s="2">
        <v>15</v>
      </c>
    </row>
    <row r="64" spans="1:6" ht="31.5" customHeight="1" x14ac:dyDescent="0.25">
      <c r="A64" s="18">
        <v>3</v>
      </c>
      <c r="B64" s="37" t="s">
        <v>3</v>
      </c>
      <c r="C64" s="37" t="s">
        <v>4</v>
      </c>
      <c r="D64" s="37" t="s">
        <v>5</v>
      </c>
      <c r="E64" s="37" t="s">
        <v>6</v>
      </c>
    </row>
    <row r="65" spans="1:5" x14ac:dyDescent="0.25">
      <c r="A65" s="10" t="s">
        <v>7</v>
      </c>
      <c r="B65" s="37"/>
      <c r="C65" s="37"/>
      <c r="D65" s="37"/>
      <c r="E65" s="37"/>
    </row>
    <row r="66" spans="1:5" ht="15" customHeight="1" x14ac:dyDescent="0.25">
      <c r="A66" s="11">
        <v>1</v>
      </c>
      <c r="B66" s="12"/>
      <c r="C66" s="12"/>
      <c r="D66" s="12"/>
      <c r="E66" s="12"/>
    </row>
    <row r="67" spans="1:5" x14ac:dyDescent="0.25">
      <c r="A67" s="13">
        <v>2</v>
      </c>
      <c r="B67" s="12"/>
      <c r="C67" s="12"/>
      <c r="D67" s="12"/>
      <c r="E67" s="12"/>
    </row>
    <row r="68" spans="1:5" x14ac:dyDescent="0.25">
      <c r="A68" s="13">
        <v>3</v>
      </c>
      <c r="B68" s="12"/>
      <c r="C68" s="12"/>
      <c r="D68" s="12"/>
      <c r="E68" s="12"/>
    </row>
    <row r="69" spans="1:5" x14ac:dyDescent="0.25">
      <c r="A69" s="13">
        <v>4</v>
      </c>
      <c r="B69" s="12"/>
      <c r="C69" s="12"/>
      <c r="D69" s="12"/>
      <c r="E69" s="12"/>
    </row>
    <row r="70" spans="1:5" x14ac:dyDescent="0.25">
      <c r="A70" s="13">
        <v>5</v>
      </c>
      <c r="B70" s="12"/>
      <c r="C70" s="12"/>
      <c r="D70" s="12"/>
      <c r="E70" s="12"/>
    </row>
    <row r="71" spans="1:5" x14ac:dyDescent="0.25">
      <c r="A71" s="13">
        <v>6</v>
      </c>
      <c r="B71" s="12"/>
      <c r="C71" s="12"/>
      <c r="D71" s="12"/>
      <c r="E71" s="12"/>
    </row>
    <row r="72" spans="1:5" ht="15" customHeight="1" x14ac:dyDescent="0.25">
      <c r="A72" s="13">
        <v>7</v>
      </c>
      <c r="B72" s="12"/>
      <c r="C72" s="12"/>
      <c r="D72" s="12"/>
      <c r="E72" s="12"/>
    </row>
    <row r="73" spans="1:5" x14ac:dyDescent="0.25">
      <c r="A73" s="13">
        <v>8</v>
      </c>
      <c r="B73" s="12"/>
      <c r="C73" s="12"/>
      <c r="D73" s="12"/>
      <c r="E73" s="12"/>
    </row>
    <row r="74" spans="1:5" x14ac:dyDescent="0.25">
      <c r="A74" s="13">
        <v>9</v>
      </c>
      <c r="B74" s="12"/>
      <c r="C74" s="12"/>
      <c r="D74" s="12"/>
      <c r="E74" s="12"/>
    </row>
    <row r="75" spans="1:5" x14ac:dyDescent="0.25">
      <c r="A75" s="13">
        <v>10</v>
      </c>
      <c r="B75" s="12"/>
      <c r="C75" s="12"/>
      <c r="D75" s="12"/>
      <c r="E75" s="12"/>
    </row>
    <row r="76" spans="1:5" x14ac:dyDescent="0.25">
      <c r="A76" s="13">
        <v>11</v>
      </c>
      <c r="B76" s="12"/>
      <c r="C76" s="12"/>
      <c r="D76" s="12"/>
      <c r="E76" s="12"/>
    </row>
    <row r="77" spans="1:5" x14ac:dyDescent="0.25">
      <c r="A77" s="13">
        <v>12</v>
      </c>
      <c r="B77" s="12"/>
      <c r="C77" s="12"/>
      <c r="D77" s="12"/>
      <c r="E77" s="12"/>
    </row>
    <row r="78" spans="1:5" x14ac:dyDescent="0.25">
      <c r="A78" s="13">
        <v>13</v>
      </c>
      <c r="B78" s="12"/>
      <c r="C78" s="12"/>
      <c r="D78" s="12"/>
      <c r="E78" s="12"/>
    </row>
    <row r="79" spans="1:5" x14ac:dyDescent="0.25">
      <c r="A79" s="13">
        <v>14</v>
      </c>
      <c r="B79" s="12"/>
      <c r="C79" s="12"/>
      <c r="D79" s="12"/>
      <c r="E79" s="12"/>
    </row>
    <row r="80" spans="1:5" x14ac:dyDescent="0.25">
      <c r="A80" s="13">
        <v>15</v>
      </c>
      <c r="B80" s="12"/>
      <c r="C80" s="12"/>
      <c r="D80" s="12"/>
      <c r="E80" s="12"/>
    </row>
    <row r="81" spans="1:6" x14ac:dyDescent="0.25">
      <c r="A81" s="15" t="s">
        <v>11</v>
      </c>
      <c r="B81" s="16" t="e">
        <f>AVERAGE(B66:B80)</f>
        <v>#DIV/0!</v>
      </c>
      <c r="C81" s="16" t="e">
        <f>AVERAGE(C66:C80)</f>
        <v>#DIV/0!</v>
      </c>
      <c r="D81" s="16" t="e">
        <f>AVERAGE(D66:D80)</f>
        <v>#DIV/0!</v>
      </c>
      <c r="E81" s="16" t="e">
        <f>AVERAGE(E66:E80)</f>
        <v>#DIV/0!</v>
      </c>
      <c r="F81" s="2" t="s">
        <v>12</v>
      </c>
    </row>
    <row r="82" spans="1:6" x14ac:dyDescent="0.25">
      <c r="A82" s="12" t="s">
        <v>13</v>
      </c>
      <c r="B82" s="17" t="e">
        <f>STDEV(B66:B80)</f>
        <v>#DIV/0!</v>
      </c>
      <c r="C82" s="17" t="e">
        <f>STDEV(C66:C80)</f>
        <v>#DIV/0!</v>
      </c>
      <c r="D82" s="17" t="e">
        <f>STDEV(D66:D80)</f>
        <v>#DIV/0!</v>
      </c>
      <c r="E82" s="17" t="e">
        <f>STDEV(E66:E80)</f>
        <v>#DIV/0!</v>
      </c>
      <c r="F82" s="2">
        <v>15</v>
      </c>
    </row>
    <row r="85" spans="1:6" ht="31.5" customHeight="1" x14ac:dyDescent="0.25">
      <c r="A85" s="18">
        <v>4</v>
      </c>
      <c r="B85" s="37" t="s">
        <v>3</v>
      </c>
      <c r="C85" s="37" t="s">
        <v>4</v>
      </c>
      <c r="D85" s="37" t="s">
        <v>5</v>
      </c>
      <c r="E85" s="37" t="s">
        <v>6</v>
      </c>
    </row>
    <row r="86" spans="1:6" x14ac:dyDescent="0.25">
      <c r="A86" s="10" t="s">
        <v>7</v>
      </c>
      <c r="B86" s="37"/>
      <c r="C86" s="37"/>
      <c r="D86" s="37"/>
      <c r="E86" s="37"/>
    </row>
    <row r="87" spans="1:6" ht="15" customHeight="1" x14ac:dyDescent="0.25">
      <c r="A87" s="11">
        <v>1</v>
      </c>
      <c r="B87" s="12"/>
      <c r="C87" s="12"/>
      <c r="D87" s="12"/>
      <c r="E87" s="12"/>
    </row>
    <row r="88" spans="1:6" x14ac:dyDescent="0.25">
      <c r="A88" s="13">
        <v>2</v>
      </c>
      <c r="B88" s="12"/>
      <c r="C88" s="12"/>
      <c r="D88" s="12"/>
      <c r="E88" s="12"/>
    </row>
    <row r="89" spans="1:6" x14ac:dyDescent="0.25">
      <c r="A89" s="13">
        <v>3</v>
      </c>
      <c r="B89" s="12"/>
      <c r="C89" s="12"/>
      <c r="D89" s="12"/>
      <c r="E89" s="12"/>
    </row>
    <row r="90" spans="1:6" x14ac:dyDescent="0.25">
      <c r="A90" s="13">
        <v>4</v>
      </c>
      <c r="B90" s="12"/>
      <c r="C90" s="12"/>
      <c r="D90" s="12"/>
      <c r="E90" s="12"/>
    </row>
    <row r="91" spans="1:6" x14ac:dyDescent="0.25">
      <c r="A91" s="13">
        <v>5</v>
      </c>
      <c r="B91" s="12"/>
      <c r="C91" s="12"/>
      <c r="D91" s="12"/>
      <c r="E91" s="12"/>
    </row>
    <row r="92" spans="1:6" x14ac:dyDescent="0.25">
      <c r="A92" s="13">
        <v>6</v>
      </c>
      <c r="B92" s="12"/>
      <c r="C92" s="12"/>
      <c r="D92" s="12"/>
      <c r="E92" s="12"/>
    </row>
    <row r="93" spans="1:6" ht="15" customHeight="1" x14ac:dyDescent="0.25">
      <c r="A93" s="13">
        <v>7</v>
      </c>
      <c r="B93" s="12"/>
      <c r="C93" s="12"/>
      <c r="D93" s="12"/>
      <c r="E93" s="12"/>
    </row>
    <row r="94" spans="1:6" x14ac:dyDescent="0.25">
      <c r="A94" s="13">
        <v>8</v>
      </c>
      <c r="B94" s="12"/>
      <c r="C94" s="12"/>
      <c r="D94" s="12"/>
      <c r="E94" s="12"/>
    </row>
    <row r="95" spans="1:6" x14ac:dyDescent="0.25">
      <c r="A95" s="13">
        <v>9</v>
      </c>
      <c r="B95" s="12"/>
      <c r="C95" s="12"/>
      <c r="D95" s="12"/>
      <c r="E95" s="12"/>
    </row>
    <row r="96" spans="1:6" x14ac:dyDescent="0.25">
      <c r="A96" s="13">
        <v>10</v>
      </c>
      <c r="B96" s="12"/>
      <c r="C96" s="12"/>
      <c r="D96" s="12"/>
      <c r="E96" s="12"/>
    </row>
    <row r="97" spans="1:6" x14ac:dyDescent="0.25">
      <c r="A97" s="13">
        <v>11</v>
      </c>
      <c r="B97" s="12"/>
      <c r="C97" s="12"/>
      <c r="D97" s="12"/>
      <c r="E97" s="12"/>
    </row>
    <row r="98" spans="1:6" x14ac:dyDescent="0.25">
      <c r="A98" s="13">
        <v>12</v>
      </c>
      <c r="B98" s="12"/>
      <c r="C98" s="12"/>
      <c r="D98" s="12"/>
      <c r="E98" s="12"/>
    </row>
    <row r="99" spans="1:6" x14ac:dyDescent="0.25">
      <c r="A99" s="13">
        <v>13</v>
      </c>
      <c r="B99" s="12"/>
      <c r="C99" s="12"/>
      <c r="D99" s="12"/>
      <c r="E99" s="12"/>
    </row>
    <row r="100" spans="1:6" x14ac:dyDescent="0.25">
      <c r="A100" s="13">
        <v>14</v>
      </c>
      <c r="B100" s="12"/>
      <c r="C100" s="12"/>
      <c r="D100" s="12"/>
      <c r="E100" s="12"/>
    </row>
    <row r="101" spans="1:6" x14ac:dyDescent="0.25">
      <c r="A101" s="13">
        <v>15</v>
      </c>
      <c r="B101" s="12"/>
      <c r="C101" s="12"/>
      <c r="D101" s="12"/>
      <c r="E101" s="12"/>
    </row>
    <row r="102" spans="1:6" x14ac:dyDescent="0.25">
      <c r="A102" s="15" t="s">
        <v>11</v>
      </c>
      <c r="B102" s="16" t="e">
        <f>AVERAGE(B87:B101)</f>
        <v>#DIV/0!</v>
      </c>
      <c r="C102" s="16" t="e">
        <f>AVERAGE(C87:C101)</f>
        <v>#DIV/0!</v>
      </c>
      <c r="D102" s="16" t="e">
        <f>AVERAGE(D87:D101)</f>
        <v>#DIV/0!</v>
      </c>
      <c r="E102" s="16" t="e">
        <f>AVERAGE(E87:E101)</f>
        <v>#DIV/0!</v>
      </c>
      <c r="F102" s="2" t="s">
        <v>12</v>
      </c>
    </row>
    <row r="103" spans="1:6" x14ac:dyDescent="0.25">
      <c r="A103" s="12" t="s">
        <v>13</v>
      </c>
      <c r="B103" s="17" t="e">
        <f>STDEV(B87:B101)</f>
        <v>#DIV/0!</v>
      </c>
      <c r="C103" s="17" t="e">
        <f>STDEV(C87:C101)</f>
        <v>#DIV/0!</v>
      </c>
      <c r="D103" s="17" t="e">
        <f>STDEV(D87:D101)</f>
        <v>#DIV/0!</v>
      </c>
      <c r="E103" s="17" t="e">
        <f>STDEV(E87:E101)</f>
        <v>#DIV/0!</v>
      </c>
      <c r="F103" s="2">
        <v>15</v>
      </c>
    </row>
    <row r="106" spans="1:6" ht="31.5" customHeight="1" x14ac:dyDescent="0.25">
      <c r="A106" s="18">
        <v>5</v>
      </c>
      <c r="B106" s="37" t="s">
        <v>3</v>
      </c>
      <c r="C106" s="37" t="s">
        <v>4</v>
      </c>
      <c r="D106" s="37" t="s">
        <v>5</v>
      </c>
      <c r="E106" s="37" t="s">
        <v>6</v>
      </c>
    </row>
    <row r="107" spans="1:6" x14ac:dyDescent="0.25">
      <c r="A107" s="10" t="s">
        <v>7</v>
      </c>
      <c r="B107" s="37"/>
      <c r="C107" s="37"/>
      <c r="D107" s="37"/>
      <c r="E107" s="37"/>
    </row>
    <row r="108" spans="1:6" ht="15" customHeight="1" x14ac:dyDescent="0.25">
      <c r="A108" s="11">
        <v>1</v>
      </c>
      <c r="B108" s="12"/>
      <c r="C108" s="12"/>
      <c r="D108" s="12"/>
      <c r="E108" s="12"/>
    </row>
    <row r="109" spans="1:6" x14ac:dyDescent="0.25">
      <c r="A109" s="13">
        <v>2</v>
      </c>
      <c r="B109" s="12"/>
      <c r="C109" s="12"/>
      <c r="D109" s="12"/>
      <c r="E109" s="12"/>
    </row>
    <row r="110" spans="1:6" x14ac:dyDescent="0.25">
      <c r="A110" s="13">
        <v>3</v>
      </c>
      <c r="B110" s="12"/>
      <c r="C110" s="12"/>
      <c r="D110" s="12"/>
      <c r="E110" s="12"/>
    </row>
    <row r="111" spans="1:6" x14ac:dyDescent="0.25">
      <c r="A111" s="13">
        <v>4</v>
      </c>
      <c r="B111" s="12"/>
      <c r="C111" s="12"/>
      <c r="D111" s="12"/>
      <c r="E111" s="12"/>
    </row>
    <row r="112" spans="1:6" x14ac:dyDescent="0.25">
      <c r="A112" s="13">
        <v>5</v>
      </c>
      <c r="B112" s="12"/>
      <c r="C112" s="12"/>
      <c r="D112" s="12"/>
      <c r="E112" s="12"/>
    </row>
    <row r="113" spans="1:6" x14ac:dyDescent="0.25">
      <c r="A113" s="13">
        <v>6</v>
      </c>
      <c r="B113" s="12"/>
      <c r="C113" s="12"/>
      <c r="D113" s="12"/>
      <c r="E113" s="12"/>
    </row>
    <row r="114" spans="1:6" ht="15" customHeight="1" x14ac:dyDescent="0.25">
      <c r="A114" s="13">
        <v>7</v>
      </c>
      <c r="B114" s="12"/>
      <c r="C114" s="12"/>
      <c r="D114" s="12"/>
      <c r="E114" s="12"/>
    </row>
    <row r="115" spans="1:6" x14ac:dyDescent="0.25">
      <c r="A115" s="13">
        <v>8</v>
      </c>
      <c r="B115" s="12"/>
      <c r="C115" s="12"/>
      <c r="D115" s="12"/>
      <c r="E115" s="12"/>
    </row>
    <row r="116" spans="1:6" x14ac:dyDescent="0.25">
      <c r="A116" s="13">
        <v>9</v>
      </c>
      <c r="B116" s="12"/>
      <c r="C116" s="12"/>
      <c r="D116" s="12"/>
      <c r="E116" s="12"/>
    </row>
    <row r="117" spans="1:6" x14ac:dyDescent="0.25">
      <c r="A117" s="13">
        <v>10</v>
      </c>
      <c r="B117" s="12"/>
      <c r="C117" s="12"/>
      <c r="D117" s="12"/>
      <c r="E117" s="12"/>
    </row>
    <row r="118" spans="1:6" x14ac:dyDescent="0.25">
      <c r="A118" s="13">
        <v>11</v>
      </c>
      <c r="B118" s="12"/>
      <c r="C118" s="12"/>
      <c r="D118" s="12"/>
      <c r="E118" s="12"/>
    </row>
    <row r="119" spans="1:6" x14ac:dyDescent="0.25">
      <c r="A119" s="13">
        <v>12</v>
      </c>
      <c r="B119" s="12"/>
      <c r="C119" s="12"/>
      <c r="D119" s="12"/>
      <c r="E119" s="12"/>
    </row>
    <row r="120" spans="1:6" x14ac:dyDescent="0.25">
      <c r="A120" s="13">
        <v>13</v>
      </c>
      <c r="B120" s="12"/>
      <c r="C120" s="12"/>
      <c r="D120" s="12"/>
      <c r="E120" s="12"/>
    </row>
    <row r="121" spans="1:6" x14ac:dyDescent="0.25">
      <c r="A121" s="13">
        <v>14</v>
      </c>
      <c r="B121" s="12"/>
      <c r="C121" s="12"/>
      <c r="D121" s="12"/>
      <c r="E121" s="12"/>
    </row>
    <row r="122" spans="1:6" x14ac:dyDescent="0.25">
      <c r="A122" s="13">
        <v>15</v>
      </c>
      <c r="B122" s="12"/>
      <c r="C122" s="12"/>
      <c r="D122" s="12"/>
      <c r="E122" s="12"/>
    </row>
    <row r="123" spans="1:6" x14ac:dyDescent="0.25">
      <c r="A123" s="15" t="s">
        <v>11</v>
      </c>
      <c r="B123" s="16" t="e">
        <f>AVERAGE(B108:B122)</f>
        <v>#DIV/0!</v>
      </c>
      <c r="C123" s="16" t="e">
        <f>AVERAGE(C108:C122)</f>
        <v>#DIV/0!</v>
      </c>
      <c r="D123" s="16" t="e">
        <f>AVERAGE(D108:D122)</f>
        <v>#DIV/0!</v>
      </c>
      <c r="E123" s="16" t="e">
        <f>AVERAGE(E108:E122)</f>
        <v>#DIV/0!</v>
      </c>
      <c r="F123" s="2" t="s">
        <v>12</v>
      </c>
    </row>
    <row r="124" spans="1:6" x14ac:dyDescent="0.25">
      <c r="A124" s="12" t="s">
        <v>13</v>
      </c>
      <c r="B124" s="17" t="e">
        <f>STDEV(B108:B122)</f>
        <v>#DIV/0!</v>
      </c>
      <c r="C124" s="17" t="e">
        <f>STDEV(C108:C122)</f>
        <v>#DIV/0!</v>
      </c>
      <c r="D124" s="17" t="e">
        <f>STDEV(D108:D122)</f>
        <v>#DIV/0!</v>
      </c>
      <c r="E124" s="17" t="e">
        <f>STDEV(E108:E122)</f>
        <v>#DIV/0!</v>
      </c>
      <c r="F124" s="2">
        <v>15</v>
      </c>
    </row>
    <row r="127" spans="1:6" ht="31.5" customHeight="1" x14ac:dyDescent="0.25">
      <c r="A127" s="18">
        <v>6</v>
      </c>
      <c r="B127" s="37" t="s">
        <v>3</v>
      </c>
      <c r="C127" s="37" t="s">
        <v>4</v>
      </c>
      <c r="D127" s="37" t="s">
        <v>5</v>
      </c>
      <c r="E127" s="37" t="s">
        <v>6</v>
      </c>
    </row>
    <row r="128" spans="1:6" x14ac:dyDescent="0.25">
      <c r="A128" s="10" t="s">
        <v>7</v>
      </c>
      <c r="B128" s="37"/>
      <c r="C128" s="37"/>
      <c r="D128" s="37"/>
      <c r="E128" s="37"/>
    </row>
    <row r="129" spans="1:6" ht="15" customHeight="1" x14ac:dyDescent="0.25">
      <c r="A129" s="11">
        <v>1</v>
      </c>
      <c r="B129" s="12"/>
      <c r="C129" s="12"/>
      <c r="D129" s="12"/>
      <c r="E129" s="12"/>
    </row>
    <row r="130" spans="1:6" x14ac:dyDescent="0.25">
      <c r="A130" s="13">
        <v>2</v>
      </c>
      <c r="B130" s="12"/>
      <c r="C130" s="12"/>
      <c r="D130" s="12"/>
      <c r="E130" s="12"/>
      <c r="F130" s="2" t="s">
        <v>14</v>
      </c>
    </row>
    <row r="131" spans="1:6" x14ac:dyDescent="0.25">
      <c r="A131" s="13">
        <v>3</v>
      </c>
      <c r="B131" s="12"/>
      <c r="C131" s="12"/>
      <c r="D131" s="12"/>
      <c r="E131" s="12"/>
    </row>
    <row r="132" spans="1:6" x14ac:dyDescent="0.25">
      <c r="A132" s="13">
        <v>4</v>
      </c>
      <c r="B132" s="12"/>
      <c r="C132" s="12"/>
      <c r="D132" s="12"/>
      <c r="E132" s="12"/>
    </row>
    <row r="133" spans="1:6" x14ac:dyDescent="0.25">
      <c r="A133" s="13">
        <v>5</v>
      </c>
      <c r="B133" s="12"/>
      <c r="C133" s="12"/>
      <c r="D133" s="12"/>
      <c r="E133" s="12"/>
    </row>
    <row r="134" spans="1:6" x14ac:dyDescent="0.25">
      <c r="A134" s="13">
        <v>6</v>
      </c>
      <c r="B134" s="12"/>
      <c r="C134" s="12"/>
      <c r="D134" s="12"/>
      <c r="E134" s="12"/>
    </row>
    <row r="135" spans="1:6" ht="15" customHeight="1" x14ac:dyDescent="0.25">
      <c r="A135" s="13">
        <v>7</v>
      </c>
      <c r="B135" s="12"/>
      <c r="C135" s="12"/>
      <c r="D135" s="12"/>
      <c r="E135" s="12"/>
    </row>
    <row r="136" spans="1:6" x14ac:dyDescent="0.25">
      <c r="A136" s="13">
        <v>8</v>
      </c>
      <c r="B136" s="12"/>
      <c r="C136" s="12"/>
      <c r="D136" s="12"/>
      <c r="E136" s="12"/>
    </row>
    <row r="137" spans="1:6" x14ac:dyDescent="0.25">
      <c r="A137" s="13">
        <v>9</v>
      </c>
      <c r="B137" s="12"/>
      <c r="C137" s="12"/>
      <c r="D137" s="12"/>
      <c r="E137" s="12"/>
    </row>
    <row r="138" spans="1:6" x14ac:dyDescent="0.25">
      <c r="A138" s="13">
        <v>10</v>
      </c>
      <c r="B138" s="12"/>
      <c r="C138" s="12"/>
      <c r="D138" s="12"/>
      <c r="E138" s="12"/>
    </row>
    <row r="139" spans="1:6" x14ac:dyDescent="0.25">
      <c r="A139" s="13">
        <v>11</v>
      </c>
      <c r="B139" s="12"/>
      <c r="C139" s="12"/>
      <c r="D139" s="12"/>
      <c r="E139" s="12"/>
    </row>
    <row r="140" spans="1:6" x14ac:dyDescent="0.25">
      <c r="A140" s="13">
        <v>12</v>
      </c>
      <c r="B140" s="12"/>
      <c r="C140" s="12"/>
      <c r="D140" s="12"/>
      <c r="E140" s="12"/>
      <c r="F140" s="2" t="s">
        <v>15</v>
      </c>
    </row>
    <row r="141" spans="1:6" x14ac:dyDescent="0.25">
      <c r="A141" s="13">
        <v>13</v>
      </c>
      <c r="B141" s="12"/>
      <c r="C141" s="12"/>
      <c r="D141" s="12"/>
      <c r="E141" s="12"/>
    </row>
    <row r="142" spans="1:6" x14ac:dyDescent="0.25">
      <c r="A142" s="13">
        <v>14</v>
      </c>
      <c r="B142" s="12"/>
      <c r="C142" s="12"/>
      <c r="D142" s="12"/>
      <c r="E142" s="12"/>
    </row>
    <row r="143" spans="1:6" x14ac:dyDescent="0.25">
      <c r="A143" s="13">
        <v>15</v>
      </c>
      <c r="B143" s="12"/>
      <c r="C143" s="12"/>
      <c r="D143" s="12"/>
      <c r="E143" s="12"/>
    </row>
    <row r="144" spans="1:6" x14ac:dyDescent="0.25">
      <c r="A144" s="15" t="s">
        <v>11</v>
      </c>
      <c r="B144" s="16" t="e">
        <f>AVERAGE(B129:B143)</f>
        <v>#DIV/0!</v>
      </c>
      <c r="C144" s="16" t="e">
        <f>AVERAGE(C129:C143)</f>
        <v>#DIV/0!</v>
      </c>
      <c r="D144" s="16" t="e">
        <f>AVERAGE(D129:D143)</f>
        <v>#DIV/0!</v>
      </c>
      <c r="E144" s="16" t="e">
        <f>AVERAGE(E129:E143)</f>
        <v>#DIV/0!</v>
      </c>
      <c r="F144" s="2" t="s">
        <v>12</v>
      </c>
    </row>
    <row r="145" spans="1:6" x14ac:dyDescent="0.25">
      <c r="A145" s="12" t="s">
        <v>13</v>
      </c>
      <c r="B145" s="17" t="e">
        <f>STDEV(B129:B143)</f>
        <v>#DIV/0!</v>
      </c>
      <c r="C145" s="17" t="e">
        <f>STDEV(C129:C143)</f>
        <v>#DIV/0!</v>
      </c>
      <c r="D145" s="17" t="e">
        <f>STDEV(D129:D143)</f>
        <v>#DIV/0!</v>
      </c>
      <c r="E145" s="17" t="e">
        <f>STDEV(E129:E143)</f>
        <v>#DIV/0!</v>
      </c>
      <c r="F145" s="2">
        <v>15</v>
      </c>
    </row>
    <row r="148" spans="1:6" ht="31.5" customHeight="1" x14ac:dyDescent="0.25">
      <c r="A148" s="18">
        <v>7</v>
      </c>
      <c r="B148" s="37" t="s">
        <v>3</v>
      </c>
      <c r="C148" s="37" t="s">
        <v>4</v>
      </c>
      <c r="D148" s="37" t="s">
        <v>5</v>
      </c>
      <c r="E148" s="37" t="s">
        <v>6</v>
      </c>
    </row>
    <row r="149" spans="1:6" x14ac:dyDescent="0.25">
      <c r="A149" s="10" t="s">
        <v>7</v>
      </c>
      <c r="B149" s="37"/>
      <c r="C149" s="37"/>
      <c r="D149" s="37"/>
      <c r="E149" s="37"/>
    </row>
    <row r="150" spans="1:6" ht="15" customHeight="1" x14ac:dyDescent="0.25">
      <c r="A150" s="11">
        <v>1</v>
      </c>
      <c r="B150" s="12"/>
      <c r="C150" s="12"/>
      <c r="D150" s="12"/>
      <c r="E150" s="12"/>
    </row>
    <row r="151" spans="1:6" x14ac:dyDescent="0.25">
      <c r="A151" s="13">
        <v>2</v>
      </c>
      <c r="B151" s="12"/>
      <c r="C151" s="12"/>
      <c r="D151" s="12"/>
      <c r="E151" s="12"/>
    </row>
    <row r="152" spans="1:6" x14ac:dyDescent="0.25">
      <c r="A152" s="13">
        <v>3</v>
      </c>
      <c r="B152" s="12"/>
      <c r="C152" s="12"/>
      <c r="D152" s="12"/>
      <c r="E152" s="12"/>
    </row>
    <row r="153" spans="1:6" x14ac:dyDescent="0.25">
      <c r="A153" s="13">
        <v>4</v>
      </c>
      <c r="B153" s="12"/>
      <c r="C153" s="12"/>
      <c r="D153" s="12"/>
      <c r="E153" s="12"/>
    </row>
    <row r="154" spans="1:6" x14ac:dyDescent="0.25">
      <c r="A154" s="13">
        <v>5</v>
      </c>
      <c r="B154" s="12"/>
      <c r="C154" s="12"/>
      <c r="D154" s="12"/>
      <c r="E154" s="12"/>
    </row>
    <row r="155" spans="1:6" x14ac:dyDescent="0.25">
      <c r="A155" s="13">
        <v>6</v>
      </c>
      <c r="B155" s="12"/>
      <c r="C155" s="12"/>
      <c r="D155" s="12"/>
      <c r="E155" s="12"/>
    </row>
    <row r="156" spans="1:6" ht="15" customHeight="1" x14ac:dyDescent="0.25">
      <c r="A156" s="13">
        <v>7</v>
      </c>
      <c r="B156" s="12"/>
      <c r="C156" s="12"/>
      <c r="D156" s="12"/>
      <c r="E156" s="12"/>
    </row>
    <row r="157" spans="1:6" x14ac:dyDescent="0.25">
      <c r="A157" s="13">
        <v>8</v>
      </c>
      <c r="B157" s="12"/>
      <c r="C157" s="12"/>
      <c r="D157" s="12"/>
      <c r="E157" s="12"/>
    </row>
    <row r="158" spans="1:6" x14ac:dyDescent="0.25">
      <c r="A158" s="13">
        <v>9</v>
      </c>
      <c r="B158" s="12"/>
      <c r="C158" s="12"/>
      <c r="D158" s="12"/>
      <c r="E158" s="12"/>
    </row>
    <row r="159" spans="1:6" x14ac:dyDescent="0.25">
      <c r="A159" s="13">
        <v>10</v>
      </c>
      <c r="B159" s="12"/>
      <c r="C159" s="12"/>
      <c r="D159" s="12"/>
      <c r="E159" s="12"/>
    </row>
    <row r="160" spans="1:6" x14ac:dyDescent="0.25">
      <c r="A160" s="13">
        <v>11</v>
      </c>
      <c r="B160" s="12"/>
      <c r="C160" s="12"/>
      <c r="D160" s="12"/>
      <c r="E160" s="12"/>
    </row>
    <row r="161" spans="1:6" x14ac:dyDescent="0.25">
      <c r="A161" s="13">
        <v>12</v>
      </c>
      <c r="B161" s="12"/>
      <c r="C161" s="12"/>
      <c r="D161" s="12"/>
      <c r="E161" s="12"/>
    </row>
    <row r="162" spans="1:6" x14ac:dyDescent="0.25">
      <c r="A162" s="13">
        <v>13</v>
      </c>
      <c r="B162" s="12"/>
      <c r="C162" s="12"/>
      <c r="D162" s="12"/>
      <c r="E162" s="12"/>
    </row>
    <row r="163" spans="1:6" x14ac:dyDescent="0.25">
      <c r="A163" s="13">
        <v>14</v>
      </c>
      <c r="B163" s="12"/>
      <c r="C163" s="12"/>
      <c r="D163" s="12"/>
      <c r="E163" s="12"/>
    </row>
    <row r="164" spans="1:6" x14ac:dyDescent="0.25">
      <c r="A164" s="13">
        <v>15</v>
      </c>
      <c r="B164" s="12"/>
      <c r="C164" s="12"/>
      <c r="D164" s="12"/>
      <c r="E164" s="12"/>
    </row>
    <row r="165" spans="1:6" x14ac:dyDescent="0.25">
      <c r="A165" s="15" t="s">
        <v>11</v>
      </c>
      <c r="B165" s="16" t="e">
        <f>AVERAGE(B150:B164)</f>
        <v>#DIV/0!</v>
      </c>
      <c r="C165" s="16" t="e">
        <f>AVERAGE(C150:C164)</f>
        <v>#DIV/0!</v>
      </c>
      <c r="D165" s="16" t="e">
        <f>AVERAGE(D150:D164)</f>
        <v>#DIV/0!</v>
      </c>
      <c r="E165" s="16" t="e">
        <f>AVERAGE(E150:E164)</f>
        <v>#DIV/0!</v>
      </c>
      <c r="F165" s="2" t="s">
        <v>12</v>
      </c>
    </row>
    <row r="166" spans="1:6" x14ac:dyDescent="0.25">
      <c r="A166" s="12" t="s">
        <v>13</v>
      </c>
      <c r="B166" s="17" t="e">
        <f>STDEV(B150:B164)</f>
        <v>#DIV/0!</v>
      </c>
      <c r="C166" s="17" t="e">
        <f>STDEV(C150:C164)</f>
        <v>#DIV/0!</v>
      </c>
      <c r="D166" s="17" t="e">
        <f>STDEV(D150:D164)</f>
        <v>#DIV/0!</v>
      </c>
      <c r="E166" s="17" t="e">
        <f>STDEV(E150:E164)</f>
        <v>#DIV/0!</v>
      </c>
      <c r="F166" s="2">
        <v>15</v>
      </c>
    </row>
    <row r="169" spans="1:6" ht="31.5" customHeight="1" x14ac:dyDescent="0.25">
      <c r="A169" s="18">
        <v>8</v>
      </c>
      <c r="B169" s="37" t="s">
        <v>3</v>
      </c>
      <c r="C169" s="37" t="s">
        <v>4</v>
      </c>
      <c r="D169" s="37" t="s">
        <v>5</v>
      </c>
      <c r="E169" s="37" t="s">
        <v>6</v>
      </c>
    </row>
    <row r="170" spans="1:6" x14ac:dyDescent="0.25">
      <c r="A170" s="10" t="s">
        <v>7</v>
      </c>
      <c r="B170" s="37"/>
      <c r="C170" s="37"/>
      <c r="D170" s="37"/>
      <c r="E170" s="37"/>
    </row>
    <row r="171" spans="1:6" ht="15" customHeight="1" x14ac:dyDescent="0.25">
      <c r="A171" s="11">
        <v>1</v>
      </c>
      <c r="B171" s="12"/>
      <c r="C171" s="12"/>
      <c r="D171" s="12"/>
      <c r="E171" s="12"/>
    </row>
    <row r="172" spans="1:6" x14ac:dyDescent="0.25">
      <c r="A172" s="13">
        <v>2</v>
      </c>
      <c r="B172" s="12"/>
      <c r="C172" s="12"/>
      <c r="D172" s="12"/>
      <c r="E172" s="12"/>
    </row>
    <row r="173" spans="1:6" x14ac:dyDescent="0.25">
      <c r="A173" s="13">
        <v>3</v>
      </c>
      <c r="B173" s="12"/>
      <c r="C173" s="12"/>
      <c r="D173" s="12"/>
      <c r="E173" s="12"/>
    </row>
    <row r="174" spans="1:6" x14ac:dyDescent="0.25">
      <c r="A174" s="13">
        <v>4</v>
      </c>
      <c r="B174" s="12"/>
      <c r="C174" s="12"/>
      <c r="D174" s="12"/>
      <c r="E174" s="12"/>
    </row>
    <row r="175" spans="1:6" x14ac:dyDescent="0.25">
      <c r="A175" s="13">
        <v>5</v>
      </c>
      <c r="B175" s="12"/>
      <c r="C175" s="12"/>
      <c r="D175" s="12"/>
      <c r="E175" s="12"/>
    </row>
    <row r="176" spans="1:6" x14ac:dyDescent="0.25">
      <c r="A176" s="13">
        <v>6</v>
      </c>
      <c r="B176" s="12"/>
      <c r="C176" s="12"/>
      <c r="D176" s="12"/>
      <c r="E176" s="12"/>
    </row>
    <row r="177" spans="1:6" ht="15" customHeight="1" x14ac:dyDescent="0.25">
      <c r="A177" s="13">
        <v>7</v>
      </c>
      <c r="B177" s="12"/>
      <c r="C177" s="12"/>
      <c r="D177" s="12"/>
      <c r="E177" s="12"/>
    </row>
    <row r="178" spans="1:6" x14ac:dyDescent="0.25">
      <c r="A178" s="13">
        <v>8</v>
      </c>
      <c r="B178" s="12"/>
      <c r="C178" s="12"/>
      <c r="D178" s="12"/>
      <c r="E178" s="12"/>
    </row>
    <row r="179" spans="1:6" x14ac:dyDescent="0.25">
      <c r="A179" s="13">
        <v>9</v>
      </c>
      <c r="B179" s="12"/>
      <c r="C179" s="12"/>
      <c r="D179" s="12"/>
      <c r="E179" s="12"/>
    </row>
    <row r="180" spans="1:6" x14ac:dyDescent="0.25">
      <c r="A180" s="13">
        <v>10</v>
      </c>
      <c r="B180" s="12"/>
      <c r="C180" s="12"/>
      <c r="D180" s="12"/>
      <c r="E180" s="12"/>
    </row>
    <row r="181" spans="1:6" x14ac:dyDescent="0.25">
      <c r="A181" s="13">
        <v>11</v>
      </c>
      <c r="B181" s="12"/>
      <c r="C181" s="12"/>
      <c r="D181" s="12"/>
      <c r="E181" s="12"/>
    </row>
    <row r="182" spans="1:6" x14ac:dyDescent="0.25">
      <c r="A182" s="13">
        <v>12</v>
      </c>
      <c r="B182" s="12"/>
      <c r="C182" s="12"/>
      <c r="D182" s="12"/>
      <c r="E182" s="12"/>
    </row>
    <row r="183" spans="1:6" x14ac:dyDescent="0.25">
      <c r="A183" s="13">
        <v>13</v>
      </c>
      <c r="B183" s="12"/>
      <c r="C183" s="12"/>
      <c r="D183" s="12"/>
      <c r="E183" s="12"/>
    </row>
    <row r="184" spans="1:6" x14ac:dyDescent="0.25">
      <c r="A184" s="13">
        <v>14</v>
      </c>
      <c r="B184" s="12"/>
      <c r="C184" s="12"/>
      <c r="D184" s="12"/>
      <c r="E184" s="12"/>
    </row>
    <row r="185" spans="1:6" x14ac:dyDescent="0.25">
      <c r="A185" s="13">
        <v>15</v>
      </c>
      <c r="B185" s="12"/>
      <c r="C185" s="12"/>
      <c r="D185" s="12"/>
      <c r="E185" s="12"/>
    </row>
    <row r="186" spans="1:6" x14ac:dyDescent="0.25">
      <c r="A186" s="15" t="s">
        <v>11</v>
      </c>
      <c r="B186" s="16" t="e">
        <f>AVERAGE(B171:B185)</f>
        <v>#DIV/0!</v>
      </c>
      <c r="C186" s="16" t="e">
        <f>AVERAGE(C171:C185)</f>
        <v>#DIV/0!</v>
      </c>
      <c r="D186" s="16" t="e">
        <f>AVERAGE(D171:D185)</f>
        <v>#DIV/0!</v>
      </c>
      <c r="E186" s="16" t="e">
        <f>AVERAGE(E171:E185)</f>
        <v>#DIV/0!</v>
      </c>
      <c r="F186" s="2" t="s">
        <v>12</v>
      </c>
    </row>
    <row r="187" spans="1:6" x14ac:dyDescent="0.25">
      <c r="A187" s="12" t="s">
        <v>13</v>
      </c>
      <c r="B187" s="17" t="e">
        <f>STDEV(B171:B185)</f>
        <v>#DIV/0!</v>
      </c>
      <c r="C187" s="17" t="e">
        <f>STDEV(C171:C185)</f>
        <v>#DIV/0!</v>
      </c>
      <c r="D187" s="17" t="e">
        <f>STDEV(D171:D185)</f>
        <v>#DIV/0!</v>
      </c>
      <c r="E187" s="17" t="e">
        <f>STDEV(E171:E185)</f>
        <v>#DIV/0!</v>
      </c>
      <c r="F187" s="2">
        <v>15</v>
      </c>
    </row>
    <row r="190" spans="1:6" ht="31.5" customHeight="1" x14ac:dyDescent="0.25">
      <c r="A190" s="18">
        <v>9</v>
      </c>
      <c r="B190" s="37" t="s">
        <v>3</v>
      </c>
      <c r="C190" s="37" t="s">
        <v>4</v>
      </c>
      <c r="D190" s="37" t="s">
        <v>5</v>
      </c>
      <c r="E190" s="37" t="s">
        <v>6</v>
      </c>
    </row>
    <row r="191" spans="1:6" x14ac:dyDescent="0.25">
      <c r="A191" s="10" t="s">
        <v>7</v>
      </c>
      <c r="B191" s="37"/>
      <c r="C191" s="37"/>
      <c r="D191" s="37"/>
      <c r="E191" s="37"/>
    </row>
    <row r="192" spans="1:6" ht="15" customHeight="1" x14ac:dyDescent="0.25">
      <c r="A192" s="11">
        <v>1</v>
      </c>
      <c r="B192" s="12"/>
      <c r="C192" s="12"/>
      <c r="D192" s="12"/>
      <c r="E192" s="12"/>
    </row>
    <row r="193" spans="1:6" x14ac:dyDescent="0.25">
      <c r="A193" s="13">
        <v>2</v>
      </c>
      <c r="B193" s="12"/>
      <c r="C193" s="12"/>
      <c r="D193" s="12"/>
      <c r="E193" s="12"/>
    </row>
    <row r="194" spans="1:6" x14ac:dyDescent="0.25">
      <c r="A194" s="13">
        <v>3</v>
      </c>
      <c r="B194" s="12"/>
      <c r="C194" s="12"/>
      <c r="D194" s="12"/>
      <c r="E194" s="12"/>
    </row>
    <row r="195" spans="1:6" x14ac:dyDescent="0.25">
      <c r="A195" s="13">
        <v>4</v>
      </c>
      <c r="B195" s="12"/>
      <c r="C195" s="12"/>
      <c r="D195" s="12"/>
      <c r="E195" s="12"/>
    </row>
    <row r="196" spans="1:6" x14ac:dyDescent="0.25">
      <c r="A196" s="13">
        <v>5</v>
      </c>
      <c r="B196" s="12"/>
      <c r="C196" s="12"/>
      <c r="D196" s="12"/>
      <c r="E196" s="12"/>
    </row>
    <row r="197" spans="1:6" x14ac:dyDescent="0.25">
      <c r="A197" s="13">
        <v>6</v>
      </c>
      <c r="B197" s="12"/>
      <c r="C197" s="12"/>
      <c r="D197" s="12"/>
      <c r="E197" s="12"/>
    </row>
    <row r="198" spans="1:6" ht="15" customHeight="1" x14ac:dyDescent="0.25">
      <c r="A198" s="13">
        <v>7</v>
      </c>
      <c r="B198" s="12"/>
      <c r="C198" s="12"/>
      <c r="D198" s="12"/>
      <c r="E198" s="12"/>
    </row>
    <row r="199" spans="1:6" x14ac:dyDescent="0.25">
      <c r="A199" s="13">
        <v>8</v>
      </c>
      <c r="B199" s="12"/>
      <c r="C199" s="12"/>
      <c r="D199" s="12"/>
      <c r="E199" s="12"/>
    </row>
    <row r="200" spans="1:6" x14ac:dyDescent="0.25">
      <c r="A200" s="13">
        <v>9</v>
      </c>
      <c r="B200" s="12"/>
      <c r="C200" s="12"/>
      <c r="D200" s="12"/>
      <c r="E200" s="12"/>
    </row>
    <row r="201" spans="1:6" x14ac:dyDescent="0.25">
      <c r="A201" s="13">
        <v>10</v>
      </c>
      <c r="B201" s="12"/>
      <c r="C201" s="12"/>
      <c r="D201" s="12"/>
      <c r="E201" s="12"/>
    </row>
    <row r="202" spans="1:6" x14ac:dyDescent="0.25">
      <c r="A202" s="13">
        <v>11</v>
      </c>
      <c r="B202" s="12"/>
      <c r="C202" s="12"/>
      <c r="D202" s="12"/>
      <c r="E202" s="12"/>
    </row>
    <row r="203" spans="1:6" x14ac:dyDescent="0.25">
      <c r="A203" s="13">
        <v>12</v>
      </c>
      <c r="B203" s="12"/>
      <c r="C203" s="12"/>
      <c r="D203" s="12"/>
      <c r="E203" s="12"/>
    </row>
    <row r="204" spans="1:6" x14ac:dyDescent="0.25">
      <c r="A204" s="13">
        <v>13</v>
      </c>
      <c r="B204" s="12"/>
      <c r="C204" s="12"/>
      <c r="D204" s="12"/>
      <c r="E204" s="12"/>
    </row>
    <row r="205" spans="1:6" x14ac:dyDescent="0.25">
      <c r="A205" s="13">
        <v>14</v>
      </c>
      <c r="B205" s="12"/>
      <c r="C205" s="12"/>
      <c r="D205" s="12"/>
      <c r="E205" s="12"/>
    </row>
    <row r="206" spans="1:6" x14ac:dyDescent="0.25">
      <c r="A206" s="13">
        <v>15</v>
      </c>
      <c r="B206" s="12"/>
      <c r="C206" s="12"/>
      <c r="D206" s="12"/>
      <c r="E206" s="12"/>
    </row>
    <row r="207" spans="1:6" x14ac:dyDescent="0.25">
      <c r="A207" s="15" t="s">
        <v>11</v>
      </c>
      <c r="B207" s="16" t="e">
        <f>AVERAGE(B192:B206)</f>
        <v>#DIV/0!</v>
      </c>
      <c r="C207" s="16" t="e">
        <f>AVERAGE(C192:C206)</f>
        <v>#DIV/0!</v>
      </c>
      <c r="D207" s="16" t="e">
        <f>AVERAGE(D192:D206)</f>
        <v>#DIV/0!</v>
      </c>
      <c r="E207" s="16" t="e">
        <f>AVERAGE(E192:E206)</f>
        <v>#DIV/0!</v>
      </c>
      <c r="F207" s="2" t="s">
        <v>12</v>
      </c>
    </row>
    <row r="208" spans="1:6" x14ac:dyDescent="0.25">
      <c r="A208" s="12" t="s">
        <v>13</v>
      </c>
      <c r="B208" s="17" t="e">
        <f>STDEV(B192:B206)</f>
        <v>#DIV/0!</v>
      </c>
      <c r="C208" s="17" t="e">
        <f>STDEV(C192:C206)</f>
        <v>#DIV/0!</v>
      </c>
      <c r="D208" s="17" t="e">
        <f>STDEV(D192:D206)</f>
        <v>#DIV/0!</v>
      </c>
      <c r="E208" s="17" t="e">
        <f>STDEV(E192:E206)</f>
        <v>#DIV/0!</v>
      </c>
      <c r="F208" s="2">
        <v>15</v>
      </c>
    </row>
    <row r="209" spans="1:5" x14ac:dyDescent="0.25">
      <c r="B209" s="14"/>
      <c r="C209" s="14"/>
      <c r="D209" s="14"/>
    </row>
    <row r="211" spans="1:5" ht="31.5" customHeight="1" x14ac:dyDescent="0.25">
      <c r="A211" s="18">
        <v>10</v>
      </c>
      <c r="B211" s="37" t="s">
        <v>3</v>
      </c>
      <c r="C211" s="37" t="s">
        <v>4</v>
      </c>
      <c r="D211" s="37" t="s">
        <v>5</v>
      </c>
      <c r="E211" s="37" t="s">
        <v>6</v>
      </c>
    </row>
    <row r="212" spans="1:5" x14ac:dyDescent="0.25">
      <c r="A212" s="10" t="s">
        <v>7</v>
      </c>
      <c r="B212" s="37"/>
      <c r="C212" s="37"/>
      <c r="D212" s="37"/>
      <c r="E212" s="37"/>
    </row>
    <row r="213" spans="1:5" ht="15" customHeight="1" x14ac:dyDescent="0.25">
      <c r="A213" s="11">
        <v>1</v>
      </c>
      <c r="B213" s="12"/>
      <c r="C213" s="12"/>
      <c r="D213" s="12"/>
      <c r="E213" s="12"/>
    </row>
    <row r="214" spans="1:5" x14ac:dyDescent="0.25">
      <c r="A214" s="13">
        <v>2</v>
      </c>
      <c r="B214" s="12"/>
      <c r="C214" s="12"/>
      <c r="D214" s="12"/>
      <c r="E214" s="12"/>
    </row>
    <row r="215" spans="1:5" x14ac:dyDescent="0.25">
      <c r="A215" s="13">
        <v>3</v>
      </c>
      <c r="B215" s="12"/>
      <c r="C215" s="12"/>
      <c r="D215" s="12"/>
      <c r="E215" s="12"/>
    </row>
    <row r="216" spans="1:5" x14ac:dyDescent="0.25">
      <c r="A216" s="13">
        <v>4</v>
      </c>
      <c r="B216" s="12"/>
      <c r="C216" s="12"/>
      <c r="D216" s="12"/>
      <c r="E216" s="12"/>
    </row>
    <row r="217" spans="1:5" x14ac:dyDescent="0.25">
      <c r="A217" s="13">
        <v>5</v>
      </c>
      <c r="B217" s="12"/>
      <c r="C217" s="12"/>
      <c r="D217" s="12"/>
      <c r="E217" s="12"/>
    </row>
    <row r="218" spans="1:5" x14ac:dyDescent="0.25">
      <c r="A218" s="13">
        <v>6</v>
      </c>
      <c r="B218" s="12"/>
      <c r="C218" s="12"/>
      <c r="D218" s="12"/>
      <c r="E218" s="12"/>
    </row>
    <row r="219" spans="1:5" ht="15" customHeight="1" x14ac:dyDescent="0.25">
      <c r="A219" s="13">
        <v>7</v>
      </c>
      <c r="B219" s="12"/>
      <c r="C219" s="12"/>
      <c r="D219" s="12"/>
      <c r="E219" s="12"/>
    </row>
    <row r="220" spans="1:5" x14ac:dyDescent="0.25">
      <c r="A220" s="13">
        <v>8</v>
      </c>
      <c r="B220" s="12"/>
      <c r="C220" s="12"/>
      <c r="D220" s="12"/>
      <c r="E220" s="12"/>
    </row>
    <row r="221" spans="1:5" x14ac:dyDescent="0.25">
      <c r="A221" s="13">
        <v>9</v>
      </c>
      <c r="B221" s="12"/>
      <c r="C221" s="12"/>
      <c r="D221" s="12"/>
      <c r="E221" s="12"/>
    </row>
    <row r="222" spans="1:5" x14ac:dyDescent="0.25">
      <c r="A222" s="13">
        <v>10</v>
      </c>
      <c r="B222" s="12"/>
      <c r="C222" s="12"/>
      <c r="D222" s="12"/>
      <c r="E222" s="12"/>
    </row>
    <row r="223" spans="1:5" x14ac:dyDescent="0.25">
      <c r="A223" s="13">
        <v>11</v>
      </c>
      <c r="B223" s="12"/>
      <c r="C223" s="12"/>
      <c r="D223" s="12"/>
      <c r="E223" s="12"/>
    </row>
    <row r="224" spans="1:5" x14ac:dyDescent="0.25">
      <c r="A224" s="13">
        <v>12</v>
      </c>
      <c r="B224" s="12"/>
      <c r="C224" s="12"/>
      <c r="D224" s="12"/>
      <c r="E224" s="12"/>
    </row>
    <row r="225" spans="1:6" x14ac:dyDescent="0.25">
      <c r="A225" s="13">
        <v>13</v>
      </c>
      <c r="B225" s="12"/>
      <c r="C225" s="12"/>
      <c r="D225" s="12"/>
      <c r="E225" s="12"/>
    </row>
    <row r="226" spans="1:6" x14ac:dyDescent="0.25">
      <c r="A226" s="13">
        <v>14</v>
      </c>
      <c r="B226" s="12"/>
      <c r="C226" s="12"/>
      <c r="D226" s="12"/>
      <c r="E226" s="12"/>
    </row>
    <row r="227" spans="1:6" x14ac:dyDescent="0.25">
      <c r="A227" s="13">
        <v>15</v>
      </c>
      <c r="B227" s="12"/>
      <c r="C227" s="12"/>
      <c r="D227" s="12"/>
      <c r="E227" s="12"/>
    </row>
    <row r="228" spans="1:6" x14ac:dyDescent="0.25">
      <c r="A228" s="15" t="s">
        <v>11</v>
      </c>
      <c r="B228" s="16" t="e">
        <f>AVERAGE(B213:B227)</f>
        <v>#DIV/0!</v>
      </c>
      <c r="C228" s="16" t="e">
        <f>AVERAGE(C213:C227)</f>
        <v>#DIV/0!</v>
      </c>
      <c r="D228" s="16" t="e">
        <f>AVERAGE(D213:D227)</f>
        <v>#DIV/0!</v>
      </c>
      <c r="E228" s="16" t="e">
        <f>AVERAGE(E213:E227)</f>
        <v>#DIV/0!</v>
      </c>
      <c r="F228" s="2" t="s">
        <v>12</v>
      </c>
    </row>
    <row r="229" spans="1:6" x14ac:dyDescent="0.25">
      <c r="A229" s="12" t="s">
        <v>13</v>
      </c>
      <c r="B229" s="17" t="e">
        <f>STDEV(B213:B227)</f>
        <v>#DIV/0!</v>
      </c>
      <c r="C229" s="17" t="e">
        <f>STDEV(C213:C227)</f>
        <v>#DIV/0!</v>
      </c>
      <c r="D229" s="17" t="e">
        <f>STDEV(D213:D227)</f>
        <v>#DIV/0!</v>
      </c>
      <c r="E229" s="17" t="e">
        <f>STDEV(E213:E227)</f>
        <v>#DIV/0!</v>
      </c>
      <c r="F229" s="2">
        <v>15</v>
      </c>
    </row>
    <row r="232" spans="1:6" ht="31.5" customHeight="1" x14ac:dyDescent="0.25">
      <c r="A232" s="8">
        <v>11</v>
      </c>
      <c r="B232" s="37" t="s">
        <v>3</v>
      </c>
      <c r="C232" s="37" t="s">
        <v>4</v>
      </c>
      <c r="D232" s="37" t="s">
        <v>5</v>
      </c>
      <c r="E232" s="37" t="s">
        <v>6</v>
      </c>
    </row>
    <row r="233" spans="1:6" x14ac:dyDescent="0.25">
      <c r="A233" s="10" t="s">
        <v>7</v>
      </c>
      <c r="B233" s="37"/>
      <c r="C233" s="37"/>
      <c r="D233" s="37"/>
      <c r="E233" s="37"/>
    </row>
    <row r="234" spans="1:6" ht="15" customHeight="1" x14ac:dyDescent="0.25">
      <c r="A234" s="11">
        <v>1</v>
      </c>
      <c r="B234" s="12"/>
      <c r="C234" s="12"/>
      <c r="D234" s="12"/>
      <c r="E234" s="12"/>
    </row>
    <row r="235" spans="1:6" x14ac:dyDescent="0.25">
      <c r="A235" s="13">
        <v>2</v>
      </c>
      <c r="B235" s="12"/>
      <c r="C235" s="12"/>
      <c r="D235" s="12"/>
      <c r="E235" s="12"/>
    </row>
    <row r="236" spans="1:6" x14ac:dyDescent="0.25">
      <c r="A236" s="13">
        <v>3</v>
      </c>
      <c r="B236" s="12"/>
      <c r="C236" s="12"/>
      <c r="D236" s="12"/>
      <c r="E236" s="12"/>
    </row>
    <row r="237" spans="1:6" x14ac:dyDescent="0.25">
      <c r="A237" s="13">
        <v>4</v>
      </c>
      <c r="B237" s="12"/>
      <c r="C237" s="12"/>
      <c r="D237" s="12"/>
      <c r="E237" s="12"/>
    </row>
    <row r="238" spans="1:6" x14ac:dyDescent="0.25">
      <c r="A238" s="13">
        <v>5</v>
      </c>
      <c r="B238" s="12"/>
      <c r="C238" s="12"/>
      <c r="D238" s="12"/>
      <c r="E238" s="12"/>
    </row>
    <row r="239" spans="1:6" x14ac:dyDescent="0.25">
      <c r="A239" s="13">
        <v>6</v>
      </c>
      <c r="B239" s="12"/>
      <c r="C239" s="12"/>
      <c r="D239" s="12"/>
      <c r="E239" s="12"/>
    </row>
    <row r="240" spans="1:6" ht="15" customHeight="1" x14ac:dyDescent="0.25">
      <c r="A240" s="13">
        <v>7</v>
      </c>
      <c r="B240" s="12"/>
      <c r="C240" s="12"/>
      <c r="D240" s="12"/>
      <c r="E240" s="12"/>
    </row>
    <row r="241" spans="1:6" x14ac:dyDescent="0.25">
      <c r="A241" s="13">
        <v>8</v>
      </c>
      <c r="B241" s="12"/>
      <c r="C241" s="12"/>
      <c r="D241" s="12"/>
      <c r="E241" s="12"/>
    </row>
    <row r="242" spans="1:6" x14ac:dyDescent="0.25">
      <c r="A242" s="13">
        <v>9</v>
      </c>
      <c r="B242" s="12"/>
      <c r="C242" s="12"/>
      <c r="D242" s="12"/>
      <c r="E242" s="12"/>
    </row>
    <row r="243" spans="1:6" x14ac:dyDescent="0.25">
      <c r="A243" s="13">
        <v>10</v>
      </c>
      <c r="B243" s="12"/>
      <c r="C243" s="12"/>
      <c r="D243" s="12"/>
      <c r="E243" s="12"/>
    </row>
    <row r="244" spans="1:6" x14ac:dyDescent="0.25">
      <c r="A244" s="13">
        <v>11</v>
      </c>
      <c r="B244" s="12"/>
      <c r="C244" s="12"/>
      <c r="D244" s="12"/>
      <c r="E244" s="12"/>
    </row>
    <row r="245" spans="1:6" x14ac:dyDescent="0.25">
      <c r="A245" s="13">
        <v>12</v>
      </c>
      <c r="B245" s="12"/>
      <c r="C245" s="12"/>
      <c r="D245" s="12"/>
      <c r="E245" s="12"/>
    </row>
    <row r="246" spans="1:6" x14ac:dyDescent="0.25">
      <c r="A246" s="13">
        <v>13</v>
      </c>
      <c r="B246" s="12"/>
      <c r="C246" s="12"/>
      <c r="D246" s="12"/>
      <c r="E246" s="12"/>
    </row>
    <row r="247" spans="1:6" x14ac:dyDescent="0.25">
      <c r="A247" s="13">
        <v>14</v>
      </c>
      <c r="B247" s="12"/>
      <c r="C247" s="12"/>
      <c r="D247" s="12"/>
      <c r="E247" s="12"/>
    </row>
    <row r="248" spans="1:6" x14ac:dyDescent="0.25">
      <c r="A248" s="13">
        <v>15</v>
      </c>
      <c r="B248" s="12"/>
      <c r="C248" s="12"/>
      <c r="D248" s="12"/>
      <c r="E248" s="12"/>
    </row>
    <row r="249" spans="1:6" x14ac:dyDescent="0.25">
      <c r="A249" s="15" t="s">
        <v>11</v>
      </c>
      <c r="B249" s="16" t="e">
        <f>AVERAGE(B234:B248)</f>
        <v>#DIV/0!</v>
      </c>
      <c r="C249" s="16" t="e">
        <f>AVERAGE(C234:C248)</f>
        <v>#DIV/0!</v>
      </c>
      <c r="D249" s="16" t="e">
        <f>AVERAGE(D234:D248)</f>
        <v>#DIV/0!</v>
      </c>
      <c r="E249" s="16" t="e">
        <f>AVERAGE(E234:E248)</f>
        <v>#DIV/0!</v>
      </c>
      <c r="F249" s="2" t="s">
        <v>12</v>
      </c>
    </row>
    <row r="250" spans="1:6" x14ac:dyDescent="0.25">
      <c r="A250" s="12" t="s">
        <v>13</v>
      </c>
      <c r="B250" s="17" t="e">
        <f>STDEV(B234:B248)</f>
        <v>#DIV/0!</v>
      </c>
      <c r="C250" s="17" t="e">
        <f>STDEV(C234:C248)</f>
        <v>#DIV/0!</v>
      </c>
      <c r="D250" s="17" t="e">
        <f>STDEV(D234:D248)</f>
        <v>#DIV/0!</v>
      </c>
      <c r="E250" s="17" t="e">
        <f>STDEV(E234:E248)</f>
        <v>#DIV/0!</v>
      </c>
      <c r="F250" s="2">
        <v>15</v>
      </c>
    </row>
    <row r="251" spans="1:6" x14ac:dyDescent="0.25">
      <c r="B251" s="14"/>
      <c r="C251" s="14"/>
      <c r="D251" s="14"/>
      <c r="E251" s="14"/>
    </row>
    <row r="253" spans="1:6" ht="31.5" customHeight="1" x14ac:dyDescent="0.25">
      <c r="A253" s="8">
        <v>12</v>
      </c>
      <c r="B253" s="37" t="s">
        <v>3</v>
      </c>
      <c r="C253" s="37" t="s">
        <v>4</v>
      </c>
      <c r="D253" s="37" t="s">
        <v>5</v>
      </c>
      <c r="E253" s="37" t="s">
        <v>6</v>
      </c>
    </row>
    <row r="254" spans="1:6" x14ac:dyDescent="0.25">
      <c r="A254" s="10" t="s">
        <v>7</v>
      </c>
      <c r="B254" s="37"/>
      <c r="C254" s="37"/>
      <c r="D254" s="37"/>
      <c r="E254" s="37"/>
    </row>
    <row r="255" spans="1:6" ht="15" customHeight="1" x14ac:dyDescent="0.25">
      <c r="A255" s="11">
        <v>1</v>
      </c>
      <c r="B255" s="12"/>
      <c r="C255" s="12"/>
      <c r="D255" s="12"/>
      <c r="E255" s="12"/>
    </row>
    <row r="256" spans="1:6" x14ac:dyDescent="0.25">
      <c r="A256" s="13">
        <v>2</v>
      </c>
      <c r="B256" s="12"/>
      <c r="C256" s="12"/>
      <c r="D256" s="12"/>
      <c r="E256" s="12"/>
    </row>
    <row r="257" spans="1:6" x14ac:dyDescent="0.25">
      <c r="A257" s="13">
        <v>3</v>
      </c>
      <c r="B257" s="12"/>
      <c r="C257" s="12"/>
      <c r="D257" s="12"/>
      <c r="E257" s="12"/>
    </row>
    <row r="258" spans="1:6" x14ac:dyDescent="0.25">
      <c r="A258" s="13">
        <v>4</v>
      </c>
      <c r="B258" s="12"/>
      <c r="C258" s="12"/>
      <c r="D258" s="12"/>
      <c r="E258" s="12"/>
    </row>
    <row r="259" spans="1:6" x14ac:dyDescent="0.25">
      <c r="A259" s="13">
        <v>5</v>
      </c>
      <c r="B259" s="12"/>
      <c r="C259" s="12"/>
      <c r="D259" s="12"/>
      <c r="E259" s="12"/>
    </row>
    <row r="260" spans="1:6" x14ac:dyDescent="0.25">
      <c r="A260" s="13">
        <v>6</v>
      </c>
      <c r="B260" s="12"/>
      <c r="C260" s="12"/>
      <c r="D260" s="12"/>
      <c r="E260" s="12"/>
    </row>
    <row r="261" spans="1:6" ht="15" customHeight="1" x14ac:dyDescent="0.25">
      <c r="A261" s="13">
        <v>7</v>
      </c>
      <c r="B261" s="12"/>
      <c r="C261" s="12"/>
      <c r="D261" s="12"/>
      <c r="E261" s="12"/>
    </row>
    <row r="262" spans="1:6" x14ac:dyDescent="0.25">
      <c r="A262" s="13">
        <v>8</v>
      </c>
      <c r="B262" s="12"/>
      <c r="C262" s="12"/>
      <c r="D262" s="12"/>
      <c r="E262" s="12"/>
    </row>
    <row r="263" spans="1:6" x14ac:dyDescent="0.25">
      <c r="A263" s="13">
        <v>9</v>
      </c>
      <c r="B263" s="12"/>
      <c r="C263" s="12"/>
      <c r="D263" s="12"/>
      <c r="E263" s="12"/>
    </row>
    <row r="264" spans="1:6" x14ac:dyDescent="0.25">
      <c r="A264" s="13">
        <v>10</v>
      </c>
      <c r="B264" s="12"/>
      <c r="C264" s="12"/>
      <c r="D264" s="12"/>
      <c r="E264" s="12"/>
    </row>
    <row r="265" spans="1:6" x14ac:dyDescent="0.25">
      <c r="A265" s="13">
        <v>11</v>
      </c>
      <c r="B265" s="12"/>
      <c r="C265" s="12"/>
      <c r="D265" s="12"/>
      <c r="E265" s="12"/>
    </row>
    <row r="266" spans="1:6" x14ac:dyDescent="0.25">
      <c r="A266" s="13">
        <v>12</v>
      </c>
      <c r="B266" s="12"/>
      <c r="C266" s="12"/>
      <c r="D266" s="12"/>
      <c r="E266" s="12"/>
    </row>
    <row r="267" spans="1:6" x14ac:dyDescent="0.25">
      <c r="A267" s="13">
        <v>13</v>
      </c>
      <c r="B267" s="12"/>
      <c r="C267" s="12"/>
      <c r="D267" s="12"/>
      <c r="E267" s="12"/>
    </row>
    <row r="268" spans="1:6" x14ac:dyDescent="0.25">
      <c r="A268" s="13">
        <v>14</v>
      </c>
      <c r="B268" s="12"/>
      <c r="C268" s="12"/>
      <c r="D268" s="12"/>
      <c r="E268" s="12"/>
    </row>
    <row r="269" spans="1:6" x14ac:dyDescent="0.25">
      <c r="A269" s="13">
        <v>15</v>
      </c>
      <c r="B269" s="12"/>
      <c r="C269" s="12"/>
      <c r="D269" s="12"/>
      <c r="E269" s="12"/>
    </row>
    <row r="270" spans="1:6" x14ac:dyDescent="0.25">
      <c r="A270" s="15" t="s">
        <v>11</v>
      </c>
      <c r="B270" s="16" t="e">
        <f>AVERAGE(B255:B269)</f>
        <v>#DIV/0!</v>
      </c>
      <c r="C270" s="16" t="e">
        <f>AVERAGE(C255:C269)</f>
        <v>#DIV/0!</v>
      </c>
      <c r="D270" s="16" t="e">
        <f>AVERAGE(D255:D269)</f>
        <v>#DIV/0!</v>
      </c>
      <c r="E270" s="16" t="e">
        <f>AVERAGE(E255:E269)</f>
        <v>#DIV/0!</v>
      </c>
      <c r="F270" s="2" t="s">
        <v>12</v>
      </c>
    </row>
    <row r="271" spans="1:6" x14ac:dyDescent="0.25">
      <c r="A271" s="12" t="s">
        <v>13</v>
      </c>
      <c r="B271" s="17" t="e">
        <f>STDEV(B255:B269)</f>
        <v>#DIV/0!</v>
      </c>
      <c r="C271" s="17" t="e">
        <f>STDEV(C255:C269)</f>
        <v>#DIV/0!</v>
      </c>
      <c r="D271" s="17" t="e">
        <f>STDEV(D255:D269)</f>
        <v>#DIV/0!</v>
      </c>
      <c r="E271" s="17" t="e">
        <f>STDEV(E255:E269)</f>
        <v>#DIV/0!</v>
      </c>
      <c r="F271" s="2">
        <v>15</v>
      </c>
    </row>
  </sheetData>
  <sheetProtection selectLockedCells="1" selectUnlockedCells="1"/>
  <mergeCells count="52">
    <mergeCell ref="B7:B8"/>
    <mergeCell ref="C7:C8"/>
    <mergeCell ref="D7:D8"/>
    <mergeCell ref="E7:E8"/>
    <mergeCell ref="I9:I10"/>
    <mergeCell ref="J9:J10"/>
    <mergeCell ref="K9:K10"/>
    <mergeCell ref="B43:B44"/>
    <mergeCell ref="C43:C44"/>
    <mergeCell ref="D43:D44"/>
    <mergeCell ref="E43:E44"/>
    <mergeCell ref="H9:H10"/>
    <mergeCell ref="B64:B65"/>
    <mergeCell ref="C64:C65"/>
    <mergeCell ref="D64:D65"/>
    <mergeCell ref="E64:E65"/>
    <mergeCell ref="B85:B86"/>
    <mergeCell ref="C85:C86"/>
    <mergeCell ref="D85:D86"/>
    <mergeCell ref="E85:E86"/>
    <mergeCell ref="B106:B107"/>
    <mergeCell ref="C106:C107"/>
    <mergeCell ref="D106:D107"/>
    <mergeCell ref="E106:E107"/>
    <mergeCell ref="B127:B128"/>
    <mergeCell ref="C127:C128"/>
    <mergeCell ref="D127:D128"/>
    <mergeCell ref="E127:E128"/>
    <mergeCell ref="B148:B149"/>
    <mergeCell ref="C148:C149"/>
    <mergeCell ref="D148:D149"/>
    <mergeCell ref="E148:E149"/>
    <mergeCell ref="B169:B170"/>
    <mergeCell ref="C169:C170"/>
    <mergeCell ref="D169:D170"/>
    <mergeCell ref="E169:E170"/>
    <mergeCell ref="B190:B191"/>
    <mergeCell ref="C190:C191"/>
    <mergeCell ref="D190:D191"/>
    <mergeCell ref="E190:E191"/>
    <mergeCell ref="B211:B212"/>
    <mergeCell ref="C211:C212"/>
    <mergeCell ref="D211:D212"/>
    <mergeCell ref="E211:E212"/>
    <mergeCell ref="B232:B233"/>
    <mergeCell ref="C232:C233"/>
    <mergeCell ref="D232:D233"/>
    <mergeCell ref="E232:E233"/>
    <mergeCell ref="B253:B254"/>
    <mergeCell ref="C253:C254"/>
    <mergeCell ref="D253:D254"/>
    <mergeCell ref="E253:E254"/>
  </mergeCells>
  <pageMargins left="0.70833333333333337" right="0.70833333333333337" top="0.78749999999999998" bottom="0.78749999999999998" header="0.51180555555555551" footer="0.51180555555555551"/>
  <pageSetup paperSize="9" scale="45" firstPageNumber="0" orientation="portrait" horizontalDpi="300" verticalDpi="300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M54"/>
  <sheetViews>
    <sheetView zoomScale="80" zoomScaleNormal="80" workbookViewId="0">
      <selection activeCell="G31" sqref="G31"/>
    </sheetView>
  </sheetViews>
  <sheetFormatPr defaultColWidth="9.109375" defaultRowHeight="13.8" x14ac:dyDescent="0.25"/>
  <cols>
    <col min="1" max="1" width="16.44140625" style="1" customWidth="1"/>
    <col min="2" max="2" width="7.44140625" style="1" customWidth="1"/>
    <col min="3" max="3" width="9.44140625" style="1" customWidth="1"/>
    <col min="4" max="5" width="11.33203125" style="1" customWidth="1"/>
    <col min="6" max="6" width="15.88671875" style="1" customWidth="1"/>
    <col min="7" max="7" width="13.6640625" style="1" customWidth="1"/>
    <col min="8" max="8" width="12" style="1" customWidth="1"/>
    <col min="9" max="9" width="14" style="1" customWidth="1"/>
    <col min="10" max="10" width="16.6640625" style="1" customWidth="1"/>
    <col min="11" max="16384" width="9.109375" style="1"/>
  </cols>
  <sheetData>
    <row r="1" spans="1:13" ht="20.399999999999999" x14ac:dyDescent="0.35">
      <c r="A1" s="3" t="str">
        <f>'Tabelle 1'!A1</f>
        <v xml:space="preserve">V. dahliae - plant experiment with </v>
      </c>
      <c r="H1" s="4" t="e">
        <f>'Tabelle 1'!#REF!</f>
        <v>#REF!</v>
      </c>
    </row>
    <row r="2" spans="1:13" x14ac:dyDescent="0.25">
      <c r="A2" s="1" t="str">
        <f>'Tabelle 1'!A3</f>
        <v>Infection on  (infected 10 day-old seedlings)</v>
      </c>
    </row>
    <row r="3" spans="1:13" x14ac:dyDescent="0.25">
      <c r="A3" s="1" t="str">
        <f>'Tabelle 1'!A4</f>
        <v xml:space="preserve">date of measurement: </v>
      </c>
    </row>
    <row r="5" spans="1:13" ht="32.1" customHeight="1" x14ac:dyDescent="0.25">
      <c r="A5" s="12"/>
      <c r="B5" s="19" t="str">
        <f>'Tabelle 1'!A7</f>
        <v>Mock A</v>
      </c>
      <c r="C5" s="9" t="str">
        <f>'Tabelle 1'!A43</f>
        <v>Mock B</v>
      </c>
      <c r="D5" s="9">
        <f>'Tabelle 1'!A64</f>
        <v>3</v>
      </c>
      <c r="E5" s="9">
        <f>'Tabelle 1'!A85</f>
        <v>4</v>
      </c>
      <c r="F5" s="9">
        <f>'Tabelle 1'!A106</f>
        <v>5</v>
      </c>
      <c r="G5" s="9">
        <f>'Tabelle 1'!A127</f>
        <v>6</v>
      </c>
      <c r="H5" s="9">
        <f>'Tabelle 1'!A148</f>
        <v>7</v>
      </c>
      <c r="I5" s="9">
        <f>'Tabelle 1'!A169</f>
        <v>8</v>
      </c>
      <c r="J5" s="9">
        <f>'Tabelle 1'!A190</f>
        <v>9</v>
      </c>
      <c r="K5" s="9">
        <f>'Tabelle 1'!A211</f>
        <v>10</v>
      </c>
      <c r="L5" s="9">
        <f>'Tabelle 1'!A232</f>
        <v>11</v>
      </c>
      <c r="M5" s="9">
        <f>'Tabelle 1'!A253</f>
        <v>12</v>
      </c>
    </row>
    <row r="6" spans="1:13" ht="12.75" customHeight="1" x14ac:dyDescent="0.3">
      <c r="A6" s="38" t="s">
        <v>16</v>
      </c>
      <c r="B6" s="20" t="e">
        <f>'Tabelle 1'!B39</f>
        <v>#DIV/0!</v>
      </c>
      <c r="C6" s="16" t="e">
        <f>'Tabelle 1'!B60</f>
        <v>#DIV/0!</v>
      </c>
      <c r="D6" s="21" t="e">
        <f>'Tabelle 1'!B81</f>
        <v>#DIV/0!</v>
      </c>
      <c r="E6" s="21" t="e">
        <f>'Tabelle 1'!B102</f>
        <v>#DIV/0!</v>
      </c>
      <c r="F6" s="20" t="e">
        <f>'Tabelle 1'!B123</f>
        <v>#DIV/0!</v>
      </c>
      <c r="G6" s="20" t="e">
        <f>'Tabelle 1'!B144</f>
        <v>#DIV/0!</v>
      </c>
      <c r="H6" s="20" t="e">
        <f>'Tabelle 1'!B165</f>
        <v>#DIV/0!</v>
      </c>
      <c r="I6" s="20" t="e">
        <f>'Tabelle 1'!B186</f>
        <v>#DIV/0!</v>
      </c>
      <c r="J6" s="20" t="e">
        <f>'Tabelle 1'!B207</f>
        <v>#DIV/0!</v>
      </c>
      <c r="K6" s="20" t="e">
        <f>'Tabelle 1'!B228</f>
        <v>#DIV/0!</v>
      </c>
      <c r="L6" s="20" t="e">
        <f>'Tabelle 1'!B249</f>
        <v>#DIV/0!</v>
      </c>
      <c r="M6" s="20" t="e">
        <f>'Tabelle 1'!B270</f>
        <v>#DIV/0!</v>
      </c>
    </row>
    <row r="7" spans="1:13" ht="14.4" x14ac:dyDescent="0.3">
      <c r="A7" s="38"/>
      <c r="B7" s="17" t="e">
        <f>'Tabelle 1'!B40</f>
        <v>#DIV/0!</v>
      </c>
      <c r="C7" s="22" t="e">
        <f>'Tabelle 1'!B61</f>
        <v>#DIV/0!</v>
      </c>
      <c r="D7" s="23" t="e">
        <f>'Tabelle 1'!B82</f>
        <v>#DIV/0!</v>
      </c>
      <c r="E7" s="23" t="e">
        <f>'Tabelle 1'!B103</f>
        <v>#DIV/0!</v>
      </c>
      <c r="F7" s="17" t="e">
        <f>'Tabelle 1'!B124</f>
        <v>#DIV/0!</v>
      </c>
      <c r="G7" s="17" t="e">
        <f>'Tabelle 1'!B145</f>
        <v>#DIV/0!</v>
      </c>
      <c r="H7" s="17" t="e">
        <f>'Tabelle 1'!B166</f>
        <v>#DIV/0!</v>
      </c>
      <c r="I7" s="17" t="e">
        <f>'Tabelle 1'!B187</f>
        <v>#DIV/0!</v>
      </c>
      <c r="J7" s="17" t="e">
        <f>'Tabelle 1'!B208</f>
        <v>#DIV/0!</v>
      </c>
      <c r="K7" s="17" t="e">
        <f>'Tabelle 1'!B229</f>
        <v>#DIV/0!</v>
      </c>
      <c r="L7" s="17" t="e">
        <f>'Tabelle 1'!B250</f>
        <v>#DIV/0!</v>
      </c>
      <c r="M7" s="17" t="e">
        <f>'Tabelle 1'!B271</f>
        <v>#DIV/0!</v>
      </c>
    </row>
    <row r="8" spans="1:13" ht="12.75" customHeight="1" x14ac:dyDescent="0.3">
      <c r="A8" s="38" t="s">
        <v>17</v>
      </c>
      <c r="B8" s="20" t="e">
        <f>'Tabelle 1'!C39</f>
        <v>#DIV/0!</v>
      </c>
      <c r="C8" s="16" t="e">
        <f>'Tabelle 1'!C60</f>
        <v>#DIV/0!</v>
      </c>
      <c r="D8" s="21" t="e">
        <f>'Tabelle 1'!C81</f>
        <v>#DIV/0!</v>
      </c>
      <c r="E8" s="21" t="e">
        <f>'Tabelle 1'!C102</f>
        <v>#DIV/0!</v>
      </c>
      <c r="F8" s="20" t="e">
        <f>'Tabelle 1'!C123</f>
        <v>#DIV/0!</v>
      </c>
      <c r="G8" s="20" t="e">
        <f>'Tabelle 1'!C144</f>
        <v>#DIV/0!</v>
      </c>
      <c r="H8" s="20" t="e">
        <f>'Tabelle 1'!C165</f>
        <v>#DIV/0!</v>
      </c>
      <c r="I8" s="20" t="e">
        <f>'Tabelle 1'!C186</f>
        <v>#DIV/0!</v>
      </c>
      <c r="J8" s="20" t="e">
        <f>'Tabelle 1'!C207</f>
        <v>#DIV/0!</v>
      </c>
      <c r="K8" s="20" t="e">
        <f>'Tabelle 1'!C228</f>
        <v>#DIV/0!</v>
      </c>
      <c r="L8" s="20" t="e">
        <f>'Tabelle 1'!C249</f>
        <v>#DIV/0!</v>
      </c>
      <c r="M8" s="20" t="e">
        <f>'Tabelle 1'!C270</f>
        <v>#DIV/0!</v>
      </c>
    </row>
    <row r="9" spans="1:13" ht="14.4" x14ac:dyDescent="0.3">
      <c r="A9" s="38"/>
      <c r="B9" s="17" t="e">
        <f>'Tabelle 1'!C40</f>
        <v>#DIV/0!</v>
      </c>
      <c r="C9" s="22" t="e">
        <f>'Tabelle 1'!C61</f>
        <v>#DIV/0!</v>
      </c>
      <c r="D9" s="23" t="e">
        <f>'Tabelle 1'!C82</f>
        <v>#DIV/0!</v>
      </c>
      <c r="E9" s="23" t="e">
        <f>'Tabelle 1'!C103</f>
        <v>#DIV/0!</v>
      </c>
      <c r="F9" s="17" t="e">
        <f>'Tabelle 1'!C124</f>
        <v>#DIV/0!</v>
      </c>
      <c r="G9" s="17" t="e">
        <f>'Tabelle 1'!C145</f>
        <v>#DIV/0!</v>
      </c>
      <c r="H9" s="17" t="e">
        <f>'Tabelle 1'!C166</f>
        <v>#DIV/0!</v>
      </c>
      <c r="I9" s="17" t="e">
        <f>'Tabelle 1'!C187</f>
        <v>#DIV/0!</v>
      </c>
      <c r="J9" s="17" t="e">
        <f>'Tabelle 1'!C208</f>
        <v>#DIV/0!</v>
      </c>
      <c r="K9" s="17" t="e">
        <f>'Tabelle 1'!C229</f>
        <v>#DIV/0!</v>
      </c>
      <c r="L9" s="17" t="e">
        <f>'Tabelle 1'!C250</f>
        <v>#DIV/0!</v>
      </c>
      <c r="M9" s="17" t="e">
        <f>'Tabelle 1'!C271</f>
        <v>#DIV/0!</v>
      </c>
    </row>
    <row r="10" spans="1:13" ht="12.75" customHeight="1" x14ac:dyDescent="0.3">
      <c r="A10" s="38" t="s">
        <v>5</v>
      </c>
      <c r="B10" s="20" t="e">
        <f>'Tabelle 1'!D39</f>
        <v>#DIV/0!</v>
      </c>
      <c r="C10" s="16" t="e">
        <f>'Tabelle 1'!D60</f>
        <v>#DIV/0!</v>
      </c>
      <c r="D10" s="21" t="e">
        <f>'Tabelle 1'!D81</f>
        <v>#DIV/0!</v>
      </c>
      <c r="E10" s="21" t="e">
        <f>'Tabelle 1'!D102</f>
        <v>#DIV/0!</v>
      </c>
      <c r="F10" s="20" t="e">
        <f>'Tabelle 1'!D123</f>
        <v>#DIV/0!</v>
      </c>
      <c r="G10" s="20" t="e">
        <f>'Tabelle 1'!D144</f>
        <v>#DIV/0!</v>
      </c>
      <c r="H10" s="20" t="e">
        <f>'Tabelle 1'!D165</f>
        <v>#DIV/0!</v>
      </c>
      <c r="I10" s="20" t="e">
        <f>'Tabelle 1'!D186</f>
        <v>#DIV/0!</v>
      </c>
      <c r="J10" s="20" t="e">
        <f>'Tabelle 1'!D207</f>
        <v>#DIV/0!</v>
      </c>
      <c r="K10" s="20" t="e">
        <f>'Tabelle 1'!D228</f>
        <v>#DIV/0!</v>
      </c>
      <c r="L10" s="20" t="e">
        <f>'Tabelle 1'!D249</f>
        <v>#DIV/0!</v>
      </c>
      <c r="M10" s="20" t="e">
        <f>'Tabelle 1'!D270</f>
        <v>#DIV/0!</v>
      </c>
    </row>
    <row r="11" spans="1:13" ht="14.4" x14ac:dyDescent="0.3">
      <c r="A11" s="38"/>
      <c r="B11" s="17" t="e">
        <f>'Tabelle 1'!D40</f>
        <v>#DIV/0!</v>
      </c>
      <c r="C11" s="22" t="e">
        <f>'Tabelle 1'!D61</f>
        <v>#DIV/0!</v>
      </c>
      <c r="D11" s="23" t="e">
        <f>'Tabelle 1'!D82</f>
        <v>#DIV/0!</v>
      </c>
      <c r="E11" s="23" t="e">
        <f>'Tabelle 1'!D103</f>
        <v>#DIV/0!</v>
      </c>
      <c r="F11" s="17" t="e">
        <f>'Tabelle 1'!D124</f>
        <v>#DIV/0!</v>
      </c>
      <c r="G11" s="17" t="e">
        <f>'Tabelle 1'!D145</f>
        <v>#DIV/0!</v>
      </c>
      <c r="H11" s="17" t="e">
        <f>'Tabelle 1'!D166</f>
        <v>#DIV/0!</v>
      </c>
      <c r="I11" s="17" t="e">
        <f>'Tabelle 1'!D187</f>
        <v>#DIV/0!</v>
      </c>
      <c r="J11" s="17" t="e">
        <f>'Tabelle 1'!D208</f>
        <v>#DIV/0!</v>
      </c>
      <c r="K11" s="17" t="e">
        <f>'Tabelle 1'!D229</f>
        <v>#DIV/0!</v>
      </c>
      <c r="L11" s="17" t="e">
        <f>'Tabelle 1'!D250</f>
        <v>#DIV/0!</v>
      </c>
      <c r="M11" s="17" t="e">
        <f>'Tabelle 1'!D271</f>
        <v>#DIV/0!</v>
      </c>
    </row>
    <row r="12" spans="1:13" ht="12.75" customHeight="1" x14ac:dyDescent="0.3">
      <c r="A12" s="38" t="s">
        <v>18</v>
      </c>
      <c r="B12" s="20" t="e">
        <f>'Tabelle 1'!E39</f>
        <v>#DIV/0!</v>
      </c>
      <c r="C12" s="16" t="e">
        <f>'Tabelle 1'!E60</f>
        <v>#DIV/0!</v>
      </c>
      <c r="D12" s="21" t="e">
        <f>'Tabelle 1'!E81</f>
        <v>#DIV/0!</v>
      </c>
      <c r="E12" s="21" t="e">
        <f>'Tabelle 1'!E102</f>
        <v>#DIV/0!</v>
      </c>
      <c r="F12" s="20" t="e">
        <f>'Tabelle 1'!E123</f>
        <v>#DIV/0!</v>
      </c>
      <c r="G12" s="20" t="e">
        <f>'Tabelle 1'!E144</f>
        <v>#DIV/0!</v>
      </c>
      <c r="H12" s="20" t="e">
        <f>'Tabelle 1'!E165</f>
        <v>#DIV/0!</v>
      </c>
      <c r="I12" s="20" t="e">
        <f>'Tabelle 1'!E186</f>
        <v>#DIV/0!</v>
      </c>
      <c r="J12" s="20" t="e">
        <f>'Tabelle 1'!E207</f>
        <v>#DIV/0!</v>
      </c>
      <c r="K12" s="20" t="e">
        <f>'Tabelle 1'!E228</f>
        <v>#DIV/0!</v>
      </c>
      <c r="L12" s="20" t="e">
        <f>'Tabelle 1'!E249</f>
        <v>#DIV/0!</v>
      </c>
      <c r="M12" s="20" t="e">
        <f>'Tabelle 1'!E270</f>
        <v>#DIV/0!</v>
      </c>
    </row>
    <row r="13" spans="1:13" ht="14.4" x14ac:dyDescent="0.3">
      <c r="A13" s="38"/>
      <c r="B13" s="17" t="e">
        <f>'Tabelle 1'!E40</f>
        <v>#DIV/0!</v>
      </c>
      <c r="C13" s="22" t="e">
        <f>'Tabelle 1'!E61</f>
        <v>#DIV/0!</v>
      </c>
      <c r="D13" s="23" t="e">
        <f>'Tabelle 1'!E82</f>
        <v>#DIV/0!</v>
      </c>
      <c r="E13" s="23" t="e">
        <f>'Tabelle 1'!E103</f>
        <v>#DIV/0!</v>
      </c>
      <c r="F13" s="17" t="e">
        <f>'Tabelle 1'!E124</f>
        <v>#DIV/0!</v>
      </c>
      <c r="G13" s="17" t="e">
        <f>'Tabelle 1'!E145</f>
        <v>#DIV/0!</v>
      </c>
      <c r="H13" s="17" t="e">
        <f>'Tabelle 1'!E166</f>
        <v>#DIV/0!</v>
      </c>
      <c r="I13" s="17" t="e">
        <f>'Tabelle 1'!E187</f>
        <v>#DIV/0!</v>
      </c>
      <c r="J13" s="17" t="e">
        <f>'Tabelle 1'!E208</f>
        <v>#DIV/0!</v>
      </c>
      <c r="K13" s="17" t="e">
        <f>'Tabelle 1'!E229</f>
        <v>#DIV/0!</v>
      </c>
      <c r="L13" s="17" t="e">
        <f>'Tabelle 1'!E250</f>
        <v>#DIV/0!</v>
      </c>
      <c r="M13" s="17" t="e">
        <f>'Tabelle 1'!E271</f>
        <v>#DIV/0!</v>
      </c>
    </row>
    <row r="14" spans="1:13" x14ac:dyDescent="0.25">
      <c r="A14" s="1" t="s">
        <v>12</v>
      </c>
      <c r="B14" s="1">
        <f>'Tabelle 1'!F40</f>
        <v>15</v>
      </c>
      <c r="C14" s="1">
        <f>'Tabelle 1'!F61</f>
        <v>15</v>
      </c>
      <c r="D14" s="1">
        <f>'Tabelle 1'!F82</f>
        <v>15</v>
      </c>
      <c r="E14" s="1">
        <f>'Tabelle 1'!F103</f>
        <v>15</v>
      </c>
      <c r="F14" s="1">
        <f>'Tabelle 1'!F124</f>
        <v>15</v>
      </c>
      <c r="G14" s="1">
        <f>'Tabelle 1'!F145</f>
        <v>15</v>
      </c>
      <c r="H14" s="1">
        <f>'Tabelle 1'!F166</f>
        <v>15</v>
      </c>
      <c r="I14" s="1">
        <f>'Tabelle 1'!F187</f>
        <v>15</v>
      </c>
      <c r="J14" s="1">
        <f>'Tabelle 1'!F208</f>
        <v>15</v>
      </c>
      <c r="K14" s="1">
        <f>'Tabelle 1'!F229</f>
        <v>15</v>
      </c>
      <c r="L14" s="1">
        <f>'Tabelle 1'!F250</f>
        <v>15</v>
      </c>
      <c r="M14" s="1">
        <f>'Tabelle 1'!F271</f>
        <v>15</v>
      </c>
    </row>
    <row r="15" spans="1:13" ht="14.4" x14ac:dyDescent="0.3">
      <c r="A15" s="24"/>
      <c r="B15" s="24"/>
      <c r="C15" s="24"/>
      <c r="D15" s="24"/>
      <c r="E15" s="24"/>
      <c r="F15" s="24"/>
      <c r="G15" s="24"/>
      <c r="H15" s="24"/>
    </row>
    <row r="16" spans="1:13" ht="14.4" x14ac:dyDescent="0.3">
      <c r="A16" s="24"/>
      <c r="B16" s="24"/>
      <c r="C16" s="24"/>
      <c r="D16" s="24"/>
      <c r="E16" s="24"/>
      <c r="F16" s="24"/>
      <c r="G16" s="24"/>
      <c r="H16" s="24"/>
      <c r="I16" s="25" t="s">
        <v>19</v>
      </c>
      <c r="J16" s="24"/>
    </row>
    <row r="17" spans="1:10" ht="14.4" x14ac:dyDescent="0.3">
      <c r="A17" s="24"/>
      <c r="B17" s="24"/>
      <c r="C17" s="24"/>
      <c r="D17" s="24"/>
      <c r="E17" s="24"/>
      <c r="F17" s="24"/>
      <c r="G17" s="24"/>
      <c r="H17" s="24"/>
      <c r="I17" s="24"/>
      <c r="J17" s="24"/>
    </row>
    <row r="18" spans="1:10" ht="14.4" x14ac:dyDescent="0.3">
      <c r="I18" s="25" t="s">
        <v>20</v>
      </c>
      <c r="J18" s="24"/>
    </row>
    <row r="19" spans="1:10" x14ac:dyDescent="0.25">
      <c r="I19" s="9"/>
    </row>
    <row r="20" spans="1:10" x14ac:dyDescent="0.25">
      <c r="I20" s="9"/>
    </row>
    <row r="21" spans="1:10" ht="21" x14ac:dyDescent="0.4">
      <c r="A21" s="26"/>
      <c r="I21" s="9"/>
    </row>
    <row r="22" spans="1:10" x14ac:dyDescent="0.25">
      <c r="I22" s="9"/>
    </row>
    <row r="25" spans="1:10" ht="14.4" x14ac:dyDescent="0.3">
      <c r="I25" s="25" t="s">
        <v>8</v>
      </c>
    </row>
    <row r="27" spans="1:10" ht="15" customHeight="1" x14ac:dyDescent="0.25">
      <c r="I27" s="9"/>
    </row>
    <row r="28" spans="1:10" ht="15" customHeight="1" x14ac:dyDescent="0.25">
      <c r="I28" s="9"/>
    </row>
    <row r="29" spans="1:10" x14ac:dyDescent="0.25">
      <c r="I29" s="9"/>
    </row>
    <row r="30" spans="1:10" ht="15" customHeight="1" x14ac:dyDescent="0.25">
      <c r="I30" s="9"/>
    </row>
    <row r="32" spans="1:10" ht="15" customHeight="1" x14ac:dyDescent="0.25"/>
    <row r="33" spans="7:9" ht="15" customHeight="1" x14ac:dyDescent="0.25"/>
    <row r="35" spans="7:9" ht="15" customHeight="1" x14ac:dyDescent="0.25"/>
    <row r="36" spans="7:9" ht="15" customHeight="1" x14ac:dyDescent="0.25"/>
    <row r="38" spans="7:9" ht="14.4" x14ac:dyDescent="0.3">
      <c r="I38" s="25" t="s">
        <v>5</v>
      </c>
    </row>
    <row r="40" spans="7:9" x14ac:dyDescent="0.25">
      <c r="I40" s="9"/>
    </row>
    <row r="41" spans="7:9" x14ac:dyDescent="0.25">
      <c r="I41" s="9"/>
    </row>
    <row r="42" spans="7:9" x14ac:dyDescent="0.25">
      <c r="I42" s="9"/>
    </row>
    <row r="43" spans="7:9" x14ac:dyDescent="0.25">
      <c r="I43" s="9"/>
    </row>
    <row r="44" spans="7:9" ht="14.4" x14ac:dyDescent="0.3">
      <c r="G44" s="24"/>
      <c r="H44" s="24"/>
    </row>
    <row r="45" spans="7:9" ht="14.4" x14ac:dyDescent="0.3">
      <c r="G45" s="24"/>
      <c r="H45" s="24"/>
    </row>
    <row r="48" spans="7:9" ht="15" customHeight="1" x14ac:dyDescent="0.25"/>
    <row r="49" spans="7:8" ht="15" customHeight="1" x14ac:dyDescent="0.25"/>
    <row r="50" spans="7:8" ht="15" customHeight="1" x14ac:dyDescent="0.25"/>
    <row r="51" spans="7:8" ht="15" customHeight="1" x14ac:dyDescent="0.25"/>
    <row r="53" spans="7:8" ht="14.4" x14ac:dyDescent="0.3">
      <c r="G53" s="24"/>
      <c r="H53" s="24"/>
    </row>
    <row r="54" spans="7:8" ht="14.4" x14ac:dyDescent="0.3">
      <c r="G54" s="24"/>
      <c r="H54" s="24"/>
    </row>
  </sheetData>
  <sheetProtection selectLockedCells="1" selectUnlockedCells="1"/>
  <mergeCells count="4">
    <mergeCell ref="A6:A7"/>
    <mergeCell ref="A8:A9"/>
    <mergeCell ref="A10:A11"/>
    <mergeCell ref="A12:A13"/>
  </mergeCells>
  <pageMargins left="0.7" right="0.7" top="0.78749999999999998" bottom="0.78749999999999998" header="0.51180555555555551" footer="0.51180555555555551"/>
  <pageSetup paperSize="9" firstPageNumber="0" orientation="landscape" horizontalDpi="300" verticalDpi="300"/>
  <headerFooter alignWithMargins="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30"/>
  <sheetViews>
    <sheetView topLeftCell="C2" zoomScale="98" workbookViewId="0">
      <selection activeCell="G13" sqref="G13"/>
    </sheetView>
  </sheetViews>
  <sheetFormatPr defaultColWidth="10.88671875" defaultRowHeight="15.6" x14ac:dyDescent="0.3"/>
  <cols>
    <col min="1" max="2" width="10.88671875" style="27"/>
    <col min="3" max="3" width="9.44140625" style="27" customWidth="1"/>
    <col min="4" max="4" width="4" style="27" customWidth="1"/>
    <col min="5" max="5" width="9.44140625" style="27" customWidth="1"/>
    <col min="6" max="6" width="11.88671875" style="27" customWidth="1"/>
    <col min="7" max="16384" width="10.88671875" style="27"/>
  </cols>
  <sheetData>
    <row r="1" spans="1:12" ht="20.399999999999999" x14ac:dyDescent="0.35">
      <c r="A1" s="3" t="str">
        <f>'Tabelle 1'!A1</f>
        <v xml:space="preserve">V. dahliae - plant experiment with </v>
      </c>
      <c r="B1" s="1"/>
      <c r="C1" s="1"/>
      <c r="D1" s="1"/>
      <c r="E1" s="1"/>
      <c r="F1" s="1"/>
      <c r="I1" s="4" t="e">
        <f>'Tabelle 1'!#REF!</f>
        <v>#REF!</v>
      </c>
    </row>
    <row r="2" spans="1:12" x14ac:dyDescent="0.3">
      <c r="A2" s="28" t="str">
        <f>'Tabelle 1'!A2</f>
        <v>spore conc. 1x10^7 Sp/ml, infection 40 min root dipping while shaking (35 rpm)</v>
      </c>
      <c r="B2" s="1"/>
      <c r="C2" s="1"/>
      <c r="D2" s="1"/>
      <c r="E2" s="1"/>
      <c r="F2" s="1"/>
      <c r="G2" s="1"/>
    </row>
    <row r="3" spans="1:12" x14ac:dyDescent="0.3">
      <c r="A3" s="28" t="str">
        <f>'Tabelle 1'!A3</f>
        <v>Infection on  (infected 10 day-old seedlings)</v>
      </c>
      <c r="B3" s="5"/>
      <c r="C3" s="5"/>
      <c r="D3" s="5"/>
      <c r="E3" s="1"/>
      <c r="F3" s="1"/>
      <c r="G3" s="1"/>
    </row>
    <row r="4" spans="1:12" x14ac:dyDescent="0.3">
      <c r="A4" s="28" t="str">
        <f>'Tabelle 1'!A4</f>
        <v xml:space="preserve">date of measurement: </v>
      </c>
      <c r="B4" s="6"/>
      <c r="C4" s="6"/>
      <c r="D4" s="6"/>
      <c r="E4" s="1"/>
      <c r="F4" s="1"/>
      <c r="G4" s="1"/>
    </row>
    <row r="5" spans="1:12" x14ac:dyDescent="0.3">
      <c r="A5" s="1"/>
      <c r="B5" s="6"/>
      <c r="C5" s="6"/>
      <c r="D5" s="6"/>
      <c r="E5" s="1"/>
      <c r="F5" s="1"/>
      <c r="G5" s="1"/>
    </row>
    <row r="6" spans="1:12" x14ac:dyDescent="0.3">
      <c r="A6" s="1"/>
      <c r="B6" s="6"/>
      <c r="C6" s="6"/>
      <c r="D6" s="6"/>
      <c r="E6" s="1"/>
      <c r="F6" s="1"/>
      <c r="G6" s="1"/>
    </row>
    <row r="7" spans="1:12" x14ac:dyDescent="0.3">
      <c r="A7" s="1"/>
      <c r="B7" s="6"/>
      <c r="C7" s="6"/>
      <c r="D7" s="6"/>
      <c r="E7" s="1"/>
      <c r="F7" s="1"/>
      <c r="G7" s="1"/>
    </row>
    <row r="8" spans="1:12" x14ac:dyDescent="0.3">
      <c r="A8" s="29" t="s">
        <v>24</v>
      </c>
      <c r="B8" s="30" t="s">
        <v>25</v>
      </c>
      <c r="C8" s="30" t="s">
        <v>21</v>
      </c>
      <c r="D8" s="30"/>
      <c r="E8" s="29" t="s">
        <v>26</v>
      </c>
      <c r="F8" s="30"/>
      <c r="G8" s="30"/>
      <c r="H8" s="30" t="s">
        <v>27</v>
      </c>
    </row>
    <row r="9" spans="1:12" x14ac:dyDescent="0.3">
      <c r="B9" s="30" t="s">
        <v>32</v>
      </c>
      <c r="C9" s="27">
        <v>0</v>
      </c>
      <c r="F9" s="30">
        <f>C9</f>
        <v>0</v>
      </c>
      <c r="G9" s="30">
        <v>0</v>
      </c>
      <c r="H9" s="30">
        <v>5</v>
      </c>
      <c r="J9" s="32">
        <v>0</v>
      </c>
      <c r="K9" s="32">
        <v>5</v>
      </c>
      <c r="L9" s="32" t="s">
        <v>33</v>
      </c>
    </row>
    <row r="10" spans="1:12" x14ac:dyDescent="0.3">
      <c r="B10" s="30" t="s">
        <v>31</v>
      </c>
      <c r="C10" s="27">
        <v>0.1</v>
      </c>
      <c r="E10" s="29">
        <v>39</v>
      </c>
      <c r="F10" s="30" t="e">
        <f>0.001*G13</f>
        <v>#DIV/0!</v>
      </c>
      <c r="G10" s="30" t="e">
        <f>0.39*G13</f>
        <v>#DIV/0!</v>
      </c>
      <c r="H10" s="30">
        <v>4</v>
      </c>
      <c r="J10" s="32" t="e">
        <f>F10</f>
        <v>#DIV/0!</v>
      </c>
      <c r="K10" s="32">
        <v>4</v>
      </c>
      <c r="L10" s="27" t="s">
        <v>35</v>
      </c>
    </row>
    <row r="11" spans="1:12" x14ac:dyDescent="0.3">
      <c r="B11" s="30" t="s">
        <v>30</v>
      </c>
      <c r="C11" s="30">
        <v>40</v>
      </c>
      <c r="D11" s="30" t="s">
        <v>22</v>
      </c>
      <c r="E11" s="29">
        <v>59</v>
      </c>
      <c r="F11" s="30" t="e">
        <f>0.4*G13</f>
        <v>#DIV/0!</v>
      </c>
      <c r="G11" s="30" t="e">
        <f>0.59*G13</f>
        <v>#DIV/0!</v>
      </c>
      <c r="H11" s="30">
        <v>3</v>
      </c>
      <c r="J11" s="32" t="e">
        <f>F11</f>
        <v>#DIV/0!</v>
      </c>
      <c r="K11" s="32">
        <v>3</v>
      </c>
    </row>
    <row r="12" spans="1:12" x14ac:dyDescent="0.3">
      <c r="B12" s="30" t="s">
        <v>29</v>
      </c>
      <c r="C12" s="30">
        <v>60</v>
      </c>
      <c r="D12" s="30" t="s">
        <v>22</v>
      </c>
      <c r="E12" s="29">
        <v>79</v>
      </c>
      <c r="F12" s="30" t="e">
        <f>0.6*G13</f>
        <v>#DIV/0!</v>
      </c>
      <c r="G12" s="30" t="e">
        <f>0.79*G13</f>
        <v>#DIV/0!</v>
      </c>
      <c r="H12" s="30">
        <v>2</v>
      </c>
      <c r="J12" s="32" t="e">
        <f>F12</f>
        <v>#DIV/0!</v>
      </c>
      <c r="K12" s="32">
        <v>2</v>
      </c>
    </row>
    <row r="13" spans="1:12" x14ac:dyDescent="0.3">
      <c r="B13" s="29" t="s">
        <v>28</v>
      </c>
      <c r="C13" s="29">
        <v>80</v>
      </c>
      <c r="D13" s="29" t="s">
        <v>22</v>
      </c>
      <c r="E13" s="29">
        <v>100</v>
      </c>
      <c r="F13" s="30" t="e">
        <f>0.8*G13</f>
        <v>#DIV/0!</v>
      </c>
      <c r="G13" s="31" t="e">
        <f>'Tabelle 1'!B39</f>
        <v>#DIV/0!</v>
      </c>
      <c r="H13" s="30">
        <v>1</v>
      </c>
      <c r="J13" s="32" t="e">
        <f>F13</f>
        <v>#DIV/0!</v>
      </c>
      <c r="K13" s="32">
        <v>1</v>
      </c>
    </row>
    <row r="14" spans="1:12" x14ac:dyDescent="0.3">
      <c r="A14" s="30"/>
      <c r="B14" s="30"/>
      <c r="C14" s="30"/>
      <c r="D14" s="30"/>
      <c r="E14" s="30"/>
      <c r="F14" s="30"/>
      <c r="G14" s="30"/>
      <c r="H14" s="30"/>
    </row>
    <row r="15" spans="1:12" x14ac:dyDescent="0.3">
      <c r="A15" s="30"/>
      <c r="B15" s="30"/>
      <c r="C15" s="30"/>
      <c r="D15" s="30"/>
      <c r="E15" s="30"/>
      <c r="F15" s="30"/>
      <c r="G15" s="30"/>
      <c r="H15" s="30"/>
    </row>
    <row r="17" spans="1:11" x14ac:dyDescent="0.3">
      <c r="A17" s="29" t="s">
        <v>34</v>
      </c>
      <c r="B17" s="30" t="s">
        <v>25</v>
      </c>
      <c r="C17" s="30" t="s">
        <v>21</v>
      </c>
      <c r="E17" s="29" t="s">
        <v>26</v>
      </c>
      <c r="F17" s="30"/>
      <c r="G17" s="30"/>
      <c r="H17" s="30" t="s">
        <v>27</v>
      </c>
    </row>
    <row r="18" spans="1:11" x14ac:dyDescent="0.3">
      <c r="B18" s="30" t="s">
        <v>32</v>
      </c>
      <c r="C18" s="27">
        <v>0</v>
      </c>
      <c r="F18" s="27">
        <f>C18</f>
        <v>0</v>
      </c>
      <c r="H18" s="27">
        <v>5</v>
      </c>
      <c r="J18" s="27">
        <f>F18</f>
        <v>0</v>
      </c>
      <c r="K18" s="27">
        <f>H18</f>
        <v>5</v>
      </c>
    </row>
    <row r="19" spans="1:11" x14ac:dyDescent="0.3">
      <c r="B19" s="30" t="s">
        <v>31</v>
      </c>
      <c r="C19" s="27">
        <v>0.1</v>
      </c>
      <c r="E19" s="29">
        <v>39</v>
      </c>
      <c r="F19" s="30" t="e">
        <f>0.001*G22</f>
        <v>#DIV/0!</v>
      </c>
      <c r="G19" s="30" t="e">
        <f>0.39*G22</f>
        <v>#DIV/0!</v>
      </c>
      <c r="H19" s="30">
        <v>4</v>
      </c>
      <c r="J19" s="27" t="e">
        <f>F19</f>
        <v>#DIV/0!</v>
      </c>
      <c r="K19" s="27">
        <f>H19</f>
        <v>4</v>
      </c>
    </row>
    <row r="20" spans="1:11" x14ac:dyDescent="0.3">
      <c r="B20" s="30" t="s">
        <v>30</v>
      </c>
      <c r="C20" s="30">
        <v>40</v>
      </c>
      <c r="D20" s="30" t="s">
        <v>22</v>
      </c>
      <c r="E20" s="29">
        <v>59</v>
      </c>
      <c r="F20" s="30" t="e">
        <f>0.4*G22</f>
        <v>#DIV/0!</v>
      </c>
      <c r="G20" s="30" t="e">
        <f>0.59*G22</f>
        <v>#DIV/0!</v>
      </c>
      <c r="H20" s="30">
        <v>3</v>
      </c>
      <c r="J20" s="27" t="e">
        <f>F20</f>
        <v>#DIV/0!</v>
      </c>
      <c r="K20" s="27">
        <f>H20</f>
        <v>3</v>
      </c>
    </row>
    <row r="21" spans="1:11" x14ac:dyDescent="0.3">
      <c r="B21" s="30" t="s">
        <v>29</v>
      </c>
      <c r="C21" s="30">
        <v>60</v>
      </c>
      <c r="D21" s="30" t="s">
        <v>22</v>
      </c>
      <c r="E21" s="29">
        <v>79</v>
      </c>
      <c r="F21" s="30" t="e">
        <f>0.6*G22</f>
        <v>#DIV/0!</v>
      </c>
      <c r="G21" s="30" t="e">
        <f>0.79*G22</f>
        <v>#DIV/0!</v>
      </c>
      <c r="H21" s="30">
        <v>2</v>
      </c>
      <c r="J21" s="27" t="e">
        <f>F21</f>
        <v>#DIV/0!</v>
      </c>
      <c r="K21" s="27">
        <f>H21</f>
        <v>2</v>
      </c>
    </row>
    <row r="22" spans="1:11" x14ac:dyDescent="0.3">
      <c r="B22" s="29" t="s">
        <v>28</v>
      </c>
      <c r="C22" s="29">
        <v>80</v>
      </c>
      <c r="D22" s="29" t="s">
        <v>22</v>
      </c>
      <c r="E22" s="29">
        <v>100</v>
      </c>
      <c r="F22" s="30" t="e">
        <f>0.8*G22</f>
        <v>#DIV/0!</v>
      </c>
      <c r="G22" s="31" t="e">
        <f>'Tabelle 1'!C39</f>
        <v>#DIV/0!</v>
      </c>
      <c r="H22" s="30">
        <v>1</v>
      </c>
      <c r="J22" s="27" t="e">
        <f>F22</f>
        <v>#DIV/0!</v>
      </c>
      <c r="K22" s="27">
        <f>H22</f>
        <v>1</v>
      </c>
    </row>
    <row r="25" spans="1:11" x14ac:dyDescent="0.3">
      <c r="A25" s="30" t="s">
        <v>23</v>
      </c>
      <c r="B25" s="30" t="s">
        <v>25</v>
      </c>
      <c r="C25" s="30" t="s">
        <v>21</v>
      </c>
      <c r="E25" s="29" t="s">
        <v>26</v>
      </c>
      <c r="F25" s="30"/>
      <c r="G25" s="30"/>
      <c r="H25" s="30" t="s">
        <v>27</v>
      </c>
    </row>
    <row r="26" spans="1:11" x14ac:dyDescent="0.3">
      <c r="B26" s="30" t="s">
        <v>32</v>
      </c>
      <c r="C26" s="27">
        <v>0</v>
      </c>
      <c r="F26" s="27">
        <f>C26</f>
        <v>0</v>
      </c>
      <c r="H26" s="27">
        <v>5</v>
      </c>
      <c r="J26" s="27">
        <f>F26</f>
        <v>0</v>
      </c>
      <c r="K26" s="27">
        <f>H26</f>
        <v>5</v>
      </c>
    </row>
    <row r="27" spans="1:11" x14ac:dyDescent="0.3">
      <c r="B27" s="30" t="s">
        <v>31</v>
      </c>
      <c r="C27" s="27">
        <v>0.1</v>
      </c>
      <c r="E27" s="29">
        <v>39</v>
      </c>
      <c r="F27" s="30" t="e">
        <f>0.01*$G$30</f>
        <v>#DIV/0!</v>
      </c>
      <c r="G27" s="30" t="e">
        <f>0.39*$G$30</f>
        <v>#DIV/0!</v>
      </c>
      <c r="H27" s="30">
        <v>4</v>
      </c>
      <c r="J27" s="27" t="e">
        <f>F27</f>
        <v>#DIV/0!</v>
      </c>
      <c r="K27" s="27">
        <f>H27</f>
        <v>4</v>
      </c>
    </row>
    <row r="28" spans="1:11" x14ac:dyDescent="0.3">
      <c r="B28" s="30" t="s">
        <v>30</v>
      </c>
      <c r="C28" s="30">
        <v>40</v>
      </c>
      <c r="D28" s="30" t="s">
        <v>22</v>
      </c>
      <c r="E28" s="29">
        <v>59</v>
      </c>
      <c r="F28" s="30" t="e">
        <f>0.4*$G$30</f>
        <v>#DIV/0!</v>
      </c>
      <c r="G28" s="30" t="e">
        <f>0.59*$G$30</f>
        <v>#DIV/0!</v>
      </c>
      <c r="H28" s="30">
        <v>3</v>
      </c>
      <c r="J28" s="27" t="e">
        <f>F28</f>
        <v>#DIV/0!</v>
      </c>
      <c r="K28" s="27">
        <f>H28</f>
        <v>3</v>
      </c>
    </row>
    <row r="29" spans="1:11" x14ac:dyDescent="0.3">
      <c r="B29" s="30" t="s">
        <v>29</v>
      </c>
      <c r="C29" s="30">
        <v>60</v>
      </c>
      <c r="D29" s="30" t="s">
        <v>22</v>
      </c>
      <c r="E29" s="29">
        <v>79</v>
      </c>
      <c r="F29" s="30" t="e">
        <f>0.6*$G$30</f>
        <v>#DIV/0!</v>
      </c>
      <c r="G29" s="30" t="e">
        <f>0.79*$G$30</f>
        <v>#DIV/0!</v>
      </c>
      <c r="H29" s="30">
        <v>2</v>
      </c>
      <c r="J29" s="27" t="e">
        <f>F29</f>
        <v>#DIV/0!</v>
      </c>
      <c r="K29" s="27">
        <f>H29</f>
        <v>2</v>
      </c>
    </row>
    <row r="30" spans="1:11" x14ac:dyDescent="0.3">
      <c r="B30" s="29" t="s">
        <v>28</v>
      </c>
      <c r="C30" s="29">
        <v>80</v>
      </c>
      <c r="D30" s="29" t="s">
        <v>22</v>
      </c>
      <c r="E30" s="29">
        <v>100</v>
      </c>
      <c r="F30" s="30" t="e">
        <f>0.8*$G$30</f>
        <v>#DIV/0!</v>
      </c>
      <c r="G30" s="31" t="e">
        <f>'Tabelle 1'!D39</f>
        <v>#DIV/0!</v>
      </c>
      <c r="H30" s="30">
        <v>1</v>
      </c>
      <c r="J30" s="27" t="e">
        <f>F30</f>
        <v>#DIV/0!</v>
      </c>
      <c r="K30" s="27">
        <f>H30</f>
        <v>1</v>
      </c>
    </row>
  </sheetData>
  <sheetProtection selectLockedCells="1" selectUnlockedCells="1"/>
  <pageMargins left="0.7" right="0.7" top="0.78749999999999998" bottom="0.78749999999999998" header="0.51180555555555551" footer="0.51180555555555551"/>
  <pageSetup firstPageNumber="0" orientation="portrait" horizontalDpi="300" verticalDpi="300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"/>
  <sheetViews>
    <sheetView topLeftCell="A7" zoomScale="117" zoomScaleNormal="117" workbookViewId="0">
      <selection activeCell="H40" sqref="H40"/>
    </sheetView>
  </sheetViews>
  <sheetFormatPr defaultColWidth="8.44140625" defaultRowHeight="14.4" x14ac:dyDescent="0.3"/>
  <cols>
    <col min="1" max="16384" width="8.44140625" style="24"/>
  </cols>
  <sheetData/>
  <sheetProtection selectLockedCells="1" selectUnlockedCells="1"/>
  <pageMargins left="0.7" right="0.7" top="0.78749999999999998" bottom="0.78749999999999998" header="0.51180555555555551" footer="0.51180555555555551"/>
  <pageSetup firstPageNumber="0" orientation="landscape" horizontalDpi="300" verticalDpi="300"/>
  <headerFooter alignWithMargins="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269"/>
  <sheetViews>
    <sheetView tabSelected="1" topLeftCell="J9" zoomScale="99" workbookViewId="0">
      <selection activeCell="R25" sqref="R25"/>
    </sheetView>
  </sheetViews>
  <sheetFormatPr defaultColWidth="10.88671875" defaultRowHeight="13.8" x14ac:dyDescent="0.25"/>
  <cols>
    <col min="1" max="11" width="10.88671875" style="1"/>
    <col min="12" max="12" width="21.109375" style="1" customWidth="1"/>
    <col min="13" max="14" width="10.88671875" style="1"/>
    <col min="15" max="15" width="10.88671875" style="1" customWidth="1"/>
    <col min="16" max="16" width="14.21875" style="1" customWidth="1"/>
    <col min="17" max="17" width="14.109375" style="1" customWidth="1"/>
    <col min="18" max="19" width="10.88671875" style="1"/>
    <col min="20" max="20" width="20.77734375" style="1" bestFit="1" customWidth="1"/>
    <col min="21" max="16384" width="10.88671875" style="1"/>
  </cols>
  <sheetData>
    <row r="1" spans="1:26" x14ac:dyDescent="0.25">
      <c r="A1" s="19" t="str">
        <f>'Tabelle 1'!A7</f>
        <v>Mock A</v>
      </c>
      <c r="B1" s="19" t="s">
        <v>36</v>
      </c>
      <c r="C1" s="19" t="s">
        <v>37</v>
      </c>
      <c r="D1" s="19" t="s">
        <v>38</v>
      </c>
      <c r="E1" s="19" t="s">
        <v>39</v>
      </c>
      <c r="H1" s="33" t="s">
        <v>40</v>
      </c>
      <c r="L1" s="1" t="s">
        <v>25</v>
      </c>
      <c r="M1" s="35" t="s">
        <v>58</v>
      </c>
      <c r="N1" s="35" t="s">
        <v>56</v>
      </c>
      <c r="O1" s="35" t="s">
        <v>60</v>
      </c>
      <c r="P1" s="35" t="s">
        <v>62</v>
      </c>
      <c r="Q1" s="36" t="s">
        <v>63</v>
      </c>
      <c r="R1" s="35" t="s">
        <v>59</v>
      </c>
      <c r="T1" s="1" t="s">
        <v>25</v>
      </c>
      <c r="U1" s="35" t="s">
        <v>58</v>
      </c>
      <c r="V1" s="35" t="s">
        <v>56</v>
      </c>
      <c r="W1" s="35" t="s">
        <v>60</v>
      </c>
      <c r="X1" s="35" t="s">
        <v>62</v>
      </c>
      <c r="Y1" s="36" t="s">
        <v>63</v>
      </c>
      <c r="Z1" s="35" t="s">
        <v>59</v>
      </c>
    </row>
    <row r="2" spans="1:26" x14ac:dyDescent="0.25">
      <c r="A2" s="12">
        <v>1</v>
      </c>
      <c r="B2" s="12">
        <f>VLOOKUP('Tabelle 1'!B9,'Degree of Symptoms'!$J$9:$K$13,2)</f>
        <v>5</v>
      </c>
      <c r="C2" s="12">
        <f>VLOOKUP('Tabelle 1'!C9,'Degree of Symptoms'!$J$13:$K$22,2)</f>
        <v>5</v>
      </c>
      <c r="D2" s="12">
        <f>VLOOKUP('Tabelle 1'!D9,'Degree of Symptoms'!$J$26:$K$30,2)</f>
        <v>5</v>
      </c>
      <c r="E2" s="17">
        <f t="shared" ref="E2:E16" si="0">AVERAGE(B2:D2)</f>
        <v>5</v>
      </c>
      <c r="G2" s="34" t="s">
        <v>41</v>
      </c>
      <c r="H2" s="1">
        <f>COUNTIFS($E$2:$E$16,"&lt;1,99",$E$2:$E$16,"&gt;=1")</f>
        <v>0</v>
      </c>
      <c r="J2" s="34" t="s">
        <v>41</v>
      </c>
      <c r="K2" s="34"/>
      <c r="L2" s="1" t="s">
        <v>28</v>
      </c>
      <c r="M2" s="1">
        <f>SUM(M12+M19+M26+M33+M40+M47)</f>
        <v>177</v>
      </c>
      <c r="N2" s="1">
        <f>SUM(N12+N19+N26+N33+N40+N47)</f>
        <v>31</v>
      </c>
      <c r="O2" s="1">
        <f>SUM(P12+O40+O47)</f>
        <v>59</v>
      </c>
      <c r="P2" s="1">
        <f>SUM(P40+P47)</f>
        <v>11</v>
      </c>
      <c r="Q2" s="1">
        <v>10</v>
      </c>
      <c r="R2" s="1">
        <f>SUM(O12+O19+O26+O33)</f>
        <v>59</v>
      </c>
      <c r="T2" s="1" t="s">
        <v>28</v>
      </c>
      <c r="U2" s="1">
        <f>M2/M$8</f>
        <v>0.98333333333333328</v>
      </c>
      <c r="V2" s="1">
        <f>N2/N$8</f>
        <v>0.17222222222222222</v>
      </c>
      <c r="W2" s="1">
        <f>O2/O$8</f>
        <v>0.39333333333333331</v>
      </c>
      <c r="X2" s="1">
        <f>P2/P$8</f>
        <v>0.18333333333333332</v>
      </c>
      <c r="Y2" s="1">
        <f>Q2/Q$8</f>
        <v>0.33333333333333331</v>
      </c>
      <c r="Z2" s="1">
        <f>R2/R$8</f>
        <v>0.32777777777777778</v>
      </c>
    </row>
    <row r="3" spans="1:26" x14ac:dyDescent="0.25">
      <c r="A3" s="12">
        <v>2</v>
      </c>
      <c r="B3" s="12">
        <f>VLOOKUP('Tabelle 1'!B10,'Degree of Symptoms'!$J$9:$K$13,2)</f>
        <v>5</v>
      </c>
      <c r="C3" s="12">
        <f>VLOOKUP('Tabelle 1'!C10,'Degree of Symptoms'!$J$13:$K$22,2)</f>
        <v>5</v>
      </c>
      <c r="D3" s="12">
        <f>VLOOKUP('Tabelle 1'!D10,'Degree of Symptoms'!$J$26:$K$30,2)</f>
        <v>5</v>
      </c>
      <c r="E3" s="17">
        <f t="shared" si="0"/>
        <v>5</v>
      </c>
      <c r="G3" s="34" t="s">
        <v>42</v>
      </c>
      <c r="H3" s="1">
        <f>COUNTIFS($E$2:$E$16,"&lt;2,99",$E$2:$E$16,"&gt;=2")</f>
        <v>0</v>
      </c>
      <c r="J3" s="34" t="s">
        <v>42</v>
      </c>
      <c r="K3" s="34"/>
      <c r="L3" s="1" t="s">
        <v>43</v>
      </c>
      <c r="M3" s="1">
        <v>3</v>
      </c>
      <c r="N3" s="1">
        <f>SUM(N13+N20+N27+N34+N41+N48)</f>
        <v>66</v>
      </c>
      <c r="O3" s="1">
        <f>SUM(P13+O41+O48)</f>
        <v>54</v>
      </c>
      <c r="P3" s="1">
        <f>SUM(P41+P48)</f>
        <v>14</v>
      </c>
      <c r="Q3" s="1">
        <v>7</v>
      </c>
      <c r="R3" s="1">
        <f>SUM(O13+O20+O27+O34)</f>
        <v>68</v>
      </c>
      <c r="T3" s="1" t="s">
        <v>43</v>
      </c>
      <c r="U3" s="1">
        <f t="shared" ref="U3:U8" si="1">M3/M$8</f>
        <v>1.6666666666666666E-2</v>
      </c>
      <c r="V3" s="1">
        <f t="shared" ref="V3:V6" si="2">N3/N$8</f>
        <v>0.36666666666666664</v>
      </c>
      <c r="W3" s="1">
        <f t="shared" ref="W3:W6" si="3">O3/O$8</f>
        <v>0.36</v>
      </c>
      <c r="X3" s="1">
        <f t="shared" ref="X3:X6" si="4">P3/P$8</f>
        <v>0.23333333333333334</v>
      </c>
      <c r="Y3" s="1">
        <f t="shared" ref="Y3:Y6" si="5">Q3/Q$8</f>
        <v>0.23333333333333334</v>
      </c>
      <c r="Z3" s="1">
        <f t="shared" ref="Z3:Z6" si="6">R3/R$8</f>
        <v>0.37777777777777777</v>
      </c>
    </row>
    <row r="4" spans="1:26" x14ac:dyDescent="0.25">
      <c r="A4" s="12">
        <v>3</v>
      </c>
      <c r="B4" s="12">
        <f>VLOOKUP('Tabelle 1'!B11,'Degree of Symptoms'!$J$9:$K$13,2)</f>
        <v>5</v>
      </c>
      <c r="C4" s="12">
        <f>VLOOKUP('Tabelle 1'!C11,'Degree of Symptoms'!$J$13:$K$22,2)</f>
        <v>5</v>
      </c>
      <c r="D4" s="12">
        <f>VLOOKUP('Tabelle 1'!D11,'Degree of Symptoms'!$J$26:$K$30,2)</f>
        <v>5</v>
      </c>
      <c r="E4" s="17">
        <f t="shared" si="0"/>
        <v>5</v>
      </c>
      <c r="G4" s="34" t="s">
        <v>44</v>
      </c>
      <c r="H4" s="1">
        <f>COUNTIFS($E$2:$E$16,"&lt;3,99",$E$2:$E$16,"&gt;=3")</f>
        <v>0</v>
      </c>
      <c r="J4" s="34" t="s">
        <v>44</v>
      </c>
      <c r="K4" s="34"/>
      <c r="L4" s="1" t="s">
        <v>45</v>
      </c>
      <c r="M4" s="1">
        <f>H4</f>
        <v>0</v>
      </c>
      <c r="N4" s="1">
        <f>SUM(N14+N21+N28+N35+N42+N49)</f>
        <v>65</v>
      </c>
      <c r="O4" s="1">
        <f>SUM(P14+O42+O49)</f>
        <v>32</v>
      </c>
      <c r="P4" s="1">
        <f>SUM(P42+P49)</f>
        <v>32</v>
      </c>
      <c r="Q4" s="1">
        <v>10</v>
      </c>
      <c r="R4" s="1">
        <f>SUM(O14+O21+O28+O35)</f>
        <v>44</v>
      </c>
      <c r="T4" s="1" t="s">
        <v>45</v>
      </c>
      <c r="U4" s="1">
        <f t="shared" si="1"/>
        <v>0</v>
      </c>
      <c r="V4" s="1">
        <f t="shared" si="2"/>
        <v>0.3611111111111111</v>
      </c>
      <c r="W4" s="1">
        <f t="shared" si="3"/>
        <v>0.21333333333333335</v>
      </c>
      <c r="X4" s="1">
        <f t="shared" si="4"/>
        <v>0.53333333333333333</v>
      </c>
      <c r="Y4" s="1">
        <f t="shared" si="5"/>
        <v>0.33333333333333331</v>
      </c>
      <c r="Z4" s="1">
        <f t="shared" si="6"/>
        <v>0.24444444444444444</v>
      </c>
    </row>
    <row r="5" spans="1:26" x14ac:dyDescent="0.25">
      <c r="A5" s="12">
        <v>4</v>
      </c>
      <c r="B5" s="12">
        <f>VLOOKUP('Tabelle 1'!B12,'Degree of Symptoms'!$J$9:$K$13,2)</f>
        <v>5</v>
      </c>
      <c r="C5" s="12">
        <f>VLOOKUP('Tabelle 1'!C12,'Degree of Symptoms'!$J$13:$K$22,2)</f>
        <v>5</v>
      </c>
      <c r="D5" s="12">
        <f>VLOOKUP('Tabelle 1'!D12,'Degree of Symptoms'!$J$26:$K$30,2)</f>
        <v>5</v>
      </c>
      <c r="E5" s="17">
        <f t="shared" si="0"/>
        <v>5</v>
      </c>
      <c r="G5" s="34" t="s">
        <v>46</v>
      </c>
      <c r="H5" s="1">
        <f>COUNTIFS($E$2:$E$16,"&lt;4,99",$E$2:$E$16,"&gt;=4")</f>
        <v>0</v>
      </c>
      <c r="J5" s="34" t="s">
        <v>46</v>
      </c>
      <c r="K5" s="34"/>
      <c r="L5" s="1" t="s">
        <v>47</v>
      </c>
      <c r="M5" s="1">
        <f>H5</f>
        <v>0</v>
      </c>
      <c r="N5" s="1">
        <f>SUM(N15+N22+N29+N36+N43+N50)</f>
        <v>18</v>
      </c>
      <c r="O5" s="1">
        <f>SUM(P15+O43+O50)</f>
        <v>5</v>
      </c>
      <c r="P5" s="1">
        <v>3</v>
      </c>
      <c r="Q5" s="1">
        <v>3</v>
      </c>
      <c r="R5" s="1">
        <f>SUM(O15+O22+O29+O36)</f>
        <v>9</v>
      </c>
      <c r="T5" s="1" t="s">
        <v>47</v>
      </c>
      <c r="U5" s="1">
        <f t="shared" si="1"/>
        <v>0</v>
      </c>
      <c r="V5" s="1">
        <f t="shared" si="2"/>
        <v>0.1</v>
      </c>
      <c r="W5" s="1">
        <f t="shared" si="3"/>
        <v>3.3333333333333333E-2</v>
      </c>
      <c r="X5" s="1">
        <f t="shared" si="4"/>
        <v>0.05</v>
      </c>
      <c r="Y5" s="1">
        <f t="shared" si="5"/>
        <v>0.1</v>
      </c>
      <c r="Z5" s="1">
        <f t="shared" si="6"/>
        <v>0.05</v>
      </c>
    </row>
    <row r="6" spans="1:26" x14ac:dyDescent="0.25">
      <c r="A6" s="12">
        <v>5</v>
      </c>
      <c r="B6" s="12">
        <f>VLOOKUP('Tabelle 1'!B13,'Degree of Symptoms'!$J$9:$K$13,2)</f>
        <v>5</v>
      </c>
      <c r="C6" s="12">
        <f>VLOOKUP('Tabelle 1'!C13,'Degree of Symptoms'!$J$13:$K$22,2)</f>
        <v>5</v>
      </c>
      <c r="D6" s="12">
        <f>VLOOKUP('Tabelle 1'!D13,'Degree of Symptoms'!$J$26:$K$30,2)</f>
        <v>5</v>
      </c>
      <c r="E6" s="17">
        <f t="shared" si="0"/>
        <v>5</v>
      </c>
      <c r="G6" s="34">
        <v>5</v>
      </c>
      <c r="H6" s="1">
        <f>COUNTIF($E$2:$E$16,"&gt;=5")</f>
        <v>15</v>
      </c>
      <c r="J6" s="34">
        <v>5</v>
      </c>
      <c r="K6" s="34"/>
      <c r="L6" s="1" t="s">
        <v>32</v>
      </c>
      <c r="M6" s="1">
        <v>0</v>
      </c>
      <c r="N6" s="1">
        <f>I6</f>
        <v>0</v>
      </c>
      <c r="O6" s="1">
        <f>I48</f>
        <v>0</v>
      </c>
      <c r="P6" s="1">
        <f>I90</f>
        <v>0</v>
      </c>
      <c r="Q6" s="1">
        <v>0</v>
      </c>
      <c r="R6" s="1">
        <v>0</v>
      </c>
      <c r="T6" s="1" t="s">
        <v>32</v>
      </c>
      <c r="U6" s="1">
        <f t="shared" si="1"/>
        <v>0</v>
      </c>
      <c r="V6" s="1">
        <f t="shared" si="2"/>
        <v>0</v>
      </c>
      <c r="W6" s="1">
        <f t="shared" si="3"/>
        <v>0</v>
      </c>
      <c r="X6" s="1">
        <f t="shared" si="4"/>
        <v>0</v>
      </c>
      <c r="Y6" s="1">
        <f t="shared" si="5"/>
        <v>0</v>
      </c>
      <c r="Z6" s="1">
        <f t="shared" si="6"/>
        <v>0</v>
      </c>
    </row>
    <row r="7" spans="1:26" x14ac:dyDescent="0.25">
      <c r="A7" s="12">
        <v>6</v>
      </c>
      <c r="B7" s="12">
        <f>VLOOKUP('Tabelle 1'!B14,'Degree of Symptoms'!$J$9:$K$13,2)</f>
        <v>5</v>
      </c>
      <c r="C7" s="12">
        <f>VLOOKUP('Tabelle 1'!C14,'Degree of Symptoms'!$J$13:$K$22,2)</f>
        <v>5</v>
      </c>
      <c r="D7" s="12">
        <f>VLOOKUP('Tabelle 1'!D14,'Degree of Symptoms'!$J$26:$K$30,2)</f>
        <v>5</v>
      </c>
      <c r="E7" s="17">
        <f t="shared" si="0"/>
        <v>5</v>
      </c>
      <c r="H7" s="1">
        <f>SUM(H2:H6)</f>
        <v>15</v>
      </c>
    </row>
    <row r="8" spans="1:26" x14ac:dyDescent="0.25">
      <c r="A8" s="12">
        <v>7</v>
      </c>
      <c r="B8" s="12">
        <f>VLOOKUP('Tabelle 1'!B15,'Degree of Symptoms'!$J$9:$K$13,2)</f>
        <v>5</v>
      </c>
      <c r="C8" s="12">
        <f>VLOOKUP('Tabelle 1'!C15,'Degree of Symptoms'!$J$13:$K$22,2)</f>
        <v>5</v>
      </c>
      <c r="D8" s="12">
        <f>VLOOKUP('Tabelle 1'!D15,'Degree of Symptoms'!$J$26:$K$30,2)</f>
        <v>5</v>
      </c>
      <c r="E8" s="17">
        <f t="shared" si="0"/>
        <v>5</v>
      </c>
      <c r="L8" s="1" t="s">
        <v>12</v>
      </c>
      <c r="M8" s="1">
        <f>SUM(M2:M6)</f>
        <v>180</v>
      </c>
      <c r="N8" s="1">
        <f t="shared" ref="N8:R8" si="7">SUM(N2:N6)</f>
        <v>180</v>
      </c>
      <c r="O8" s="1">
        <f t="shared" si="7"/>
        <v>150</v>
      </c>
      <c r="P8" s="1">
        <f t="shared" si="7"/>
        <v>60</v>
      </c>
      <c r="Q8" s="1">
        <f t="shared" si="7"/>
        <v>30</v>
      </c>
      <c r="R8" s="1">
        <f t="shared" si="7"/>
        <v>180</v>
      </c>
    </row>
    <row r="9" spans="1:26" x14ac:dyDescent="0.25">
      <c r="A9" s="12">
        <v>8</v>
      </c>
      <c r="B9" s="12">
        <f>VLOOKUP('Tabelle 1'!B16,'Degree of Symptoms'!$J$9:$K$13,2)</f>
        <v>5</v>
      </c>
      <c r="C9" s="12">
        <f>VLOOKUP('Tabelle 1'!C16,'Degree of Symptoms'!$J$13:$K$22,2)</f>
        <v>5</v>
      </c>
      <c r="D9" s="12">
        <f>VLOOKUP('Tabelle 1'!D16,'Degree of Symptoms'!$J$26:$K$30,2)</f>
        <v>5</v>
      </c>
      <c r="E9" s="17">
        <f t="shared" si="0"/>
        <v>5</v>
      </c>
    </row>
    <row r="10" spans="1:26" x14ac:dyDescent="0.25">
      <c r="A10" s="12">
        <v>9</v>
      </c>
      <c r="B10" s="12">
        <f>VLOOKUP('Tabelle 1'!B17,'Degree of Symptoms'!$J$9:$K$13,2)</f>
        <v>5</v>
      </c>
      <c r="C10" s="12">
        <f>VLOOKUP('Tabelle 1'!C17,'Degree of Symptoms'!$J$13:$K$22,2)</f>
        <v>5</v>
      </c>
      <c r="D10" s="12">
        <f>VLOOKUP('Tabelle 1'!D17,'Degree of Symptoms'!$J$26:$K$30,2)</f>
        <v>5</v>
      </c>
      <c r="E10" s="17">
        <f t="shared" si="0"/>
        <v>5</v>
      </c>
      <c r="U10" s="1" t="s">
        <v>65</v>
      </c>
      <c r="V10" s="1" t="s">
        <v>66</v>
      </c>
      <c r="W10" s="1" t="s">
        <v>67</v>
      </c>
    </row>
    <row r="11" spans="1:26" ht="14.4" x14ac:dyDescent="0.3">
      <c r="A11" s="12">
        <v>10</v>
      </c>
      <c r="B11" s="12">
        <f>VLOOKUP('Tabelle 1'!B18,'Degree of Symptoms'!$J$9:$K$13,2)</f>
        <v>5</v>
      </c>
      <c r="C11" s="12">
        <f>VLOOKUP('Tabelle 1'!C18,'Degree of Symptoms'!$J$13:$K$22,2)</f>
        <v>5</v>
      </c>
      <c r="D11" s="12">
        <f>VLOOKUP('Tabelle 1'!D18,'Degree of Symptoms'!$J$26:$K$30,2)</f>
        <v>5</v>
      </c>
      <c r="E11" s="17">
        <f t="shared" si="0"/>
        <v>5</v>
      </c>
      <c r="M11" s="1" t="s">
        <v>2</v>
      </c>
      <c r="N11" s="1" t="s">
        <v>56</v>
      </c>
      <c r="O11" s="1" t="s">
        <v>59</v>
      </c>
      <c r="P11" s="1" t="s">
        <v>61</v>
      </c>
      <c r="U11" s="35" t="s">
        <v>58</v>
      </c>
      <c r="V11" s="1">
        <v>0.98333333333333328</v>
      </c>
      <c r="W11" s="1">
        <v>1</v>
      </c>
    </row>
    <row r="12" spans="1:26" x14ac:dyDescent="0.25">
      <c r="A12" s="12">
        <v>11</v>
      </c>
      <c r="B12" s="12">
        <f>VLOOKUP('Tabelle 1'!B19,'Degree of Symptoms'!$J$9:$K$13,2)</f>
        <v>5</v>
      </c>
      <c r="C12" s="12">
        <f>VLOOKUP('Tabelle 1'!C19,'Degree of Symptoms'!$J$13:$K$22,2)</f>
        <v>5</v>
      </c>
      <c r="D12" s="12">
        <f>VLOOKUP('Tabelle 1'!D19,'Degree of Symptoms'!$J$26:$K$30,2)</f>
        <v>5</v>
      </c>
      <c r="E12" s="17">
        <f t="shared" si="0"/>
        <v>5</v>
      </c>
      <c r="M12" s="1">
        <v>29</v>
      </c>
      <c r="N12" s="1">
        <v>9</v>
      </c>
      <c r="O12" s="1">
        <v>28</v>
      </c>
      <c r="P12" s="1">
        <v>34</v>
      </c>
      <c r="U12" s="35" t="s">
        <v>58</v>
      </c>
      <c r="V12" s="1">
        <v>1.6666666666666666E-2</v>
      </c>
      <c r="W12" s="1">
        <v>2</v>
      </c>
    </row>
    <row r="13" spans="1:26" x14ac:dyDescent="0.25">
      <c r="A13" s="12">
        <v>12</v>
      </c>
      <c r="B13" s="12">
        <f>VLOOKUP('Tabelle 1'!B20,'Degree of Symptoms'!$J$9:$K$13,2)</f>
        <v>5</v>
      </c>
      <c r="C13" s="12">
        <f>VLOOKUP('Tabelle 1'!C20,'Degree of Symptoms'!$J$13:$K$22,2)</f>
        <v>5</v>
      </c>
      <c r="D13" s="12">
        <f>VLOOKUP('Tabelle 1'!D20,'Degree of Symptoms'!$J$26:$K$30,2)</f>
        <v>5</v>
      </c>
      <c r="E13" s="17">
        <f t="shared" si="0"/>
        <v>5</v>
      </c>
      <c r="M13" s="1">
        <v>1</v>
      </c>
      <c r="N13" s="1">
        <v>14</v>
      </c>
      <c r="O13" s="1">
        <v>23</v>
      </c>
      <c r="P13" s="1">
        <v>26</v>
      </c>
      <c r="U13" s="35" t="s">
        <v>58</v>
      </c>
      <c r="V13" s="1">
        <v>0</v>
      </c>
      <c r="W13" s="1">
        <v>3</v>
      </c>
    </row>
    <row r="14" spans="1:26" x14ac:dyDescent="0.25">
      <c r="A14" s="12">
        <v>13</v>
      </c>
      <c r="B14" s="12">
        <f>VLOOKUP('Tabelle 1'!B21,'Degree of Symptoms'!$J$9:$K$13,2)</f>
        <v>5</v>
      </c>
      <c r="C14" s="12">
        <f>VLOOKUP('Tabelle 1'!C21,'Degree of Symptoms'!$J$13:$K$22,2)</f>
        <v>5</v>
      </c>
      <c r="D14" s="12">
        <f>VLOOKUP('Tabelle 1'!D21,'Degree of Symptoms'!$J$26:$K$30,2)</f>
        <v>5</v>
      </c>
      <c r="E14" s="17">
        <f t="shared" si="0"/>
        <v>5</v>
      </c>
      <c r="M14" s="1">
        <f>H14</f>
        <v>0</v>
      </c>
      <c r="N14" s="1">
        <v>7</v>
      </c>
      <c r="O14" s="1">
        <v>9</v>
      </c>
      <c r="P14" s="1">
        <f>H182</f>
        <v>0</v>
      </c>
      <c r="U14" s="35" t="s">
        <v>58</v>
      </c>
      <c r="V14" s="1">
        <v>0</v>
      </c>
      <c r="W14" s="1">
        <v>4</v>
      </c>
    </row>
    <row r="15" spans="1:26" x14ac:dyDescent="0.25">
      <c r="A15" s="12">
        <v>14</v>
      </c>
      <c r="B15" s="12">
        <f>VLOOKUP('Tabelle 1'!B22,'Degree of Symptoms'!$J$9:$K$13,2)</f>
        <v>5</v>
      </c>
      <c r="C15" s="12">
        <f>VLOOKUP('Tabelle 1'!C22,'Degree of Symptoms'!$J$13:$K$22,2)</f>
        <v>5</v>
      </c>
      <c r="D15" s="12">
        <f>VLOOKUP('Tabelle 1'!D22,'Degree of Symptoms'!$J$26:$K$30,2)</f>
        <v>5</v>
      </c>
      <c r="E15" s="17">
        <f t="shared" si="0"/>
        <v>5</v>
      </c>
      <c r="M15" s="1">
        <f>H15</f>
        <v>0</v>
      </c>
      <c r="N15" s="1">
        <f>H57</f>
        <v>0</v>
      </c>
      <c r="O15" s="1">
        <f>H99</f>
        <v>0</v>
      </c>
      <c r="P15" s="1">
        <f>H183</f>
        <v>0</v>
      </c>
      <c r="U15" s="35" t="s">
        <v>56</v>
      </c>
      <c r="V15" s="1">
        <v>0.17222222222222222</v>
      </c>
      <c r="W15" s="1">
        <v>1</v>
      </c>
    </row>
    <row r="16" spans="1:26" x14ac:dyDescent="0.25">
      <c r="A16" s="12">
        <v>15</v>
      </c>
      <c r="B16" s="12">
        <f>VLOOKUP('Tabelle 1'!B23,'Degree of Symptoms'!$J$9:$K$13,2)</f>
        <v>5</v>
      </c>
      <c r="C16" s="12">
        <f>VLOOKUP('Tabelle 1'!C23,'Degree of Symptoms'!$J$13:$K$22,2)</f>
        <v>5</v>
      </c>
      <c r="D16" s="12">
        <f>VLOOKUP('Tabelle 1'!D23,'Degree of Symptoms'!$J$26:$K$30,2)</f>
        <v>5</v>
      </c>
      <c r="E16" s="17">
        <f t="shared" si="0"/>
        <v>5</v>
      </c>
      <c r="M16" s="1">
        <f>H16</f>
        <v>0</v>
      </c>
      <c r="N16" s="1">
        <f>H58</f>
        <v>0</v>
      </c>
      <c r="O16" s="1">
        <f>H100</f>
        <v>0</v>
      </c>
      <c r="P16" s="1">
        <f>H184</f>
        <v>0</v>
      </c>
      <c r="U16" s="35" t="s">
        <v>56</v>
      </c>
      <c r="V16" s="1">
        <v>0.36666666666666664</v>
      </c>
      <c r="W16" s="1">
        <v>2</v>
      </c>
    </row>
    <row r="17" spans="1:23" x14ac:dyDescent="0.25">
      <c r="A17" s="12"/>
      <c r="B17" s="12"/>
      <c r="C17" s="12"/>
      <c r="D17" s="12"/>
      <c r="E17" s="17"/>
      <c r="F17" s="2" t="s">
        <v>12</v>
      </c>
      <c r="U17" s="35" t="s">
        <v>56</v>
      </c>
      <c r="V17" s="1">
        <v>0.3611111111111111</v>
      </c>
      <c r="W17" s="1">
        <v>3</v>
      </c>
    </row>
    <row r="18" spans="1:23" x14ac:dyDescent="0.25">
      <c r="A18" s="19" t="s">
        <v>48</v>
      </c>
      <c r="B18" s="12">
        <f>AVERAGE(B2:B16)</f>
        <v>5</v>
      </c>
      <c r="C18" s="12">
        <f>AVERAGE(C2:C16)</f>
        <v>5</v>
      </c>
      <c r="D18" s="12">
        <f>AVERAGE(D2:D16)</f>
        <v>5</v>
      </c>
      <c r="E18" s="17">
        <f>AVERAGE(E2:E16)</f>
        <v>5</v>
      </c>
      <c r="F18" s="2">
        <f>'Tabelle 1'!F40</f>
        <v>15</v>
      </c>
      <c r="M18" s="1" t="s">
        <v>2</v>
      </c>
      <c r="N18" s="1" t="s">
        <v>56</v>
      </c>
      <c r="O18" s="1" t="s">
        <v>59</v>
      </c>
      <c r="U18" s="35" t="s">
        <v>56</v>
      </c>
      <c r="V18" s="1">
        <v>0.1</v>
      </c>
      <c r="W18" s="1">
        <v>4</v>
      </c>
    </row>
    <row r="19" spans="1:23" x14ac:dyDescent="0.25">
      <c r="A19" s="19" t="s">
        <v>49</v>
      </c>
      <c r="B19" s="12">
        <f>STDEV(B2:B16)</f>
        <v>0</v>
      </c>
      <c r="C19" s="12">
        <f>STDEV(C2:C16)</f>
        <v>0</v>
      </c>
      <c r="D19" s="12">
        <f>STDEV(D2:D16)</f>
        <v>0</v>
      </c>
      <c r="E19" s="17">
        <f>STDEV(E2:E16)</f>
        <v>0</v>
      </c>
      <c r="M19" s="1">
        <v>29</v>
      </c>
      <c r="N19" s="1">
        <v>6</v>
      </c>
      <c r="O19" s="1">
        <v>2</v>
      </c>
      <c r="U19" s="35" t="s">
        <v>60</v>
      </c>
      <c r="V19" s="1">
        <v>0.39333333333333331</v>
      </c>
      <c r="W19" s="1">
        <v>1</v>
      </c>
    </row>
    <row r="20" spans="1:23" x14ac:dyDescent="0.25">
      <c r="M20" s="1">
        <v>1</v>
      </c>
      <c r="N20" s="1">
        <v>11</v>
      </c>
      <c r="O20" s="1">
        <v>16</v>
      </c>
      <c r="U20" s="35" t="s">
        <v>60</v>
      </c>
      <c r="V20" s="1">
        <v>0.36</v>
      </c>
      <c r="W20" s="1">
        <v>2</v>
      </c>
    </row>
    <row r="21" spans="1:23" x14ac:dyDescent="0.25">
      <c r="M21" s="1">
        <v>0</v>
      </c>
      <c r="N21" s="1">
        <v>10</v>
      </c>
      <c r="O21" s="1">
        <v>11</v>
      </c>
      <c r="U21" s="35" t="s">
        <v>60</v>
      </c>
      <c r="V21" s="1">
        <v>0.21333333333333335</v>
      </c>
      <c r="W21" s="1">
        <v>3</v>
      </c>
    </row>
    <row r="22" spans="1:23" x14ac:dyDescent="0.25">
      <c r="A22" s="19" t="str">
        <f>'Tabelle 1'!A43</f>
        <v>Mock B</v>
      </c>
      <c r="B22" s="19" t="s">
        <v>36</v>
      </c>
      <c r="C22" s="19" t="s">
        <v>37</v>
      </c>
      <c r="D22" s="19" t="s">
        <v>38</v>
      </c>
      <c r="E22" s="19" t="s">
        <v>39</v>
      </c>
      <c r="H22" s="33" t="s">
        <v>40</v>
      </c>
      <c r="M22" s="1">
        <v>0</v>
      </c>
      <c r="N22" s="1">
        <v>3</v>
      </c>
      <c r="O22" s="1">
        <v>1</v>
      </c>
      <c r="U22" s="35" t="s">
        <v>60</v>
      </c>
      <c r="V22" s="1">
        <v>3.3333333333333333E-2</v>
      </c>
      <c r="W22" s="1">
        <v>4</v>
      </c>
    </row>
    <row r="23" spans="1:23" x14ac:dyDescent="0.25">
      <c r="A23" s="12">
        <v>1</v>
      </c>
      <c r="B23" s="12">
        <f>VLOOKUP('Tabelle 1'!B45,'Degree of Symptoms'!$J$9:$K$13,2)</f>
        <v>5</v>
      </c>
      <c r="C23" s="12">
        <f>VLOOKUP('Tabelle 1'!C45,'Degree of Symptoms'!$J$13:$K$22,2)</f>
        <v>5</v>
      </c>
      <c r="D23" s="12">
        <f>VLOOKUP('Tabelle 1'!D45,'Degree of Symptoms'!$J$26:$K$30,2)</f>
        <v>5</v>
      </c>
      <c r="E23" s="17">
        <f t="shared" ref="E23:E37" si="8">AVERAGE(B23:D23)</f>
        <v>5</v>
      </c>
      <c r="G23" s="34" t="s">
        <v>41</v>
      </c>
      <c r="H23" s="1">
        <f>COUNTIFS($E$23:$E$37,"&lt;1,99",$E$23:$E$37,"&gt;=1")</f>
        <v>0</v>
      </c>
      <c r="M23" s="1">
        <v>0</v>
      </c>
      <c r="N23" s="1">
        <v>0</v>
      </c>
      <c r="O23" s="1">
        <v>0</v>
      </c>
      <c r="U23" s="35" t="s">
        <v>62</v>
      </c>
      <c r="V23" s="1">
        <v>0.18333333333333332</v>
      </c>
      <c r="W23" s="1">
        <v>1</v>
      </c>
    </row>
    <row r="24" spans="1:23" x14ac:dyDescent="0.25">
      <c r="A24" s="12">
        <v>2</v>
      </c>
      <c r="B24" s="12">
        <f>VLOOKUP('Tabelle 1'!B46,'Degree of Symptoms'!$J$9:$K$13,2)</f>
        <v>5</v>
      </c>
      <c r="C24" s="12">
        <f>VLOOKUP('Tabelle 1'!C46,'Degree of Symptoms'!$J$13:$K$22,2)</f>
        <v>5</v>
      </c>
      <c r="D24" s="12">
        <f>VLOOKUP('Tabelle 1'!D46,'Degree of Symptoms'!$J$26:$K$30,2)</f>
        <v>5</v>
      </c>
      <c r="E24" s="17">
        <f t="shared" si="8"/>
        <v>5</v>
      </c>
      <c r="G24" s="34" t="s">
        <v>42</v>
      </c>
      <c r="H24" s="1">
        <f>COUNTIFS($E$23:$E$37,"&lt;2,99",$E$23:$E$37,"&gt;=2")</f>
        <v>0</v>
      </c>
      <c r="U24" s="35" t="s">
        <v>62</v>
      </c>
      <c r="V24" s="1">
        <v>0.23333333333333334</v>
      </c>
      <c r="W24" s="1">
        <v>2</v>
      </c>
    </row>
    <row r="25" spans="1:23" x14ac:dyDescent="0.25">
      <c r="A25" s="12">
        <v>3</v>
      </c>
      <c r="B25" s="12">
        <f>VLOOKUP('Tabelle 1'!B47,'Degree of Symptoms'!$J$9:$K$13,2)</f>
        <v>5</v>
      </c>
      <c r="C25" s="12">
        <f>VLOOKUP('Tabelle 1'!C47,'Degree of Symptoms'!$J$13:$K$22,2)</f>
        <v>5</v>
      </c>
      <c r="D25" s="12">
        <f>VLOOKUP('Tabelle 1'!D47,'Degree of Symptoms'!$J$26:$K$30,2)</f>
        <v>5</v>
      </c>
      <c r="E25" s="17">
        <f t="shared" si="8"/>
        <v>5</v>
      </c>
      <c r="G25" s="34" t="s">
        <v>44</v>
      </c>
      <c r="H25" s="1">
        <f>COUNTIFS($E$23:$E$37,"&lt;3,99",$E$23:$E$37,"&gt;=3")</f>
        <v>0</v>
      </c>
      <c r="M25" s="1" t="s">
        <v>2</v>
      </c>
      <c r="N25" s="1" t="s">
        <v>56</v>
      </c>
      <c r="O25" s="1" t="s">
        <v>59</v>
      </c>
      <c r="U25" s="35" t="s">
        <v>62</v>
      </c>
      <c r="V25" s="1">
        <v>0.53333333333333333</v>
      </c>
      <c r="W25" s="1">
        <v>3</v>
      </c>
    </row>
    <row r="26" spans="1:23" x14ac:dyDescent="0.25">
      <c r="A26" s="12">
        <v>4</v>
      </c>
      <c r="B26" s="12">
        <f>VLOOKUP('Tabelle 1'!B48,'Degree of Symptoms'!$J$9:$K$13,2)</f>
        <v>5</v>
      </c>
      <c r="C26" s="12">
        <f>VLOOKUP('Tabelle 1'!C48,'Degree of Symptoms'!$J$13:$K$22,2)</f>
        <v>5</v>
      </c>
      <c r="D26" s="12">
        <f>VLOOKUP('Tabelle 1'!D48,'Degree of Symptoms'!$J$26:$K$30,2)</f>
        <v>5</v>
      </c>
      <c r="E26" s="17">
        <f t="shared" si="8"/>
        <v>5</v>
      </c>
      <c r="G26" s="34" t="s">
        <v>46</v>
      </c>
      <c r="H26" s="1">
        <f>COUNTIFS($E$23:$E$37,"&lt;4,99",$E$23:$E$37,"&gt;=4")</f>
        <v>0</v>
      </c>
      <c r="M26" s="1">
        <v>29</v>
      </c>
      <c r="N26" s="1">
        <v>9</v>
      </c>
      <c r="O26" s="1">
        <v>20</v>
      </c>
      <c r="U26" s="35" t="s">
        <v>62</v>
      </c>
      <c r="V26" s="1">
        <v>0.05</v>
      </c>
      <c r="W26" s="1">
        <v>4</v>
      </c>
    </row>
    <row r="27" spans="1:23" x14ac:dyDescent="0.25">
      <c r="A27" s="12">
        <v>5</v>
      </c>
      <c r="B27" s="12">
        <f>VLOOKUP('Tabelle 1'!B49,'Degree of Symptoms'!$J$9:$K$13,2)</f>
        <v>5</v>
      </c>
      <c r="C27" s="12">
        <f>VLOOKUP('Tabelle 1'!C49,'Degree of Symptoms'!$J$13:$K$22,2)</f>
        <v>5</v>
      </c>
      <c r="D27" s="12">
        <f>VLOOKUP('Tabelle 1'!D49,'Degree of Symptoms'!$J$26:$K$30,2)</f>
        <v>5</v>
      </c>
      <c r="E27" s="17">
        <f t="shared" si="8"/>
        <v>5</v>
      </c>
      <c r="G27" s="34">
        <v>5</v>
      </c>
      <c r="H27" s="1">
        <f>COUNTIF($E$23:$E$37,"&gt;=5")</f>
        <v>15</v>
      </c>
      <c r="M27" s="1">
        <v>1</v>
      </c>
      <c r="N27" s="1">
        <v>19</v>
      </c>
      <c r="O27" s="1">
        <v>8</v>
      </c>
      <c r="U27" s="36" t="s">
        <v>63</v>
      </c>
      <c r="V27" s="1">
        <v>0.33333333333333331</v>
      </c>
      <c r="W27" s="1">
        <v>1</v>
      </c>
    </row>
    <row r="28" spans="1:23" x14ac:dyDescent="0.25">
      <c r="A28" s="12">
        <v>6</v>
      </c>
      <c r="B28" s="12">
        <f>VLOOKUP('Tabelle 1'!B50,'Degree of Symptoms'!$J$9:$K$13,2)</f>
        <v>5</v>
      </c>
      <c r="C28" s="12">
        <f>VLOOKUP('Tabelle 1'!C50,'Degree of Symptoms'!$J$13:$K$22,2)</f>
        <v>5</v>
      </c>
      <c r="D28" s="12">
        <f>VLOOKUP('Tabelle 1'!D50,'Degree of Symptoms'!$J$26:$K$30,2)</f>
        <v>5</v>
      </c>
      <c r="E28" s="17">
        <f t="shared" si="8"/>
        <v>5</v>
      </c>
      <c r="H28" s="1">
        <f>SUM(H23:H27)</f>
        <v>15</v>
      </c>
      <c r="M28" s="1">
        <v>0</v>
      </c>
      <c r="N28" s="1">
        <v>2</v>
      </c>
      <c r="O28" s="1">
        <v>2</v>
      </c>
      <c r="U28" s="36" t="s">
        <v>63</v>
      </c>
      <c r="V28" s="1">
        <v>0.23333333333333334</v>
      </c>
      <c r="W28" s="1">
        <v>2</v>
      </c>
    </row>
    <row r="29" spans="1:23" x14ac:dyDescent="0.25">
      <c r="A29" s="12">
        <v>7</v>
      </c>
      <c r="B29" s="12">
        <f>VLOOKUP('Tabelle 1'!B51,'Degree of Symptoms'!$J$9:$K$13,2)</f>
        <v>5</v>
      </c>
      <c r="C29" s="12">
        <f>VLOOKUP('Tabelle 1'!C51,'Degree of Symptoms'!$J$13:$K$22,2)</f>
        <v>5</v>
      </c>
      <c r="D29" s="12">
        <f>VLOOKUP('Tabelle 1'!D51,'Degree of Symptoms'!$J$26:$K$30,2)</f>
        <v>5</v>
      </c>
      <c r="E29" s="17">
        <f t="shared" si="8"/>
        <v>5</v>
      </c>
      <c r="M29" s="1">
        <v>0</v>
      </c>
      <c r="N29" s="1">
        <v>0</v>
      </c>
      <c r="O29" s="1">
        <v>0</v>
      </c>
      <c r="U29" s="36" t="s">
        <v>63</v>
      </c>
      <c r="V29" s="1">
        <v>0.33333333333333331</v>
      </c>
      <c r="W29" s="1">
        <v>3</v>
      </c>
    </row>
    <row r="30" spans="1:23" x14ac:dyDescent="0.25">
      <c r="A30" s="12">
        <v>8</v>
      </c>
      <c r="B30" s="12">
        <f>VLOOKUP('Tabelle 1'!B52,'Degree of Symptoms'!$J$9:$K$13,2)</f>
        <v>5</v>
      </c>
      <c r="C30" s="12">
        <f>VLOOKUP('Tabelle 1'!C52,'Degree of Symptoms'!$J$13:$K$22,2)</f>
        <v>5</v>
      </c>
      <c r="D30" s="12">
        <f>VLOOKUP('Tabelle 1'!D52,'Degree of Symptoms'!$J$26:$K$30,2)</f>
        <v>5</v>
      </c>
      <c r="E30" s="17">
        <f t="shared" si="8"/>
        <v>5</v>
      </c>
      <c r="F30" s="1" t="s">
        <v>50</v>
      </c>
      <c r="M30" s="1">
        <v>0</v>
      </c>
      <c r="N30" s="1">
        <v>0</v>
      </c>
      <c r="O30" s="1">
        <v>0</v>
      </c>
      <c r="U30" s="36" t="s">
        <v>63</v>
      </c>
      <c r="V30" s="1">
        <v>0.1</v>
      </c>
      <c r="W30" s="1">
        <v>4</v>
      </c>
    </row>
    <row r="31" spans="1:23" x14ac:dyDescent="0.25">
      <c r="A31" s="12">
        <v>9</v>
      </c>
      <c r="B31" s="12">
        <f>VLOOKUP('Tabelle 1'!B53,'Degree of Symptoms'!$J$9:$K$13,2)</f>
        <v>5</v>
      </c>
      <c r="C31" s="12">
        <f>VLOOKUP('Tabelle 1'!C53,'Degree of Symptoms'!$J$13:$K$22,2)</f>
        <v>5</v>
      </c>
      <c r="D31" s="12">
        <f>VLOOKUP('Tabelle 1'!D53,'Degree of Symptoms'!$J$26:$K$30,2)</f>
        <v>5</v>
      </c>
      <c r="E31" s="17">
        <f t="shared" si="8"/>
        <v>5</v>
      </c>
      <c r="G31" s="33"/>
      <c r="H31" s="33"/>
      <c r="I31" s="33"/>
      <c r="U31" s="35" t="s">
        <v>59</v>
      </c>
      <c r="V31" s="1">
        <v>0.32777777777777778</v>
      </c>
      <c r="W31" s="1">
        <v>1</v>
      </c>
    </row>
    <row r="32" spans="1:23" x14ac:dyDescent="0.25">
      <c r="A32" s="12">
        <v>10</v>
      </c>
      <c r="B32" s="12">
        <f>VLOOKUP('Tabelle 1'!B54,'Degree of Symptoms'!$J$9:$K$13,2)</f>
        <v>5</v>
      </c>
      <c r="C32" s="12">
        <f>VLOOKUP('Tabelle 1'!C54,'Degree of Symptoms'!$J$13:$K$22,2)</f>
        <v>5</v>
      </c>
      <c r="D32" s="12">
        <f>VLOOKUP('Tabelle 1'!D54,'Degree of Symptoms'!$J$26:$K$30,2)</f>
        <v>5</v>
      </c>
      <c r="E32" s="17">
        <f t="shared" si="8"/>
        <v>5</v>
      </c>
      <c r="G32" s="33"/>
      <c r="H32" s="2"/>
      <c r="I32" s="2"/>
      <c r="M32" s="1" t="s">
        <v>58</v>
      </c>
      <c r="N32" s="1" t="s">
        <v>56</v>
      </c>
      <c r="O32" s="1" t="s">
        <v>64</v>
      </c>
      <c r="U32" s="35" t="s">
        <v>59</v>
      </c>
      <c r="V32" s="1">
        <v>0.37777777777777777</v>
      </c>
      <c r="W32" s="1">
        <v>2</v>
      </c>
    </row>
    <row r="33" spans="1:23" x14ac:dyDescent="0.25">
      <c r="A33" s="12">
        <v>11</v>
      </c>
      <c r="B33" s="12">
        <f>VLOOKUP('Tabelle 1'!B55,'Degree of Symptoms'!$J$9:$K$13,2)</f>
        <v>5</v>
      </c>
      <c r="C33" s="12">
        <f>VLOOKUP('Tabelle 1'!C55,'Degree of Symptoms'!$J$13:$K$22,2)</f>
        <v>5</v>
      </c>
      <c r="D33" s="12">
        <f>VLOOKUP('Tabelle 1'!D55,'Degree of Symptoms'!$J$26:$K$30,2)</f>
        <v>5</v>
      </c>
      <c r="E33" s="17">
        <f t="shared" si="8"/>
        <v>5</v>
      </c>
      <c r="G33" s="33"/>
      <c r="H33" s="2"/>
      <c r="I33" s="2"/>
      <c r="M33" s="1">
        <v>30</v>
      </c>
      <c r="N33" s="1">
        <v>1</v>
      </c>
      <c r="O33" s="1">
        <v>9</v>
      </c>
      <c r="U33" s="35" t="s">
        <v>59</v>
      </c>
      <c r="V33" s="1">
        <v>0.24444444444444444</v>
      </c>
      <c r="W33" s="1">
        <v>3</v>
      </c>
    </row>
    <row r="34" spans="1:23" x14ac:dyDescent="0.25">
      <c r="A34" s="12">
        <v>12</v>
      </c>
      <c r="B34" s="12">
        <f>VLOOKUP('Tabelle 1'!B56,'Degree of Symptoms'!$J$9:$K$13,2)</f>
        <v>5</v>
      </c>
      <c r="C34" s="12">
        <f>VLOOKUP('Tabelle 1'!C56,'Degree of Symptoms'!$J$13:$K$22,2)</f>
        <v>5</v>
      </c>
      <c r="D34" s="12">
        <f>VLOOKUP('Tabelle 1'!D56,'Degree of Symptoms'!$J$26:$K$30,2)</f>
        <v>5</v>
      </c>
      <c r="E34" s="17">
        <f t="shared" si="8"/>
        <v>5</v>
      </c>
      <c r="G34" s="33"/>
      <c r="H34" s="2"/>
      <c r="I34" s="2"/>
      <c r="M34" s="1">
        <v>0</v>
      </c>
      <c r="N34" s="1">
        <v>5</v>
      </c>
      <c r="O34" s="1">
        <v>21</v>
      </c>
      <c r="U34" s="35" t="s">
        <v>59</v>
      </c>
      <c r="V34" s="1">
        <v>0.05</v>
      </c>
      <c r="W34" s="1">
        <v>4</v>
      </c>
    </row>
    <row r="35" spans="1:23" x14ac:dyDescent="0.25">
      <c r="A35" s="12">
        <v>13</v>
      </c>
      <c r="B35" s="12">
        <f>VLOOKUP('Tabelle 1'!B57,'Degree of Symptoms'!$J$9:$K$13,2)</f>
        <v>5</v>
      </c>
      <c r="C35" s="12">
        <f>VLOOKUP('Tabelle 1'!C57,'Degree of Symptoms'!$J$13:$K$22,2)</f>
        <v>5</v>
      </c>
      <c r="D35" s="12">
        <f>VLOOKUP('Tabelle 1'!D57,'Degree of Symptoms'!$J$26:$K$30,2)</f>
        <v>5</v>
      </c>
      <c r="E35" s="17">
        <f t="shared" si="8"/>
        <v>5</v>
      </c>
      <c r="G35" s="33"/>
      <c r="H35" s="2"/>
      <c r="I35" s="2"/>
      <c r="M35" s="1">
        <v>0</v>
      </c>
      <c r="N35" s="1">
        <v>16</v>
      </c>
      <c r="O35" s="1">
        <v>22</v>
      </c>
    </row>
    <row r="36" spans="1:23" x14ac:dyDescent="0.25">
      <c r="A36" s="12">
        <v>14</v>
      </c>
      <c r="B36" s="12">
        <f>VLOOKUP('Tabelle 1'!B58,'Degree of Symptoms'!$J$9:$K$13,2)</f>
        <v>5</v>
      </c>
      <c r="C36" s="12">
        <f>VLOOKUP('Tabelle 1'!C58,'Degree of Symptoms'!$J$13:$K$22,2)</f>
        <v>5</v>
      </c>
      <c r="D36" s="12">
        <f>VLOOKUP('Tabelle 1'!D58,'Degree of Symptoms'!$J$26:$K$30,2)</f>
        <v>5</v>
      </c>
      <c r="E36" s="17">
        <f t="shared" si="8"/>
        <v>5</v>
      </c>
      <c r="G36" s="33"/>
      <c r="H36" s="2"/>
      <c r="I36" s="2"/>
      <c r="M36" s="1">
        <v>0</v>
      </c>
      <c r="N36" s="1">
        <v>8</v>
      </c>
      <c r="O36" s="1">
        <v>8</v>
      </c>
    </row>
    <row r="37" spans="1:23" x14ac:dyDescent="0.25">
      <c r="A37" s="12">
        <v>15</v>
      </c>
      <c r="B37" s="12">
        <f>VLOOKUP('Tabelle 1'!B59,'Degree of Symptoms'!$J$9:$K$13,2)</f>
        <v>5</v>
      </c>
      <c r="C37" s="12">
        <f>VLOOKUP('Tabelle 1'!C59,'Degree of Symptoms'!$J$13:$K$22,2)</f>
        <v>5</v>
      </c>
      <c r="D37" s="12">
        <f>VLOOKUP('Tabelle 1'!D59,'Degree of Symptoms'!$J$26:$K$30,2)</f>
        <v>5</v>
      </c>
      <c r="E37" s="17">
        <f t="shared" si="8"/>
        <v>5</v>
      </c>
      <c r="M37" s="1">
        <v>0</v>
      </c>
      <c r="N37" s="1">
        <v>0</v>
      </c>
      <c r="O37" s="1">
        <v>0</v>
      </c>
    </row>
    <row r="38" spans="1:23" x14ac:dyDescent="0.25">
      <c r="A38" s="12"/>
      <c r="B38" s="12"/>
      <c r="C38" s="12"/>
      <c r="D38" s="12"/>
      <c r="E38" s="17"/>
      <c r="F38" s="2" t="s">
        <v>12</v>
      </c>
    </row>
    <row r="39" spans="1:23" x14ac:dyDescent="0.25">
      <c r="A39" s="19" t="s">
        <v>48</v>
      </c>
      <c r="B39" s="12">
        <f>AVERAGE(B23:B37)</f>
        <v>5</v>
      </c>
      <c r="C39" s="12">
        <f>AVERAGE(C23:C37)</f>
        <v>5</v>
      </c>
      <c r="D39" s="12">
        <f>AVERAGE(D23:D37)</f>
        <v>5</v>
      </c>
      <c r="E39" s="17">
        <f>AVERAGE(E23:E37)</f>
        <v>5</v>
      </c>
      <c r="F39" s="2">
        <f>'Tabelle 1'!F61</f>
        <v>15</v>
      </c>
      <c r="M39" s="1" t="s">
        <v>58</v>
      </c>
      <c r="N39" s="1" t="s">
        <v>56</v>
      </c>
      <c r="O39" s="1" t="s">
        <v>57</v>
      </c>
      <c r="P39" s="1" t="s">
        <v>62</v>
      </c>
      <c r="Q39" s="1" t="s">
        <v>63</v>
      </c>
    </row>
    <row r="40" spans="1:23" x14ac:dyDescent="0.25">
      <c r="A40" s="19" t="s">
        <v>49</v>
      </c>
      <c r="B40" s="12">
        <f>STDEV(B23:B37)</f>
        <v>0</v>
      </c>
      <c r="C40" s="12">
        <f>STDEV(C23:C37)</f>
        <v>0</v>
      </c>
      <c r="D40" s="12">
        <f>STDEV(D23:D37)</f>
        <v>0</v>
      </c>
      <c r="E40" s="17">
        <f>STDEV(E23:E37)</f>
        <v>0</v>
      </c>
      <c r="M40" s="1">
        <v>30</v>
      </c>
      <c r="N40" s="1">
        <v>6</v>
      </c>
      <c r="O40" s="1">
        <v>23</v>
      </c>
      <c r="P40" s="1">
        <v>9</v>
      </c>
      <c r="Q40" s="1">
        <v>10</v>
      </c>
    </row>
    <row r="41" spans="1:23" x14ac:dyDescent="0.25">
      <c r="M41" s="1">
        <v>0</v>
      </c>
      <c r="N41" s="1">
        <v>7</v>
      </c>
      <c r="O41" s="1">
        <v>16</v>
      </c>
      <c r="P41" s="1">
        <v>6</v>
      </c>
      <c r="Q41" s="1">
        <v>7</v>
      </c>
    </row>
    <row r="42" spans="1:23" x14ac:dyDescent="0.25">
      <c r="M42" s="1">
        <v>0</v>
      </c>
      <c r="N42" s="1">
        <v>15</v>
      </c>
      <c r="O42" s="1">
        <v>18</v>
      </c>
      <c r="P42" s="1">
        <v>14</v>
      </c>
      <c r="Q42" s="1">
        <v>10</v>
      </c>
    </row>
    <row r="43" spans="1:23" x14ac:dyDescent="0.25">
      <c r="A43" s="9">
        <f>'Tabelle 1'!A64</f>
        <v>3</v>
      </c>
      <c r="B43" s="19" t="s">
        <v>36</v>
      </c>
      <c r="C43" s="19" t="s">
        <v>37</v>
      </c>
      <c r="D43" s="19" t="s">
        <v>38</v>
      </c>
      <c r="E43" s="19" t="s">
        <v>39</v>
      </c>
      <c r="H43" s="33" t="s">
        <v>40</v>
      </c>
      <c r="M43" s="1">
        <v>0</v>
      </c>
      <c r="N43" s="1">
        <v>2</v>
      </c>
      <c r="O43" s="1">
        <v>3</v>
      </c>
      <c r="P43" s="1">
        <v>1</v>
      </c>
      <c r="Q43" s="1">
        <v>3</v>
      </c>
    </row>
    <row r="44" spans="1:23" x14ac:dyDescent="0.25">
      <c r="A44" s="12">
        <v>1</v>
      </c>
      <c r="B44" s="12">
        <f>VLOOKUP('Tabelle 1'!B66,'Degree of Symptoms'!$J$9:$K$13,2)</f>
        <v>5</v>
      </c>
      <c r="C44" s="12">
        <f>VLOOKUP('Tabelle 1'!C66,'Degree of Symptoms'!$J$13:$K$22,2)</f>
        <v>5</v>
      </c>
      <c r="D44" s="12">
        <f>VLOOKUP('Tabelle 1'!D66,'Degree of Symptoms'!$J$26:$K$30,2)</f>
        <v>5</v>
      </c>
      <c r="E44" s="17">
        <f t="shared" ref="E44:E58" si="9">AVERAGE(B44:D44)</f>
        <v>5</v>
      </c>
      <c r="G44" s="34" t="s">
        <v>41</v>
      </c>
      <c r="H44" s="1">
        <f>COUNTIFS($E$44:$E$58,"&lt;1,99",$E$44:$E$58,"&gt;=1")</f>
        <v>0</v>
      </c>
      <c r="M44" s="1">
        <v>0</v>
      </c>
      <c r="N44" s="1">
        <v>0</v>
      </c>
      <c r="O44" s="1">
        <v>0</v>
      </c>
      <c r="P44" s="1">
        <v>0</v>
      </c>
      <c r="Q44" s="1">
        <v>0</v>
      </c>
    </row>
    <row r="45" spans="1:23" x14ac:dyDescent="0.25">
      <c r="A45" s="12">
        <v>2</v>
      </c>
      <c r="B45" s="12">
        <f>VLOOKUP('Tabelle 1'!B67,'Degree of Symptoms'!$J$9:$K$13,2)</f>
        <v>5</v>
      </c>
      <c r="C45" s="12">
        <f>VLOOKUP('Tabelle 1'!C67,'Degree of Symptoms'!$J$13:$K$22,2)</f>
        <v>5</v>
      </c>
      <c r="D45" s="12">
        <f>VLOOKUP('Tabelle 1'!D67,'Degree of Symptoms'!$J$26:$K$30,2)</f>
        <v>5</v>
      </c>
      <c r="E45" s="17">
        <f t="shared" si="9"/>
        <v>5</v>
      </c>
      <c r="G45" s="34" t="s">
        <v>42</v>
      </c>
      <c r="H45" s="1">
        <f>COUNTIFS($E$44:$E$58,"&lt;2,99",$E$44:$E$58,"&gt;=2")</f>
        <v>0</v>
      </c>
    </row>
    <row r="46" spans="1:23" x14ac:dyDescent="0.25">
      <c r="A46" s="12">
        <v>3</v>
      </c>
      <c r="B46" s="12">
        <f>VLOOKUP('Tabelle 1'!B68,'Degree of Symptoms'!$J$9:$K$13,2)</f>
        <v>5</v>
      </c>
      <c r="C46" s="12">
        <f>VLOOKUP('Tabelle 1'!C68,'Degree of Symptoms'!$J$13:$K$22,2)</f>
        <v>5</v>
      </c>
      <c r="D46" s="12">
        <f>VLOOKUP('Tabelle 1'!D68,'Degree of Symptoms'!$J$26:$K$30,2)</f>
        <v>5</v>
      </c>
      <c r="E46" s="17">
        <f t="shared" si="9"/>
        <v>5</v>
      </c>
      <c r="G46" s="34" t="s">
        <v>44</v>
      </c>
      <c r="H46" s="1">
        <f>COUNTIFS($E$44:$E$58,"&lt;3,99",$E$44:$E$58,"&gt;=3")</f>
        <v>0</v>
      </c>
      <c r="M46" s="1" t="s">
        <v>2</v>
      </c>
      <c r="N46" s="1" t="s">
        <v>56</v>
      </c>
      <c r="O46" s="1" t="s">
        <v>57</v>
      </c>
      <c r="P46" s="1" t="s">
        <v>62</v>
      </c>
    </row>
    <row r="47" spans="1:23" x14ac:dyDescent="0.25">
      <c r="A47" s="12">
        <v>4</v>
      </c>
      <c r="B47" s="12">
        <f>VLOOKUP('Tabelle 1'!B69,'Degree of Symptoms'!$J$9:$K$13,2)</f>
        <v>5</v>
      </c>
      <c r="C47" s="12">
        <f>VLOOKUP('Tabelle 1'!C69,'Degree of Symptoms'!$J$13:$K$22,2)</f>
        <v>5</v>
      </c>
      <c r="D47" s="12">
        <f>VLOOKUP('Tabelle 1'!D69,'Degree of Symptoms'!$J$26:$K$30,2)</f>
        <v>5</v>
      </c>
      <c r="E47" s="17">
        <f t="shared" si="9"/>
        <v>5</v>
      </c>
      <c r="G47" s="34" t="s">
        <v>46</v>
      </c>
      <c r="H47" s="1">
        <f>COUNTIFS($E$44:$E$58,"&lt;4,99",$E$44:$E$58,"&gt;=4")</f>
        <v>0</v>
      </c>
      <c r="M47" s="1">
        <v>30</v>
      </c>
      <c r="N47" s="1">
        <v>0</v>
      </c>
      <c r="O47" s="1">
        <v>2</v>
      </c>
      <c r="P47" s="1">
        <v>2</v>
      </c>
    </row>
    <row r="48" spans="1:23" x14ac:dyDescent="0.25">
      <c r="A48" s="12">
        <v>5</v>
      </c>
      <c r="B48" s="12">
        <f>VLOOKUP('Tabelle 1'!B70,'Degree of Symptoms'!$J$9:$K$13,2)</f>
        <v>5</v>
      </c>
      <c r="C48" s="12">
        <f>VLOOKUP('Tabelle 1'!C70,'Degree of Symptoms'!$J$13:$K$22,2)</f>
        <v>5</v>
      </c>
      <c r="D48" s="12">
        <f>VLOOKUP('Tabelle 1'!D70,'Degree of Symptoms'!$J$26:$K$30,2)</f>
        <v>5</v>
      </c>
      <c r="E48" s="17">
        <f t="shared" si="9"/>
        <v>5</v>
      </c>
      <c r="G48" s="34">
        <v>5</v>
      </c>
      <c r="H48" s="1">
        <f>COUNTIF($E$44:$E$58,"&gt;=5")</f>
        <v>15</v>
      </c>
      <c r="M48" s="1">
        <v>0</v>
      </c>
      <c r="N48" s="1">
        <v>10</v>
      </c>
      <c r="O48" s="1">
        <v>12</v>
      </c>
      <c r="P48" s="1">
        <v>8</v>
      </c>
    </row>
    <row r="49" spans="1:16" x14ac:dyDescent="0.25">
      <c r="A49" s="12">
        <v>6</v>
      </c>
      <c r="B49" s="12">
        <f>VLOOKUP('Tabelle 1'!B71,'Degree of Symptoms'!$J$9:$K$13,2)</f>
        <v>5</v>
      </c>
      <c r="C49" s="12">
        <f>VLOOKUP('Tabelle 1'!C71,'Degree of Symptoms'!$J$13:$K$22,2)</f>
        <v>5</v>
      </c>
      <c r="D49" s="12">
        <f>VLOOKUP('Tabelle 1'!D71,'Degree of Symptoms'!$J$26:$K$30,2)</f>
        <v>5</v>
      </c>
      <c r="E49" s="17">
        <f t="shared" si="9"/>
        <v>5</v>
      </c>
      <c r="H49" s="1">
        <f>SUM(H44:H48)</f>
        <v>15</v>
      </c>
      <c r="M49" s="1">
        <v>0</v>
      </c>
      <c r="N49" s="1">
        <v>15</v>
      </c>
      <c r="O49" s="1">
        <v>14</v>
      </c>
      <c r="P49" s="1">
        <v>18</v>
      </c>
    </row>
    <row r="50" spans="1:16" x14ac:dyDescent="0.25">
      <c r="A50" s="12">
        <v>7</v>
      </c>
      <c r="B50" s="12">
        <f>VLOOKUP('Tabelle 1'!B72,'Degree of Symptoms'!$J$9:$K$13,2)</f>
        <v>5</v>
      </c>
      <c r="C50" s="12">
        <f>VLOOKUP('Tabelle 1'!C72,'Degree of Symptoms'!$J$13:$K$22,2)</f>
        <v>5</v>
      </c>
      <c r="D50" s="12">
        <f>VLOOKUP('Tabelle 1'!D72,'Degree of Symptoms'!$J$26:$K$30,2)</f>
        <v>5</v>
      </c>
      <c r="E50" s="17">
        <f t="shared" si="9"/>
        <v>5</v>
      </c>
      <c r="M50" s="1">
        <v>0</v>
      </c>
      <c r="N50" s="1">
        <v>5</v>
      </c>
      <c r="O50" s="1">
        <v>2</v>
      </c>
      <c r="P50" s="1">
        <v>2</v>
      </c>
    </row>
    <row r="51" spans="1:16" x14ac:dyDescent="0.25">
      <c r="A51" s="12">
        <v>8</v>
      </c>
      <c r="B51" s="12">
        <f>VLOOKUP('Tabelle 1'!B73,'Degree of Symptoms'!$J$9:$K$13,2)</f>
        <v>5</v>
      </c>
      <c r="C51" s="12">
        <f>VLOOKUP('Tabelle 1'!C73,'Degree of Symptoms'!$J$13:$K$22,2)</f>
        <v>5</v>
      </c>
      <c r="D51" s="12">
        <f>VLOOKUP('Tabelle 1'!D73,'Degree of Symptoms'!$J$26:$K$30,2)</f>
        <v>5</v>
      </c>
      <c r="E51" s="17">
        <f t="shared" si="9"/>
        <v>5</v>
      </c>
      <c r="M51" s="1">
        <v>0</v>
      </c>
      <c r="N51" s="1">
        <v>0</v>
      </c>
      <c r="O51" s="1">
        <v>0</v>
      </c>
      <c r="P51" s="1">
        <v>0</v>
      </c>
    </row>
    <row r="52" spans="1:16" x14ac:dyDescent="0.25">
      <c r="A52" s="12">
        <v>9</v>
      </c>
      <c r="B52" s="12">
        <f>VLOOKUP('Tabelle 1'!B74,'Degree of Symptoms'!$J$9:$K$13,2)</f>
        <v>5</v>
      </c>
      <c r="C52" s="12">
        <f>VLOOKUP('Tabelle 1'!C74,'Degree of Symptoms'!$J$13:$K$22,2)</f>
        <v>5</v>
      </c>
      <c r="D52" s="12">
        <f>VLOOKUP('Tabelle 1'!D74,'Degree of Symptoms'!$J$26:$K$30,2)</f>
        <v>5</v>
      </c>
      <c r="E52" s="17">
        <f t="shared" si="9"/>
        <v>5</v>
      </c>
      <c r="G52" s="33"/>
      <c r="H52" s="33"/>
      <c r="I52" s="33"/>
    </row>
    <row r="53" spans="1:16" x14ac:dyDescent="0.25">
      <c r="A53" s="12">
        <v>10</v>
      </c>
      <c r="B53" s="12">
        <f>VLOOKUP('Tabelle 1'!B75,'Degree of Symptoms'!$J$9:$K$13,2)</f>
        <v>5</v>
      </c>
      <c r="C53" s="12">
        <f>VLOOKUP('Tabelle 1'!C75,'Degree of Symptoms'!$J$13:$K$22,2)</f>
        <v>5</v>
      </c>
      <c r="D53" s="12">
        <f>VLOOKUP('Tabelle 1'!D75,'Degree of Symptoms'!$J$26:$K$30,2)</f>
        <v>5</v>
      </c>
      <c r="E53" s="17">
        <f t="shared" si="9"/>
        <v>5</v>
      </c>
      <c r="G53" s="33"/>
      <c r="H53" s="2"/>
      <c r="I53" s="2"/>
    </row>
    <row r="54" spans="1:16" x14ac:dyDescent="0.25">
      <c r="A54" s="12">
        <v>11</v>
      </c>
      <c r="B54" s="12">
        <f>VLOOKUP('Tabelle 1'!B76,'Degree of Symptoms'!$J$9:$K$13,2)</f>
        <v>5</v>
      </c>
      <c r="C54" s="12">
        <f>VLOOKUP('Tabelle 1'!C76,'Degree of Symptoms'!$J$13:$K$22,2)</f>
        <v>5</v>
      </c>
      <c r="D54" s="12">
        <f>VLOOKUP('Tabelle 1'!D76,'Degree of Symptoms'!$J$26:$K$30,2)</f>
        <v>5</v>
      </c>
      <c r="E54" s="17">
        <f t="shared" si="9"/>
        <v>5</v>
      </c>
      <c r="G54" s="33"/>
      <c r="H54" s="2"/>
      <c r="I54" s="2"/>
    </row>
    <row r="55" spans="1:16" x14ac:dyDescent="0.25">
      <c r="A55" s="12">
        <v>12</v>
      </c>
      <c r="B55" s="12">
        <f>VLOOKUP('Tabelle 1'!B77,'Degree of Symptoms'!$J$9:$K$13,2)</f>
        <v>5</v>
      </c>
      <c r="C55" s="12">
        <f>VLOOKUP('Tabelle 1'!C77,'Degree of Symptoms'!$J$13:$K$22,2)</f>
        <v>5</v>
      </c>
      <c r="D55" s="12">
        <f>VLOOKUP('Tabelle 1'!D77,'Degree of Symptoms'!$J$26:$K$30,2)</f>
        <v>5</v>
      </c>
      <c r="E55" s="17">
        <f t="shared" si="9"/>
        <v>5</v>
      </c>
      <c r="G55" s="33"/>
      <c r="H55" s="2"/>
      <c r="I55" s="2"/>
    </row>
    <row r="56" spans="1:16" x14ac:dyDescent="0.25">
      <c r="A56" s="12">
        <v>13</v>
      </c>
      <c r="B56" s="12">
        <f>VLOOKUP('Tabelle 1'!B78,'Degree of Symptoms'!$J$9:$K$13,2)</f>
        <v>5</v>
      </c>
      <c r="C56" s="12">
        <f>VLOOKUP('Tabelle 1'!C78,'Degree of Symptoms'!$J$13:$K$22,2)</f>
        <v>5</v>
      </c>
      <c r="D56" s="12">
        <f>VLOOKUP('Tabelle 1'!D78,'Degree of Symptoms'!$J$26:$K$30,2)</f>
        <v>5</v>
      </c>
      <c r="E56" s="17">
        <f t="shared" si="9"/>
        <v>5</v>
      </c>
      <c r="G56" s="33"/>
      <c r="H56" s="2"/>
      <c r="I56" s="2"/>
    </row>
    <row r="57" spans="1:16" x14ac:dyDescent="0.25">
      <c r="A57" s="12">
        <v>14</v>
      </c>
      <c r="B57" s="12">
        <f>VLOOKUP('Tabelle 1'!B79,'Degree of Symptoms'!$J$9:$K$13,2)</f>
        <v>5</v>
      </c>
      <c r="C57" s="12">
        <f>VLOOKUP('Tabelle 1'!C79,'Degree of Symptoms'!$J$13:$K$22,2)</f>
        <v>5</v>
      </c>
      <c r="D57" s="12">
        <f>VLOOKUP('Tabelle 1'!D79,'Degree of Symptoms'!$J$26:$K$30,2)</f>
        <v>5</v>
      </c>
      <c r="E57" s="17">
        <f t="shared" si="9"/>
        <v>5</v>
      </c>
      <c r="G57" s="33"/>
      <c r="H57" s="2"/>
      <c r="I57" s="2"/>
    </row>
    <row r="58" spans="1:16" x14ac:dyDescent="0.25">
      <c r="A58" s="12">
        <v>15</v>
      </c>
      <c r="B58" s="12">
        <f>VLOOKUP('Tabelle 1'!B80,'Degree of Symptoms'!$J$9:$K$13,2)</f>
        <v>5</v>
      </c>
      <c r="C58" s="12">
        <f>VLOOKUP('Tabelle 1'!C80,'Degree of Symptoms'!$J$13:$K$22,2)</f>
        <v>5</v>
      </c>
      <c r="D58" s="12">
        <f>VLOOKUP('Tabelle 1'!D80,'Degree of Symptoms'!$J$26:$K$30,2)</f>
        <v>5</v>
      </c>
      <c r="E58" s="17">
        <f t="shared" si="9"/>
        <v>5</v>
      </c>
    </row>
    <row r="59" spans="1:16" x14ac:dyDescent="0.25">
      <c r="A59" s="12"/>
      <c r="B59" s="12"/>
      <c r="C59" s="12"/>
      <c r="D59" s="12"/>
      <c r="E59" s="17"/>
      <c r="F59" s="2" t="s">
        <v>12</v>
      </c>
    </row>
    <row r="60" spans="1:16" x14ac:dyDescent="0.25">
      <c r="A60" s="19" t="s">
        <v>48</v>
      </c>
      <c r="B60" s="12">
        <f>AVERAGE(B44:B58)</f>
        <v>5</v>
      </c>
      <c r="C60" s="12">
        <f>AVERAGE(C44:C58)</f>
        <v>5</v>
      </c>
      <c r="D60" s="12">
        <f>AVERAGE(D44:D58)</f>
        <v>5</v>
      </c>
      <c r="E60" s="17">
        <f>AVERAGE(E44:E58)</f>
        <v>5</v>
      </c>
      <c r="F60" s="2">
        <f>'Tabelle 1'!F82</f>
        <v>15</v>
      </c>
    </row>
    <row r="61" spans="1:16" x14ac:dyDescent="0.25">
      <c r="A61" s="19" t="s">
        <v>49</v>
      </c>
      <c r="B61" s="12">
        <f>STDEV(B44:B58)</f>
        <v>0</v>
      </c>
      <c r="C61" s="12">
        <f>STDEV(C44:C58)</f>
        <v>0</v>
      </c>
      <c r="D61" s="12">
        <f>STDEV(D44:D58)</f>
        <v>0</v>
      </c>
      <c r="E61" s="17">
        <f>STDEV(E44:E58)</f>
        <v>0</v>
      </c>
    </row>
    <row r="64" spans="1:16" x14ac:dyDescent="0.25">
      <c r="A64" s="9">
        <f>'Tabelle 1'!A85</f>
        <v>4</v>
      </c>
      <c r="B64" s="19" t="s">
        <v>36</v>
      </c>
      <c r="C64" s="19" t="s">
        <v>37</v>
      </c>
      <c r="D64" s="19" t="s">
        <v>38</v>
      </c>
      <c r="E64" s="19" t="s">
        <v>39</v>
      </c>
      <c r="H64" s="33" t="s">
        <v>40</v>
      </c>
    </row>
    <row r="65" spans="1:9" x14ac:dyDescent="0.25">
      <c r="A65" s="12">
        <v>1</v>
      </c>
      <c r="B65" s="12">
        <f>VLOOKUP('Tabelle 1'!B87,'Degree of Symptoms'!$J$9:$K$13,2)</f>
        <v>5</v>
      </c>
      <c r="C65" s="12">
        <f>VLOOKUP('Tabelle 1'!C87,'Degree of Symptoms'!$J$13:$K$22,2)</f>
        <v>5</v>
      </c>
      <c r="D65" s="12">
        <f>VLOOKUP('Tabelle 1'!D87,'Degree of Symptoms'!$J$26:$K$30,2)</f>
        <v>5</v>
      </c>
      <c r="E65" s="17">
        <f t="shared" ref="E65:E79" si="10">AVERAGE(B65:D65)</f>
        <v>5</v>
      </c>
      <c r="G65" s="34" t="s">
        <v>41</v>
      </c>
      <c r="H65" s="1">
        <f>COUNTIFS($E$65:$E$79,"&lt;1,99",$E$65:$E$79,"&gt;=1")</f>
        <v>0</v>
      </c>
    </row>
    <row r="66" spans="1:9" x14ac:dyDescent="0.25">
      <c r="A66" s="12">
        <v>2</v>
      </c>
      <c r="B66" s="12">
        <f>VLOOKUP('Tabelle 1'!B88,'Degree of Symptoms'!$J$9:$K$13,2)</f>
        <v>5</v>
      </c>
      <c r="C66" s="12">
        <f>VLOOKUP('Tabelle 1'!C88,'Degree of Symptoms'!$J$13:$K$22,2)</f>
        <v>5</v>
      </c>
      <c r="D66" s="12">
        <f>VLOOKUP('Tabelle 1'!D88,'Degree of Symptoms'!$J$26:$K$30,2)</f>
        <v>5</v>
      </c>
      <c r="E66" s="17">
        <f t="shared" si="10"/>
        <v>5</v>
      </c>
      <c r="G66" s="34" t="s">
        <v>42</v>
      </c>
      <c r="H66" s="1">
        <f>COUNTIFS($E$65:$E$79,"&lt;2,99",$E$65:$E$79,"&gt;=2")</f>
        <v>0</v>
      </c>
    </row>
    <row r="67" spans="1:9" x14ac:dyDescent="0.25">
      <c r="A67" s="12">
        <v>3</v>
      </c>
      <c r="B67" s="12">
        <f>VLOOKUP('Tabelle 1'!B89,'Degree of Symptoms'!$J$9:$K$13,2)</f>
        <v>5</v>
      </c>
      <c r="C67" s="12">
        <f>VLOOKUP('Tabelle 1'!C89,'Degree of Symptoms'!$J$13:$K$22,2)</f>
        <v>5</v>
      </c>
      <c r="D67" s="12">
        <f>VLOOKUP('Tabelle 1'!D89,'Degree of Symptoms'!$J$26:$K$30,2)</f>
        <v>5</v>
      </c>
      <c r="E67" s="17">
        <f t="shared" si="10"/>
        <v>5</v>
      </c>
      <c r="G67" s="34" t="s">
        <v>44</v>
      </c>
      <c r="H67" s="1">
        <f>COUNTIFS($E$65:$E$79,"&lt;3,99",$E$65:$E$79,"&gt;=3")</f>
        <v>0</v>
      </c>
    </row>
    <row r="68" spans="1:9" x14ac:dyDescent="0.25">
      <c r="A68" s="12">
        <v>4</v>
      </c>
      <c r="B68" s="12">
        <f>VLOOKUP('Tabelle 1'!B90,'Degree of Symptoms'!$J$9:$K$13,2)</f>
        <v>5</v>
      </c>
      <c r="C68" s="12">
        <f>VLOOKUP('Tabelle 1'!C90,'Degree of Symptoms'!$J$13:$K$22,2)</f>
        <v>5</v>
      </c>
      <c r="D68" s="12">
        <f>VLOOKUP('Tabelle 1'!D90,'Degree of Symptoms'!$J$26:$K$30,2)</f>
        <v>5</v>
      </c>
      <c r="E68" s="17">
        <f t="shared" si="10"/>
        <v>5</v>
      </c>
      <c r="G68" s="34" t="s">
        <v>46</v>
      </c>
      <c r="H68" s="1">
        <f>COUNTIFS($E$65:$E$79,"&lt;4,99",$E$65:$E$79,"&gt;=4")</f>
        <v>0</v>
      </c>
    </row>
    <row r="69" spans="1:9" x14ac:dyDescent="0.25">
      <c r="A69" s="12">
        <v>5</v>
      </c>
      <c r="B69" s="12">
        <f>VLOOKUP('Tabelle 1'!B91,'Degree of Symptoms'!$J$9:$K$13,2)</f>
        <v>5</v>
      </c>
      <c r="C69" s="12">
        <f>VLOOKUP('Tabelle 1'!C91,'Degree of Symptoms'!$J$13:$K$22,2)</f>
        <v>5</v>
      </c>
      <c r="D69" s="12">
        <f>VLOOKUP('Tabelle 1'!D91,'Degree of Symptoms'!$J$26:$K$30,2)</f>
        <v>5</v>
      </c>
      <c r="E69" s="17">
        <f t="shared" si="10"/>
        <v>5</v>
      </c>
      <c r="G69" s="34">
        <v>5</v>
      </c>
      <c r="H69" s="1">
        <f>COUNTIF($E$65:$E$79,"&gt;=5")</f>
        <v>15</v>
      </c>
    </row>
    <row r="70" spans="1:9" x14ac:dyDescent="0.25">
      <c r="A70" s="12">
        <v>6</v>
      </c>
      <c r="B70" s="12">
        <f>VLOOKUP('Tabelle 1'!B92,'Degree of Symptoms'!$J$9:$K$13,2)</f>
        <v>5</v>
      </c>
      <c r="C70" s="12">
        <f>VLOOKUP('Tabelle 1'!C92,'Degree of Symptoms'!$J$13:$K$22,2)</f>
        <v>5</v>
      </c>
      <c r="D70" s="12">
        <f>VLOOKUP('Tabelle 1'!D92,'Degree of Symptoms'!$J$26:$K$30,2)</f>
        <v>5</v>
      </c>
      <c r="E70" s="17">
        <f t="shared" si="10"/>
        <v>5</v>
      </c>
      <c r="H70" s="1">
        <f>SUM(H65:H69)</f>
        <v>15</v>
      </c>
    </row>
    <row r="71" spans="1:9" x14ac:dyDescent="0.25">
      <c r="A71" s="12">
        <v>7</v>
      </c>
      <c r="B71" s="12">
        <f>VLOOKUP('Tabelle 1'!B93,'Degree of Symptoms'!$J$9:$K$13,2)</f>
        <v>5</v>
      </c>
      <c r="C71" s="12">
        <f>VLOOKUP('Tabelle 1'!C93,'Degree of Symptoms'!$J$13:$K$22,2)</f>
        <v>5</v>
      </c>
      <c r="D71" s="12">
        <f>VLOOKUP('Tabelle 1'!D93,'Degree of Symptoms'!$J$26:$K$30,2)</f>
        <v>5</v>
      </c>
      <c r="E71" s="17">
        <f t="shared" si="10"/>
        <v>5</v>
      </c>
    </row>
    <row r="72" spans="1:9" x14ac:dyDescent="0.25">
      <c r="A72" s="12">
        <v>8</v>
      </c>
      <c r="B72" s="12">
        <f>VLOOKUP('Tabelle 1'!B94,'Degree of Symptoms'!$J$9:$K$13,2)</f>
        <v>5</v>
      </c>
      <c r="C72" s="12">
        <f>VLOOKUP('Tabelle 1'!C94,'Degree of Symptoms'!$J$13:$K$22,2)</f>
        <v>5</v>
      </c>
      <c r="D72" s="12">
        <f>VLOOKUP('Tabelle 1'!D94,'Degree of Symptoms'!$J$26:$K$30,2)</f>
        <v>5</v>
      </c>
      <c r="E72" s="17">
        <f t="shared" si="10"/>
        <v>5</v>
      </c>
    </row>
    <row r="73" spans="1:9" x14ac:dyDescent="0.25">
      <c r="A73" s="12">
        <v>9</v>
      </c>
      <c r="B73" s="12">
        <f>VLOOKUP('Tabelle 1'!B95,'Degree of Symptoms'!$J$9:$K$13,2)</f>
        <v>5</v>
      </c>
      <c r="C73" s="12">
        <f>VLOOKUP('Tabelle 1'!C95,'Degree of Symptoms'!$J$13:$K$22,2)</f>
        <v>5</v>
      </c>
      <c r="D73" s="12">
        <f>VLOOKUP('Tabelle 1'!D95,'Degree of Symptoms'!$J$26:$K$30,2)</f>
        <v>5</v>
      </c>
      <c r="E73" s="17">
        <f t="shared" si="10"/>
        <v>5</v>
      </c>
      <c r="G73" s="33"/>
      <c r="H73" s="33"/>
      <c r="I73" s="33"/>
    </row>
    <row r="74" spans="1:9" x14ac:dyDescent="0.25">
      <c r="A74" s="12">
        <v>10</v>
      </c>
      <c r="B74" s="12">
        <f>VLOOKUP('Tabelle 1'!B96,'Degree of Symptoms'!$J$9:$K$13,2)</f>
        <v>5</v>
      </c>
      <c r="C74" s="12">
        <f>VLOOKUP('Tabelle 1'!C96,'Degree of Symptoms'!$J$13:$K$22,2)</f>
        <v>5</v>
      </c>
      <c r="D74" s="12">
        <f>VLOOKUP('Tabelle 1'!D96,'Degree of Symptoms'!$J$26:$K$30,2)</f>
        <v>5</v>
      </c>
      <c r="E74" s="17">
        <f t="shared" si="10"/>
        <v>5</v>
      </c>
      <c r="G74" s="33"/>
      <c r="H74" s="2"/>
      <c r="I74" s="2"/>
    </row>
    <row r="75" spans="1:9" x14ac:dyDescent="0.25">
      <c r="A75" s="12">
        <v>11</v>
      </c>
      <c r="B75" s="12">
        <f>VLOOKUP('Tabelle 1'!B97,'Degree of Symptoms'!$J$9:$K$13,2)</f>
        <v>5</v>
      </c>
      <c r="C75" s="12">
        <f>VLOOKUP('Tabelle 1'!C97,'Degree of Symptoms'!$J$13:$K$22,2)</f>
        <v>5</v>
      </c>
      <c r="D75" s="12">
        <f>VLOOKUP('Tabelle 1'!D97,'Degree of Symptoms'!$J$26:$K$30,2)</f>
        <v>5</v>
      </c>
      <c r="E75" s="17">
        <f t="shared" si="10"/>
        <v>5</v>
      </c>
      <c r="G75" s="33"/>
      <c r="H75" s="2"/>
      <c r="I75" s="2"/>
    </row>
    <row r="76" spans="1:9" x14ac:dyDescent="0.25">
      <c r="A76" s="12">
        <v>12</v>
      </c>
      <c r="B76" s="12">
        <f>VLOOKUP('Tabelle 1'!B98,'Degree of Symptoms'!$J$9:$K$13,2)</f>
        <v>5</v>
      </c>
      <c r="C76" s="12">
        <f>VLOOKUP('Tabelle 1'!C98,'Degree of Symptoms'!$J$13:$K$22,2)</f>
        <v>5</v>
      </c>
      <c r="D76" s="12">
        <f>VLOOKUP('Tabelle 1'!D98,'Degree of Symptoms'!$J$26:$K$30,2)</f>
        <v>5</v>
      </c>
      <c r="E76" s="17">
        <f t="shared" si="10"/>
        <v>5</v>
      </c>
      <c r="G76" s="33"/>
      <c r="H76" s="2"/>
      <c r="I76" s="2"/>
    </row>
    <row r="77" spans="1:9" x14ac:dyDescent="0.25">
      <c r="A77" s="12">
        <v>13</v>
      </c>
      <c r="B77" s="12">
        <f>VLOOKUP('Tabelle 1'!B99,'Degree of Symptoms'!$J$9:$K$13,2)</f>
        <v>5</v>
      </c>
      <c r="C77" s="12">
        <f>VLOOKUP('Tabelle 1'!C99,'Degree of Symptoms'!$J$13:$K$22,2)</f>
        <v>5</v>
      </c>
      <c r="D77" s="12">
        <f>VLOOKUP('Tabelle 1'!D99,'Degree of Symptoms'!$J$26:$K$30,2)</f>
        <v>5</v>
      </c>
      <c r="E77" s="17">
        <f t="shared" si="10"/>
        <v>5</v>
      </c>
      <c r="G77" s="33"/>
      <c r="H77" s="2"/>
      <c r="I77" s="2"/>
    </row>
    <row r="78" spans="1:9" x14ac:dyDescent="0.25">
      <c r="A78" s="12">
        <v>14</v>
      </c>
      <c r="B78" s="12">
        <f>VLOOKUP('Tabelle 1'!B100,'Degree of Symptoms'!$J$9:$K$13,2)</f>
        <v>5</v>
      </c>
      <c r="C78" s="12">
        <f>VLOOKUP('Tabelle 1'!C100,'Degree of Symptoms'!$J$13:$K$22,2)</f>
        <v>5</v>
      </c>
      <c r="D78" s="12">
        <f>VLOOKUP('Tabelle 1'!D100,'Degree of Symptoms'!$J$26:$K$30,2)</f>
        <v>5</v>
      </c>
      <c r="E78" s="17">
        <f t="shared" si="10"/>
        <v>5</v>
      </c>
      <c r="G78" s="33"/>
      <c r="H78" s="2"/>
      <c r="I78" s="2"/>
    </row>
    <row r="79" spans="1:9" x14ac:dyDescent="0.25">
      <c r="A79" s="12">
        <v>15</v>
      </c>
      <c r="B79" s="12">
        <f>VLOOKUP('Tabelle 1'!B101,'Degree of Symptoms'!$J$9:$K$13,2)</f>
        <v>5</v>
      </c>
      <c r="C79" s="12">
        <f>VLOOKUP('Tabelle 1'!C101,'Degree of Symptoms'!$J$13:$K$22,2)</f>
        <v>5</v>
      </c>
      <c r="D79" s="12">
        <f>VLOOKUP('Tabelle 1'!D101,'Degree of Symptoms'!$J$26:$K$30,2)</f>
        <v>5</v>
      </c>
      <c r="E79" s="17">
        <f t="shared" si="10"/>
        <v>5</v>
      </c>
    </row>
    <row r="80" spans="1:9" x14ac:dyDescent="0.25">
      <c r="A80" s="12"/>
      <c r="B80" s="12"/>
      <c r="C80" s="12"/>
      <c r="D80" s="12"/>
      <c r="E80" s="17"/>
      <c r="F80" s="2" t="s">
        <v>12</v>
      </c>
    </row>
    <row r="81" spans="1:9" x14ac:dyDescent="0.25">
      <c r="A81" s="19" t="s">
        <v>48</v>
      </c>
      <c r="B81" s="12">
        <f>AVERAGE(B65:B79)</f>
        <v>5</v>
      </c>
      <c r="C81" s="12">
        <f>AVERAGE(C65:C79)</f>
        <v>5</v>
      </c>
      <c r="D81" s="12">
        <f>AVERAGE(D65:D79)</f>
        <v>5</v>
      </c>
      <c r="E81" s="17">
        <f>AVERAGE(E65:E79)</f>
        <v>5</v>
      </c>
      <c r="F81" s="2">
        <f>'Tabelle 1'!F103</f>
        <v>15</v>
      </c>
    </row>
    <row r="82" spans="1:9" x14ac:dyDescent="0.25">
      <c r="A82" s="19" t="s">
        <v>49</v>
      </c>
      <c r="B82" s="12">
        <f>STDEV(B65:B79)</f>
        <v>0</v>
      </c>
      <c r="C82" s="12">
        <f>STDEV(C65:C79)</f>
        <v>0</v>
      </c>
      <c r="D82" s="12">
        <f>STDEV(D65:D79)</f>
        <v>0</v>
      </c>
      <c r="E82" s="17">
        <f>STDEV(E65:E79)</f>
        <v>0</v>
      </c>
    </row>
    <row r="85" spans="1:9" x14ac:dyDescent="0.25">
      <c r="A85" s="9">
        <f>'Tabelle 1'!A106</f>
        <v>5</v>
      </c>
      <c r="B85" s="19" t="s">
        <v>36</v>
      </c>
      <c r="C85" s="19" t="s">
        <v>37</v>
      </c>
      <c r="D85" s="19" t="s">
        <v>38</v>
      </c>
      <c r="E85" s="19" t="s">
        <v>39</v>
      </c>
      <c r="H85" s="33" t="s">
        <v>40</v>
      </c>
    </row>
    <row r="86" spans="1:9" x14ac:dyDescent="0.25">
      <c r="A86" s="12">
        <v>1</v>
      </c>
      <c r="B86" s="12">
        <f>VLOOKUP('Tabelle 1'!B108,'Degree of Symptoms'!$J$9:$K$13,2)</f>
        <v>5</v>
      </c>
      <c r="C86" s="12">
        <f>VLOOKUP('Tabelle 1'!C108,'Degree of Symptoms'!$J$13:$K$22,2)</f>
        <v>5</v>
      </c>
      <c r="D86" s="12">
        <f>VLOOKUP('Tabelle 1'!D108,'Degree of Symptoms'!$J$26:$K$30,2)</f>
        <v>5</v>
      </c>
      <c r="E86" s="17">
        <f t="shared" ref="E86:E100" si="11">AVERAGE(B86:D86)</f>
        <v>5</v>
      </c>
      <c r="G86" s="34" t="s">
        <v>41</v>
      </c>
      <c r="H86" s="1">
        <f>COUNTIFS($E$86:$E$100,"&lt;1,99",$E$86:$E$100,"&gt;=1")</f>
        <v>0</v>
      </c>
    </row>
    <row r="87" spans="1:9" x14ac:dyDescent="0.25">
      <c r="A87" s="12">
        <v>2</v>
      </c>
      <c r="B87" s="12">
        <f>VLOOKUP('Tabelle 1'!B109,'Degree of Symptoms'!$J$9:$K$13,2)</f>
        <v>5</v>
      </c>
      <c r="C87" s="12">
        <f>VLOOKUP('Tabelle 1'!C109,'Degree of Symptoms'!$J$13:$K$22,2)</f>
        <v>5</v>
      </c>
      <c r="D87" s="12">
        <f>VLOOKUP('Tabelle 1'!D109,'Degree of Symptoms'!$J$26:$K$30,2)</f>
        <v>5</v>
      </c>
      <c r="E87" s="17">
        <f t="shared" si="11"/>
        <v>5</v>
      </c>
      <c r="G87" s="34" t="s">
        <v>42</v>
      </c>
      <c r="H87" s="1">
        <f>COUNTIFS($E$86:$E$100,"&lt;2,99",$E$86:$E$100,"&gt;=2")</f>
        <v>0</v>
      </c>
    </row>
    <row r="88" spans="1:9" x14ac:dyDescent="0.25">
      <c r="A88" s="12">
        <v>3</v>
      </c>
      <c r="B88" s="12">
        <f>VLOOKUP('Tabelle 1'!B110,'Degree of Symptoms'!$J$9:$K$13,2)</f>
        <v>5</v>
      </c>
      <c r="C88" s="12">
        <f>VLOOKUP('Tabelle 1'!C110,'Degree of Symptoms'!$J$13:$K$22,2)</f>
        <v>5</v>
      </c>
      <c r="D88" s="12">
        <f>VLOOKUP('Tabelle 1'!D110,'Degree of Symptoms'!$J$26:$K$30,2)</f>
        <v>5</v>
      </c>
      <c r="E88" s="17">
        <f t="shared" si="11"/>
        <v>5</v>
      </c>
      <c r="G88" s="34" t="s">
        <v>44</v>
      </c>
      <c r="H88" s="1">
        <f>COUNTIFS($E$86:$E$100,"&lt;3,99",$E$86:$E$100,"&gt;=3")</f>
        <v>0</v>
      </c>
    </row>
    <row r="89" spans="1:9" x14ac:dyDescent="0.25">
      <c r="A89" s="12">
        <v>4</v>
      </c>
      <c r="B89" s="12">
        <f>VLOOKUP('Tabelle 1'!B111,'Degree of Symptoms'!$J$9:$K$13,2)</f>
        <v>5</v>
      </c>
      <c r="C89" s="12">
        <f>VLOOKUP('Tabelle 1'!C111,'Degree of Symptoms'!$J$13:$K$22,2)</f>
        <v>5</v>
      </c>
      <c r="D89" s="12">
        <f>VLOOKUP('Tabelle 1'!D111,'Degree of Symptoms'!$J$26:$K$30,2)</f>
        <v>5</v>
      </c>
      <c r="E89" s="17">
        <f t="shared" si="11"/>
        <v>5</v>
      </c>
      <c r="G89" s="34" t="s">
        <v>46</v>
      </c>
      <c r="H89" s="1">
        <f>COUNTIFS($E$86:$E$100,"&lt;4,99",$E$86:$E$100,"&gt;=4")</f>
        <v>0</v>
      </c>
    </row>
    <row r="90" spans="1:9" x14ac:dyDescent="0.25">
      <c r="A90" s="12">
        <v>5</v>
      </c>
      <c r="B90" s="12">
        <f>VLOOKUP('Tabelle 1'!B112,'Degree of Symptoms'!$J$9:$K$13,2)</f>
        <v>5</v>
      </c>
      <c r="C90" s="12">
        <f>VLOOKUP('Tabelle 1'!C112,'Degree of Symptoms'!$J$13:$K$22,2)</f>
        <v>5</v>
      </c>
      <c r="D90" s="12">
        <f>VLOOKUP('Tabelle 1'!D112,'Degree of Symptoms'!$J$26:$K$30,2)</f>
        <v>5</v>
      </c>
      <c r="E90" s="17">
        <f t="shared" si="11"/>
        <v>5</v>
      </c>
      <c r="G90" s="34">
        <v>5</v>
      </c>
      <c r="H90" s="1">
        <f>COUNTIF($E$86:$E$100,"&gt;=5")</f>
        <v>15</v>
      </c>
    </row>
    <row r="91" spans="1:9" x14ac:dyDescent="0.25">
      <c r="A91" s="12">
        <v>6</v>
      </c>
      <c r="B91" s="12">
        <f>VLOOKUP('Tabelle 1'!B113,'Degree of Symptoms'!$J$9:$K$13,2)</f>
        <v>5</v>
      </c>
      <c r="C91" s="12">
        <f>VLOOKUP('Tabelle 1'!C113,'Degree of Symptoms'!$J$13:$K$22,2)</f>
        <v>5</v>
      </c>
      <c r="D91" s="12">
        <f>VLOOKUP('Tabelle 1'!D113,'Degree of Symptoms'!$J$26:$K$30,2)</f>
        <v>5</v>
      </c>
      <c r="E91" s="17">
        <f t="shared" si="11"/>
        <v>5</v>
      </c>
      <c r="H91" s="1">
        <f>SUM(H86:H90)</f>
        <v>15</v>
      </c>
    </row>
    <row r="92" spans="1:9" x14ac:dyDescent="0.25">
      <c r="A92" s="12">
        <v>7</v>
      </c>
      <c r="B92" s="12">
        <f>VLOOKUP('Tabelle 1'!B114,'Degree of Symptoms'!$J$9:$K$13,2)</f>
        <v>5</v>
      </c>
      <c r="C92" s="12">
        <f>VLOOKUP('Tabelle 1'!C114,'Degree of Symptoms'!$J$13:$K$22,2)</f>
        <v>5</v>
      </c>
      <c r="D92" s="12">
        <f>VLOOKUP('Tabelle 1'!D114,'Degree of Symptoms'!$J$26:$K$30,2)</f>
        <v>5</v>
      </c>
      <c r="E92" s="17">
        <f t="shared" si="11"/>
        <v>5</v>
      </c>
    </row>
    <row r="93" spans="1:9" x14ac:dyDescent="0.25">
      <c r="A93" s="12">
        <v>8</v>
      </c>
      <c r="B93" s="12">
        <f>VLOOKUP('Tabelle 1'!B115,'Degree of Symptoms'!$J$9:$K$13,2)</f>
        <v>5</v>
      </c>
      <c r="C93" s="12">
        <f>VLOOKUP('Tabelle 1'!C115,'Degree of Symptoms'!$J$13:$K$22,2)</f>
        <v>5</v>
      </c>
      <c r="D93" s="12">
        <f>VLOOKUP('Tabelle 1'!D115,'Degree of Symptoms'!$J$26:$K$30,2)</f>
        <v>5</v>
      </c>
      <c r="E93" s="17">
        <f t="shared" si="11"/>
        <v>5</v>
      </c>
    </row>
    <row r="94" spans="1:9" x14ac:dyDescent="0.25">
      <c r="A94" s="12">
        <v>9</v>
      </c>
      <c r="B94" s="12">
        <f>VLOOKUP('Tabelle 1'!B116,'Degree of Symptoms'!$J$9:$K$13,2)</f>
        <v>5</v>
      </c>
      <c r="C94" s="12">
        <f>VLOOKUP('Tabelle 1'!C116,'Degree of Symptoms'!$J$13:$K$22,2)</f>
        <v>5</v>
      </c>
      <c r="D94" s="12">
        <f>VLOOKUP('Tabelle 1'!D116,'Degree of Symptoms'!$J$26:$K$30,2)</f>
        <v>5</v>
      </c>
      <c r="E94" s="17">
        <f t="shared" si="11"/>
        <v>5</v>
      </c>
      <c r="G94" s="33"/>
      <c r="H94" s="33"/>
      <c r="I94" s="33"/>
    </row>
    <row r="95" spans="1:9" x14ac:dyDescent="0.25">
      <c r="A95" s="12">
        <v>10</v>
      </c>
      <c r="B95" s="12">
        <f>VLOOKUP('Tabelle 1'!B117,'Degree of Symptoms'!$J$9:$K$13,2)</f>
        <v>5</v>
      </c>
      <c r="C95" s="12">
        <f>VLOOKUP('Tabelle 1'!C117,'Degree of Symptoms'!$J$13:$K$22,2)</f>
        <v>5</v>
      </c>
      <c r="D95" s="12">
        <f>VLOOKUP('Tabelle 1'!D117,'Degree of Symptoms'!$J$26:$K$30,2)</f>
        <v>5</v>
      </c>
      <c r="E95" s="17">
        <f t="shared" si="11"/>
        <v>5</v>
      </c>
      <c r="G95" s="33"/>
      <c r="H95" s="2"/>
      <c r="I95" s="2"/>
    </row>
    <row r="96" spans="1:9" x14ac:dyDescent="0.25">
      <c r="A96" s="12">
        <v>11</v>
      </c>
      <c r="B96" s="12">
        <f>VLOOKUP('Tabelle 1'!B118,'Degree of Symptoms'!$J$9:$K$13,2)</f>
        <v>5</v>
      </c>
      <c r="C96" s="12">
        <f>VLOOKUP('Tabelle 1'!C118,'Degree of Symptoms'!$J$13:$K$22,2)</f>
        <v>5</v>
      </c>
      <c r="D96" s="12">
        <f>VLOOKUP('Tabelle 1'!D118,'Degree of Symptoms'!$J$26:$K$30,2)</f>
        <v>5</v>
      </c>
      <c r="E96" s="17">
        <f t="shared" si="11"/>
        <v>5</v>
      </c>
      <c r="G96" s="33"/>
      <c r="H96" s="2"/>
      <c r="I96" s="2"/>
    </row>
    <row r="97" spans="1:9" x14ac:dyDescent="0.25">
      <c r="A97" s="12">
        <v>12</v>
      </c>
      <c r="B97" s="12">
        <f>VLOOKUP('Tabelle 1'!B119,'Degree of Symptoms'!$J$9:$K$13,2)</f>
        <v>5</v>
      </c>
      <c r="C97" s="12">
        <f>VLOOKUP('Tabelle 1'!C119,'Degree of Symptoms'!$J$13:$K$22,2)</f>
        <v>5</v>
      </c>
      <c r="D97" s="12">
        <f>VLOOKUP('Tabelle 1'!D119,'Degree of Symptoms'!$J$26:$K$30,2)</f>
        <v>5</v>
      </c>
      <c r="E97" s="17">
        <f t="shared" si="11"/>
        <v>5</v>
      </c>
      <c r="G97" s="33"/>
      <c r="H97" s="2"/>
      <c r="I97" s="2"/>
    </row>
    <row r="98" spans="1:9" x14ac:dyDescent="0.25">
      <c r="A98" s="12">
        <v>13</v>
      </c>
      <c r="B98" s="12">
        <f>VLOOKUP('Tabelle 1'!B120,'Degree of Symptoms'!$J$9:$K$13,2)</f>
        <v>5</v>
      </c>
      <c r="C98" s="12">
        <f>VLOOKUP('Tabelle 1'!C120,'Degree of Symptoms'!$J$13:$K$22,2)</f>
        <v>5</v>
      </c>
      <c r="D98" s="12">
        <f>VLOOKUP('Tabelle 1'!D120,'Degree of Symptoms'!$J$26:$K$30,2)</f>
        <v>5</v>
      </c>
      <c r="E98" s="17">
        <f t="shared" si="11"/>
        <v>5</v>
      </c>
      <c r="G98" s="33"/>
      <c r="H98" s="2"/>
      <c r="I98" s="2"/>
    </row>
    <row r="99" spans="1:9" x14ac:dyDescent="0.25">
      <c r="A99" s="12">
        <v>14</v>
      </c>
      <c r="B99" s="12">
        <f>VLOOKUP('Tabelle 1'!B121,'Degree of Symptoms'!$J$9:$K$13,2)</f>
        <v>5</v>
      </c>
      <c r="C99" s="12">
        <f>VLOOKUP('Tabelle 1'!C121,'Degree of Symptoms'!$J$13:$K$22,2)</f>
        <v>5</v>
      </c>
      <c r="D99" s="12">
        <f>VLOOKUP('Tabelle 1'!D121,'Degree of Symptoms'!$J$26:$K$30,2)</f>
        <v>5</v>
      </c>
      <c r="E99" s="17">
        <f t="shared" si="11"/>
        <v>5</v>
      </c>
      <c r="G99" s="33"/>
      <c r="H99" s="2"/>
      <c r="I99" s="2"/>
    </row>
    <row r="100" spans="1:9" x14ac:dyDescent="0.25">
      <c r="A100" s="12">
        <v>15</v>
      </c>
      <c r="B100" s="12">
        <f>VLOOKUP('Tabelle 1'!B122,'Degree of Symptoms'!$J$9:$K$13,2)</f>
        <v>5</v>
      </c>
      <c r="C100" s="12">
        <f>VLOOKUP('Tabelle 1'!C122,'Degree of Symptoms'!$J$13:$K$22,2)</f>
        <v>5</v>
      </c>
      <c r="D100" s="12">
        <f>VLOOKUP('Tabelle 1'!D122,'Degree of Symptoms'!$J$26:$K$30,2)</f>
        <v>5</v>
      </c>
      <c r="E100" s="17">
        <f t="shared" si="11"/>
        <v>5</v>
      </c>
    </row>
    <row r="101" spans="1:9" x14ac:dyDescent="0.25">
      <c r="A101" s="12"/>
      <c r="B101" s="12"/>
      <c r="C101" s="12"/>
      <c r="D101" s="12"/>
      <c r="E101" s="17"/>
      <c r="F101" s="2" t="s">
        <v>12</v>
      </c>
    </row>
    <row r="102" spans="1:9" x14ac:dyDescent="0.25">
      <c r="A102" s="19" t="s">
        <v>48</v>
      </c>
      <c r="B102" s="12">
        <f>AVERAGE(B86:B100)</f>
        <v>5</v>
      </c>
      <c r="C102" s="12">
        <f>AVERAGE(C86:C100)</f>
        <v>5</v>
      </c>
      <c r="D102" s="12">
        <f>AVERAGE(D86:D100)</f>
        <v>5</v>
      </c>
      <c r="E102" s="17">
        <f>AVERAGE(E86:E100)</f>
        <v>5</v>
      </c>
      <c r="F102" s="2">
        <f>'Tabelle 1'!F124</f>
        <v>15</v>
      </c>
    </row>
    <row r="103" spans="1:9" x14ac:dyDescent="0.25">
      <c r="A103" s="19" t="s">
        <v>49</v>
      </c>
      <c r="B103" s="12">
        <f>STDEV(B86:B100)</f>
        <v>0</v>
      </c>
      <c r="C103" s="12">
        <f>STDEV(C86:C100)</f>
        <v>0</v>
      </c>
      <c r="D103" s="12">
        <f>STDEV(D86:D100)</f>
        <v>0</v>
      </c>
      <c r="E103" s="17">
        <f>STDEV(E86:E100)</f>
        <v>0</v>
      </c>
    </row>
    <row r="106" spans="1:9" x14ac:dyDescent="0.25">
      <c r="A106" s="9">
        <f>'Tabelle 1'!A127</f>
        <v>6</v>
      </c>
      <c r="B106" s="19" t="s">
        <v>36</v>
      </c>
      <c r="C106" s="19" t="s">
        <v>37</v>
      </c>
      <c r="D106" s="19" t="s">
        <v>38</v>
      </c>
      <c r="E106" s="19" t="s">
        <v>39</v>
      </c>
      <c r="H106" s="33" t="s">
        <v>40</v>
      </c>
    </row>
    <row r="107" spans="1:9" x14ac:dyDescent="0.25">
      <c r="A107" s="12">
        <v>1</v>
      </c>
      <c r="B107" s="12">
        <f>VLOOKUP('Tabelle 1'!B129,'Degree of Symptoms'!$J$9:$K$13,2)</f>
        <v>5</v>
      </c>
      <c r="C107" s="12">
        <f>VLOOKUP('Tabelle 1'!C129,'Degree of Symptoms'!$J$13:$K$22,2)</f>
        <v>5</v>
      </c>
      <c r="D107" s="12">
        <f>VLOOKUP('Tabelle 1'!D129,'Degree of Symptoms'!$J$26:$K$30,2)</f>
        <v>5</v>
      </c>
      <c r="E107" s="17">
        <f t="shared" ref="E107:E121" si="12">AVERAGE(B107:D107)</f>
        <v>5</v>
      </c>
      <c r="G107" s="34" t="s">
        <v>41</v>
      </c>
      <c r="H107" s="1">
        <f>COUNTIFS($E$107:$E$121,"&lt;1,99",$E$107:$E$121,"&gt;=1")</f>
        <v>0</v>
      </c>
    </row>
    <row r="108" spans="1:9" x14ac:dyDescent="0.25">
      <c r="A108" s="12">
        <v>2</v>
      </c>
      <c r="B108" s="12">
        <f>VLOOKUP('Tabelle 1'!B130,'Degree of Symptoms'!$J$9:$K$13,2)</f>
        <v>5</v>
      </c>
      <c r="C108" s="12">
        <f>VLOOKUP('Tabelle 1'!C130,'Degree of Symptoms'!$J$13:$K$22,2)</f>
        <v>5</v>
      </c>
      <c r="D108" s="12">
        <f>VLOOKUP('Tabelle 1'!D130,'Degree of Symptoms'!$J$26:$K$30,2)</f>
        <v>5</v>
      </c>
      <c r="E108" s="17">
        <f t="shared" si="12"/>
        <v>5</v>
      </c>
      <c r="G108" s="34" t="s">
        <v>42</v>
      </c>
      <c r="H108" s="1">
        <f>COUNTIFS($E$107:$E$121,"&lt;2,99",$E$107:$E$121,"&gt;=2")</f>
        <v>0</v>
      </c>
    </row>
    <row r="109" spans="1:9" x14ac:dyDescent="0.25">
      <c r="A109" s="12">
        <v>3</v>
      </c>
      <c r="B109" s="12">
        <f>VLOOKUP('Tabelle 1'!B131,'Degree of Symptoms'!$J$9:$K$13,2)</f>
        <v>5</v>
      </c>
      <c r="C109" s="12">
        <f>VLOOKUP('Tabelle 1'!C131,'Degree of Symptoms'!$J$13:$K$22,2)</f>
        <v>5</v>
      </c>
      <c r="D109" s="12">
        <f>VLOOKUP('Tabelle 1'!D131,'Degree of Symptoms'!$J$26:$K$30,2)</f>
        <v>5</v>
      </c>
      <c r="E109" s="17">
        <f t="shared" si="12"/>
        <v>5</v>
      </c>
      <c r="G109" s="34" t="s">
        <v>44</v>
      </c>
      <c r="H109" s="1">
        <f>COUNTIFS($E$107:$E$121,"&lt;3,99",$E$107:$E$121,"&gt;=3")</f>
        <v>0</v>
      </c>
    </row>
    <row r="110" spans="1:9" x14ac:dyDescent="0.25">
      <c r="A110" s="12">
        <v>4</v>
      </c>
      <c r="B110" s="12">
        <f>VLOOKUP('Tabelle 1'!B132,'Degree of Symptoms'!$J$9:$K$13,2)</f>
        <v>5</v>
      </c>
      <c r="C110" s="12">
        <f>VLOOKUP('Tabelle 1'!C132,'Degree of Symptoms'!$J$13:$K$22,2)</f>
        <v>5</v>
      </c>
      <c r="D110" s="12">
        <f>VLOOKUP('Tabelle 1'!D132,'Degree of Symptoms'!$J$26:$K$30,2)</f>
        <v>5</v>
      </c>
      <c r="E110" s="17">
        <f t="shared" si="12"/>
        <v>5</v>
      </c>
      <c r="G110" s="34" t="s">
        <v>46</v>
      </c>
      <c r="H110" s="1">
        <f>COUNTIFS($E$107:$E$121,"&lt;4,99",$E$107:$E$121,"&gt;=4")</f>
        <v>0</v>
      </c>
    </row>
    <row r="111" spans="1:9" x14ac:dyDescent="0.25">
      <c r="A111" s="12">
        <v>5</v>
      </c>
      <c r="B111" s="12">
        <f>VLOOKUP('Tabelle 1'!B133,'Degree of Symptoms'!$J$9:$K$13,2)</f>
        <v>5</v>
      </c>
      <c r="C111" s="12">
        <f>VLOOKUP('Tabelle 1'!C133,'Degree of Symptoms'!$J$13:$K$22,2)</f>
        <v>5</v>
      </c>
      <c r="D111" s="12">
        <f>VLOOKUP('Tabelle 1'!D133,'Degree of Symptoms'!$J$26:$K$30,2)</f>
        <v>5</v>
      </c>
      <c r="E111" s="17">
        <f t="shared" si="12"/>
        <v>5</v>
      </c>
      <c r="G111" s="34">
        <v>5</v>
      </c>
      <c r="H111" s="1">
        <f>COUNTIF($E$107:$E$121,"&gt;=5")</f>
        <v>15</v>
      </c>
    </row>
    <row r="112" spans="1:9" x14ac:dyDescent="0.25">
      <c r="A112" s="12">
        <v>6</v>
      </c>
      <c r="B112" s="12">
        <f>VLOOKUP('Tabelle 1'!B134,'Degree of Symptoms'!$J$9:$K$13,2)</f>
        <v>5</v>
      </c>
      <c r="C112" s="12">
        <f>VLOOKUP('Tabelle 1'!C134,'Degree of Symptoms'!$J$13:$K$22,2)</f>
        <v>5</v>
      </c>
      <c r="D112" s="12">
        <f>VLOOKUP('Tabelle 1'!D134,'Degree of Symptoms'!$J$26:$K$30,2)</f>
        <v>5</v>
      </c>
      <c r="E112" s="17">
        <f t="shared" si="12"/>
        <v>5</v>
      </c>
      <c r="H112" s="1">
        <f>SUM(H107:H111)</f>
        <v>15</v>
      </c>
    </row>
    <row r="113" spans="1:9" x14ac:dyDescent="0.25">
      <c r="A113" s="12">
        <v>7</v>
      </c>
      <c r="B113" s="12">
        <f>VLOOKUP('Tabelle 1'!B135,'Degree of Symptoms'!$J$9:$K$13,2)</f>
        <v>5</v>
      </c>
      <c r="C113" s="12">
        <f>VLOOKUP('Tabelle 1'!C135,'Degree of Symptoms'!$J$13:$K$22,2)</f>
        <v>5</v>
      </c>
      <c r="D113" s="12">
        <f>VLOOKUP('Tabelle 1'!D135,'Degree of Symptoms'!$J$26:$K$30,2)</f>
        <v>5</v>
      </c>
      <c r="E113" s="17">
        <f t="shared" si="12"/>
        <v>5</v>
      </c>
    </row>
    <row r="114" spans="1:9" x14ac:dyDescent="0.25">
      <c r="A114" s="12">
        <v>8</v>
      </c>
      <c r="B114" s="12">
        <f>VLOOKUP('Tabelle 1'!B136,'Degree of Symptoms'!$J$9:$K$13,2)</f>
        <v>5</v>
      </c>
      <c r="C114" s="12">
        <f>VLOOKUP('Tabelle 1'!C136,'Degree of Symptoms'!$J$13:$K$22,2)</f>
        <v>5</v>
      </c>
      <c r="D114" s="12">
        <f>VLOOKUP('Tabelle 1'!D136,'Degree of Symptoms'!$J$26:$K$30,2)</f>
        <v>5</v>
      </c>
      <c r="E114" s="17">
        <f t="shared" si="12"/>
        <v>5</v>
      </c>
    </row>
    <row r="115" spans="1:9" x14ac:dyDescent="0.25">
      <c r="A115" s="12">
        <v>9</v>
      </c>
      <c r="B115" s="12">
        <f>VLOOKUP('Tabelle 1'!B137,'Degree of Symptoms'!$J$9:$K$13,2)</f>
        <v>5</v>
      </c>
      <c r="C115" s="12">
        <f>VLOOKUP('Tabelle 1'!C137,'Degree of Symptoms'!$J$13:$K$22,2)</f>
        <v>5</v>
      </c>
      <c r="D115" s="12">
        <f>VLOOKUP('Tabelle 1'!D137,'Degree of Symptoms'!$J$26:$K$30,2)</f>
        <v>5</v>
      </c>
      <c r="E115" s="17">
        <f t="shared" si="12"/>
        <v>5</v>
      </c>
      <c r="G115" s="33"/>
      <c r="H115" s="33"/>
      <c r="I115" s="33"/>
    </row>
    <row r="116" spans="1:9" x14ac:dyDescent="0.25">
      <c r="A116" s="12">
        <v>10</v>
      </c>
      <c r="B116" s="12">
        <f>VLOOKUP('Tabelle 1'!B138,'Degree of Symptoms'!$J$9:$K$13,2)</f>
        <v>5</v>
      </c>
      <c r="C116" s="12">
        <f>VLOOKUP('Tabelle 1'!C138,'Degree of Symptoms'!$J$13:$K$22,2)</f>
        <v>5</v>
      </c>
      <c r="D116" s="12">
        <f>VLOOKUP('Tabelle 1'!D138,'Degree of Symptoms'!$J$26:$K$30,2)</f>
        <v>5</v>
      </c>
      <c r="E116" s="17">
        <f t="shared" si="12"/>
        <v>5</v>
      </c>
      <c r="G116" s="33"/>
      <c r="H116" s="2"/>
      <c r="I116" s="2"/>
    </row>
    <row r="117" spans="1:9" x14ac:dyDescent="0.25">
      <c r="A117" s="12">
        <v>11</v>
      </c>
      <c r="B117" s="12">
        <f>VLOOKUP('Tabelle 1'!B139,'Degree of Symptoms'!$J$9:$K$13,2)</f>
        <v>5</v>
      </c>
      <c r="C117" s="12">
        <f>VLOOKUP('Tabelle 1'!C139,'Degree of Symptoms'!$J$13:$K$22,2)</f>
        <v>5</v>
      </c>
      <c r="D117" s="12">
        <f>VLOOKUP('Tabelle 1'!D139,'Degree of Symptoms'!$J$26:$K$30,2)</f>
        <v>5</v>
      </c>
      <c r="E117" s="17">
        <f t="shared" si="12"/>
        <v>5</v>
      </c>
      <c r="G117" s="33"/>
      <c r="H117" s="2"/>
      <c r="I117" s="2"/>
    </row>
    <row r="118" spans="1:9" x14ac:dyDescent="0.25">
      <c r="A118" s="12">
        <v>12</v>
      </c>
      <c r="B118" s="12">
        <f>VLOOKUP('Tabelle 1'!B140,'Degree of Symptoms'!$J$9:$K$13,2)</f>
        <v>5</v>
      </c>
      <c r="C118" s="12">
        <f>VLOOKUP('Tabelle 1'!C140,'Degree of Symptoms'!$J$13:$K$22,2)</f>
        <v>5</v>
      </c>
      <c r="D118" s="12">
        <f>VLOOKUP('Tabelle 1'!D140,'Degree of Symptoms'!$J$26:$K$30,2)</f>
        <v>5</v>
      </c>
      <c r="E118" s="17">
        <f t="shared" si="12"/>
        <v>5</v>
      </c>
      <c r="G118" s="33"/>
      <c r="H118" s="2"/>
      <c r="I118" s="2"/>
    </row>
    <row r="119" spans="1:9" x14ac:dyDescent="0.25">
      <c r="A119" s="12">
        <v>13</v>
      </c>
      <c r="B119" s="12">
        <f>VLOOKUP('Tabelle 1'!B141,'Degree of Symptoms'!$J$9:$K$13,2)</f>
        <v>5</v>
      </c>
      <c r="C119" s="12">
        <f>VLOOKUP('Tabelle 1'!C141,'Degree of Symptoms'!$J$13:$K$22,2)</f>
        <v>5</v>
      </c>
      <c r="D119" s="12">
        <f>VLOOKUP('Tabelle 1'!D141,'Degree of Symptoms'!$J$26:$K$30,2)</f>
        <v>5</v>
      </c>
      <c r="E119" s="17">
        <f t="shared" si="12"/>
        <v>5</v>
      </c>
      <c r="G119" s="33"/>
      <c r="H119" s="2"/>
      <c r="I119" s="2"/>
    </row>
    <row r="120" spans="1:9" x14ac:dyDescent="0.25">
      <c r="A120" s="12">
        <v>14</v>
      </c>
      <c r="B120" s="12">
        <f>VLOOKUP('Tabelle 1'!B142,'Degree of Symptoms'!$J$9:$K$13,2)</f>
        <v>5</v>
      </c>
      <c r="C120" s="12">
        <f>VLOOKUP('Tabelle 1'!C142,'Degree of Symptoms'!$J$13:$K$22,2)</f>
        <v>5</v>
      </c>
      <c r="D120" s="12">
        <f>VLOOKUP('Tabelle 1'!D142,'Degree of Symptoms'!$J$26:$K$30,2)</f>
        <v>5</v>
      </c>
      <c r="E120" s="17">
        <f t="shared" si="12"/>
        <v>5</v>
      </c>
      <c r="G120" s="33"/>
      <c r="H120" s="2"/>
      <c r="I120" s="2"/>
    </row>
    <row r="121" spans="1:9" x14ac:dyDescent="0.25">
      <c r="A121" s="12">
        <v>15</v>
      </c>
      <c r="B121" s="12">
        <f>VLOOKUP('Tabelle 1'!B143,'Degree of Symptoms'!$J$9:$K$13,2)</f>
        <v>5</v>
      </c>
      <c r="C121" s="12">
        <f>VLOOKUP('Tabelle 1'!C143,'Degree of Symptoms'!$J$13:$K$22,2)</f>
        <v>5</v>
      </c>
      <c r="D121" s="12">
        <f>VLOOKUP('Tabelle 1'!D143,'Degree of Symptoms'!$J$26:$K$30,2)</f>
        <v>5</v>
      </c>
      <c r="E121" s="17">
        <f t="shared" si="12"/>
        <v>5</v>
      </c>
    </row>
    <row r="122" spans="1:9" x14ac:dyDescent="0.25">
      <c r="A122" s="12"/>
      <c r="B122" s="12"/>
      <c r="C122" s="12"/>
      <c r="D122" s="12"/>
      <c r="E122" s="17"/>
      <c r="F122" s="2" t="s">
        <v>12</v>
      </c>
    </row>
    <row r="123" spans="1:9" x14ac:dyDescent="0.25">
      <c r="A123" s="19" t="s">
        <v>48</v>
      </c>
      <c r="B123" s="12">
        <f>AVERAGE(B107:B121)</f>
        <v>5</v>
      </c>
      <c r="C123" s="12">
        <f>AVERAGE(C107:C121)</f>
        <v>5</v>
      </c>
      <c r="D123" s="12">
        <f>AVERAGE(D107:D121)</f>
        <v>5</v>
      </c>
      <c r="E123" s="17">
        <f>AVERAGE(E107:E121)</f>
        <v>5</v>
      </c>
      <c r="F123" s="2">
        <f>'Tabelle 1'!F145</f>
        <v>15</v>
      </c>
    </row>
    <row r="124" spans="1:9" x14ac:dyDescent="0.25">
      <c r="A124" s="19" t="s">
        <v>49</v>
      </c>
      <c r="B124" s="12">
        <f>STDEV(B107:B121)</f>
        <v>0</v>
      </c>
      <c r="C124" s="12">
        <f>STDEV(C107:C121)</f>
        <v>0</v>
      </c>
      <c r="D124" s="12">
        <f>STDEV(D107:D121)</f>
        <v>0</v>
      </c>
      <c r="E124" s="17">
        <f>STDEV(E107:E121)</f>
        <v>0</v>
      </c>
    </row>
    <row r="127" spans="1:9" x14ac:dyDescent="0.25">
      <c r="A127" s="9">
        <f>'Tabelle 1'!A148</f>
        <v>7</v>
      </c>
      <c r="B127" s="19" t="s">
        <v>36</v>
      </c>
      <c r="C127" s="19" t="s">
        <v>37</v>
      </c>
      <c r="D127" s="19" t="s">
        <v>38</v>
      </c>
      <c r="E127" s="19" t="s">
        <v>39</v>
      </c>
      <c r="H127" s="33" t="s">
        <v>40</v>
      </c>
    </row>
    <row r="128" spans="1:9" x14ac:dyDescent="0.25">
      <c r="A128" s="12">
        <v>1</v>
      </c>
      <c r="B128" s="12">
        <f>VLOOKUP('Tabelle 1'!B150,'Degree of Symptoms'!$J$9:$K$13,2)</f>
        <v>5</v>
      </c>
      <c r="C128" s="12">
        <f>VLOOKUP('Tabelle 1'!C150,'Degree of Symptoms'!$J$13:$K$22,2)</f>
        <v>5</v>
      </c>
      <c r="D128" s="12">
        <f>VLOOKUP('Tabelle 1'!D150,'Degree of Symptoms'!$J$26:$K$30,2)</f>
        <v>5</v>
      </c>
      <c r="E128" s="17">
        <f t="shared" ref="E128:E142" si="13">AVERAGE(B128:D128)</f>
        <v>5</v>
      </c>
      <c r="G128" s="34" t="s">
        <v>41</v>
      </c>
      <c r="H128" s="1">
        <f>COUNTIFS($E$128:$E$142,"&lt;1,99",$E$128:$E$142,"&gt;=1")</f>
        <v>0</v>
      </c>
    </row>
    <row r="129" spans="1:8" x14ac:dyDescent="0.25">
      <c r="A129" s="12">
        <v>2</v>
      </c>
      <c r="B129" s="12">
        <f>VLOOKUP('Tabelle 1'!B151,'Degree of Symptoms'!$J$9:$K$13,2)</f>
        <v>5</v>
      </c>
      <c r="C129" s="12">
        <f>VLOOKUP('Tabelle 1'!C151,'Degree of Symptoms'!$J$13:$K$22,2)</f>
        <v>5</v>
      </c>
      <c r="D129" s="12">
        <f>VLOOKUP('Tabelle 1'!D151,'Degree of Symptoms'!$J$26:$K$30,2)</f>
        <v>5</v>
      </c>
      <c r="E129" s="17">
        <f t="shared" si="13"/>
        <v>5</v>
      </c>
      <c r="G129" s="34" t="s">
        <v>42</v>
      </c>
      <c r="H129" s="1">
        <f>COUNTIFS($E$128:$E$142,"&lt;2,99",$E$128:$E$142,"&gt;=2")</f>
        <v>0</v>
      </c>
    </row>
    <row r="130" spans="1:8" x14ac:dyDescent="0.25">
      <c r="A130" s="12">
        <v>3</v>
      </c>
      <c r="B130" s="12">
        <f>VLOOKUP('Tabelle 1'!B152,'Degree of Symptoms'!$J$9:$K$13,2)</f>
        <v>5</v>
      </c>
      <c r="C130" s="12">
        <f>VLOOKUP('Tabelle 1'!C152,'Degree of Symptoms'!$J$13:$K$22,2)</f>
        <v>5</v>
      </c>
      <c r="D130" s="12">
        <f>VLOOKUP('Tabelle 1'!D152,'Degree of Symptoms'!$J$26:$K$30,2)</f>
        <v>5</v>
      </c>
      <c r="E130" s="17">
        <f t="shared" si="13"/>
        <v>5</v>
      </c>
      <c r="G130" s="34" t="s">
        <v>44</v>
      </c>
      <c r="H130" s="1">
        <f>COUNTIFS($E$128:$E$142,"&lt;3,99",$E$128:$E$142,"&gt;=3")</f>
        <v>0</v>
      </c>
    </row>
    <row r="131" spans="1:8" x14ac:dyDescent="0.25">
      <c r="A131" s="12">
        <v>4</v>
      </c>
      <c r="B131" s="12">
        <f>VLOOKUP('Tabelle 1'!B153,'Degree of Symptoms'!$J$9:$K$13,2)</f>
        <v>5</v>
      </c>
      <c r="C131" s="12">
        <f>VLOOKUP('Tabelle 1'!C153,'Degree of Symptoms'!$J$13:$K$22,2)</f>
        <v>5</v>
      </c>
      <c r="D131" s="12">
        <f>VLOOKUP('Tabelle 1'!D153,'Degree of Symptoms'!$J$26:$K$30,2)</f>
        <v>5</v>
      </c>
      <c r="E131" s="17">
        <f t="shared" si="13"/>
        <v>5</v>
      </c>
      <c r="G131" s="34" t="s">
        <v>46</v>
      </c>
      <c r="H131" s="1">
        <f>COUNTIFS($E$128:$E$142,"&lt;4,99",$E$128:$E$142,"&gt;=4")</f>
        <v>0</v>
      </c>
    </row>
    <row r="132" spans="1:8" x14ac:dyDescent="0.25">
      <c r="A132" s="12">
        <v>5</v>
      </c>
      <c r="B132" s="12">
        <f>VLOOKUP('Tabelle 1'!B154,'Degree of Symptoms'!$J$9:$K$13,2)</f>
        <v>5</v>
      </c>
      <c r="C132" s="12">
        <f>VLOOKUP('Tabelle 1'!C154,'Degree of Symptoms'!$J$13:$K$22,2)</f>
        <v>5</v>
      </c>
      <c r="D132" s="12">
        <f>VLOOKUP('Tabelle 1'!D154,'Degree of Symptoms'!$J$26:$K$30,2)</f>
        <v>5</v>
      </c>
      <c r="E132" s="17">
        <f t="shared" si="13"/>
        <v>5</v>
      </c>
      <c r="G132" s="34">
        <v>5</v>
      </c>
      <c r="H132" s="1">
        <f>COUNTIF($E$128:$E$142,"&gt;=5")</f>
        <v>15</v>
      </c>
    </row>
    <row r="133" spans="1:8" x14ac:dyDescent="0.25">
      <c r="A133" s="12">
        <v>6</v>
      </c>
      <c r="B133" s="12">
        <f>VLOOKUP('Tabelle 1'!B155,'Degree of Symptoms'!$J$9:$K$13,2)</f>
        <v>5</v>
      </c>
      <c r="C133" s="12">
        <f>VLOOKUP('Tabelle 1'!C155,'Degree of Symptoms'!$J$13:$K$22,2)</f>
        <v>5</v>
      </c>
      <c r="D133" s="12">
        <f>VLOOKUP('Tabelle 1'!D155,'Degree of Symptoms'!$J$26:$K$30,2)</f>
        <v>5</v>
      </c>
      <c r="E133" s="17">
        <f t="shared" si="13"/>
        <v>5</v>
      </c>
      <c r="H133" s="1">
        <f>SUM(H128:H132)</f>
        <v>15</v>
      </c>
    </row>
    <row r="134" spans="1:8" x14ac:dyDescent="0.25">
      <c r="A134" s="12">
        <v>7</v>
      </c>
      <c r="B134" s="12">
        <f>VLOOKUP('Tabelle 1'!B156,'Degree of Symptoms'!$J$9:$K$13,2)</f>
        <v>5</v>
      </c>
      <c r="C134" s="12">
        <f>VLOOKUP('Tabelle 1'!C156,'Degree of Symptoms'!$J$13:$K$22,2)</f>
        <v>5</v>
      </c>
      <c r="D134" s="12">
        <f>VLOOKUP('Tabelle 1'!D156,'Degree of Symptoms'!$J$26:$K$30,2)</f>
        <v>5</v>
      </c>
      <c r="E134" s="17">
        <f t="shared" si="13"/>
        <v>5</v>
      </c>
    </row>
    <row r="135" spans="1:8" x14ac:dyDescent="0.25">
      <c r="A135" s="12">
        <v>8</v>
      </c>
      <c r="B135" s="12">
        <f>VLOOKUP('Tabelle 1'!B157,'Degree of Symptoms'!$J$9:$K$13,2)</f>
        <v>5</v>
      </c>
      <c r="C135" s="12">
        <f>VLOOKUP('Tabelle 1'!C157,'Degree of Symptoms'!$J$13:$K$22,2)</f>
        <v>5</v>
      </c>
      <c r="D135" s="12">
        <f>VLOOKUP('Tabelle 1'!D157,'Degree of Symptoms'!$J$26:$K$30,2)</f>
        <v>5</v>
      </c>
      <c r="E135" s="17">
        <f t="shared" si="13"/>
        <v>5</v>
      </c>
    </row>
    <row r="136" spans="1:8" x14ac:dyDescent="0.25">
      <c r="A136" s="12">
        <v>9</v>
      </c>
      <c r="B136" s="12">
        <f>VLOOKUP('Tabelle 1'!B158,'Degree of Symptoms'!$J$9:$K$13,2)</f>
        <v>5</v>
      </c>
      <c r="C136" s="12">
        <f>VLOOKUP('Tabelle 1'!C158,'Degree of Symptoms'!$J$13:$K$22,2)</f>
        <v>5</v>
      </c>
      <c r="D136" s="12">
        <f>VLOOKUP('Tabelle 1'!D158,'Degree of Symptoms'!$J$26:$K$30,2)</f>
        <v>5</v>
      </c>
      <c r="E136" s="17">
        <f t="shared" si="13"/>
        <v>5</v>
      </c>
      <c r="G136" s="33"/>
      <c r="H136" s="33"/>
    </row>
    <row r="137" spans="1:8" x14ac:dyDescent="0.25">
      <c r="A137" s="12">
        <v>10</v>
      </c>
      <c r="B137" s="12">
        <f>VLOOKUP('Tabelle 1'!B159,'Degree of Symptoms'!$J$9:$K$13,2)</f>
        <v>5</v>
      </c>
      <c r="C137" s="12">
        <f>VLOOKUP('Tabelle 1'!C159,'Degree of Symptoms'!$J$13:$K$22,2)</f>
        <v>5</v>
      </c>
      <c r="D137" s="12">
        <f>VLOOKUP('Tabelle 1'!D159,'Degree of Symptoms'!$J$26:$K$30,2)</f>
        <v>5</v>
      </c>
      <c r="E137" s="17">
        <f t="shared" si="13"/>
        <v>5</v>
      </c>
      <c r="G137" s="33"/>
      <c r="H137" s="2"/>
    </row>
    <row r="138" spans="1:8" x14ac:dyDescent="0.25">
      <c r="A138" s="12">
        <v>11</v>
      </c>
      <c r="B138" s="12">
        <f>VLOOKUP('Tabelle 1'!B160,'Degree of Symptoms'!$J$9:$K$13,2)</f>
        <v>5</v>
      </c>
      <c r="C138" s="12">
        <f>VLOOKUP('Tabelle 1'!C160,'Degree of Symptoms'!$J$13:$K$22,2)</f>
        <v>5</v>
      </c>
      <c r="D138" s="12">
        <f>VLOOKUP('Tabelle 1'!D160,'Degree of Symptoms'!$J$26:$K$30,2)</f>
        <v>5</v>
      </c>
      <c r="E138" s="17">
        <f t="shared" si="13"/>
        <v>5</v>
      </c>
      <c r="G138" s="33"/>
      <c r="H138" s="2"/>
    </row>
    <row r="139" spans="1:8" x14ac:dyDescent="0.25">
      <c r="A139" s="12">
        <v>12</v>
      </c>
      <c r="B139" s="12">
        <f>VLOOKUP('Tabelle 1'!B161,'Degree of Symptoms'!$J$9:$K$13,2)</f>
        <v>5</v>
      </c>
      <c r="C139" s="12">
        <f>VLOOKUP('Tabelle 1'!C161,'Degree of Symptoms'!$J$13:$K$22,2)</f>
        <v>5</v>
      </c>
      <c r="D139" s="12">
        <f>VLOOKUP('Tabelle 1'!D161,'Degree of Symptoms'!$J$26:$K$30,2)</f>
        <v>5</v>
      </c>
      <c r="E139" s="17">
        <f t="shared" si="13"/>
        <v>5</v>
      </c>
      <c r="G139" s="33"/>
      <c r="H139" s="2"/>
    </row>
    <row r="140" spans="1:8" x14ac:dyDescent="0.25">
      <c r="A140" s="12">
        <v>13</v>
      </c>
      <c r="B140" s="12">
        <f>VLOOKUP('Tabelle 1'!B162,'Degree of Symptoms'!$J$9:$K$13,2)</f>
        <v>5</v>
      </c>
      <c r="C140" s="12">
        <f>VLOOKUP('Tabelle 1'!C162,'Degree of Symptoms'!$J$13:$K$22,2)</f>
        <v>5</v>
      </c>
      <c r="D140" s="12">
        <f>VLOOKUP('Tabelle 1'!D162,'Degree of Symptoms'!$J$26:$K$30,2)</f>
        <v>5</v>
      </c>
      <c r="E140" s="17">
        <f t="shared" si="13"/>
        <v>5</v>
      </c>
      <c r="G140" s="33"/>
      <c r="H140" s="2"/>
    </row>
    <row r="141" spans="1:8" x14ac:dyDescent="0.25">
      <c r="A141" s="12">
        <v>14</v>
      </c>
      <c r="B141" s="12">
        <f>VLOOKUP('Tabelle 1'!B163,'Degree of Symptoms'!$J$9:$K$13,2)</f>
        <v>5</v>
      </c>
      <c r="C141" s="12">
        <f>VLOOKUP('Tabelle 1'!C163,'Degree of Symptoms'!$J$13:$K$22,2)</f>
        <v>5</v>
      </c>
      <c r="D141" s="12">
        <f>VLOOKUP('Tabelle 1'!D163,'Degree of Symptoms'!$J$26:$K$30,2)</f>
        <v>5</v>
      </c>
      <c r="E141" s="17">
        <f t="shared" si="13"/>
        <v>5</v>
      </c>
      <c r="G141" s="33"/>
      <c r="H141" s="2"/>
    </row>
    <row r="142" spans="1:8" x14ac:dyDescent="0.25">
      <c r="A142" s="12">
        <v>15</v>
      </c>
      <c r="B142" s="12">
        <f>VLOOKUP('Tabelle 1'!B164,'Degree of Symptoms'!$J$9:$K$13,2)</f>
        <v>5</v>
      </c>
      <c r="C142" s="12">
        <f>VLOOKUP('Tabelle 1'!C164,'Degree of Symptoms'!$J$13:$K$22,2)</f>
        <v>5</v>
      </c>
      <c r="D142" s="12">
        <f>VLOOKUP('Tabelle 1'!D164,'Degree of Symptoms'!$J$26:$K$30,2)</f>
        <v>5</v>
      </c>
      <c r="E142" s="17">
        <f t="shared" si="13"/>
        <v>5</v>
      </c>
    </row>
    <row r="143" spans="1:8" x14ac:dyDescent="0.25">
      <c r="A143" s="12"/>
      <c r="B143" s="12"/>
      <c r="C143" s="12"/>
      <c r="D143" s="12"/>
      <c r="E143" s="17"/>
      <c r="F143" s="2" t="s">
        <v>12</v>
      </c>
    </row>
    <row r="144" spans="1:8" x14ac:dyDescent="0.25">
      <c r="A144" s="19" t="s">
        <v>48</v>
      </c>
      <c r="B144" s="12">
        <f>AVERAGE(B128:B142)</f>
        <v>5</v>
      </c>
      <c r="C144" s="12">
        <f>AVERAGE(C128:C142)</f>
        <v>5</v>
      </c>
      <c r="D144" s="12">
        <f>AVERAGE(D128:D142)</f>
        <v>5</v>
      </c>
      <c r="E144" s="17">
        <f>AVERAGE(E128:E142)</f>
        <v>5</v>
      </c>
      <c r="F144" s="2">
        <f>'Tabelle 1'!F166</f>
        <v>15</v>
      </c>
    </row>
    <row r="145" spans="1:9" x14ac:dyDescent="0.25">
      <c r="A145" s="19" t="s">
        <v>49</v>
      </c>
      <c r="B145" s="12">
        <f>STDEV(B128:B142)</f>
        <v>0</v>
      </c>
      <c r="C145" s="12">
        <f>STDEV(C128:C142)</f>
        <v>0</v>
      </c>
      <c r="D145" s="12">
        <f>STDEV(D128:D142)</f>
        <v>0</v>
      </c>
      <c r="E145" s="17">
        <f>STDEV(E128:E142)</f>
        <v>0</v>
      </c>
    </row>
    <row r="148" spans="1:9" x14ac:dyDescent="0.25">
      <c r="A148" s="9">
        <f>'Tabelle 1'!A169</f>
        <v>8</v>
      </c>
      <c r="B148" s="19" t="s">
        <v>36</v>
      </c>
      <c r="C148" s="19" t="s">
        <v>37</v>
      </c>
      <c r="D148" s="19" t="s">
        <v>38</v>
      </c>
      <c r="E148" s="19" t="s">
        <v>39</v>
      </c>
      <c r="H148" s="33" t="s">
        <v>40</v>
      </c>
    </row>
    <row r="149" spans="1:9" x14ac:dyDescent="0.25">
      <c r="A149" s="12">
        <v>1</v>
      </c>
      <c r="B149" s="12">
        <f>VLOOKUP('Tabelle 1'!B171,'Degree of Symptoms'!$J$9:$K$13,2)</f>
        <v>5</v>
      </c>
      <c r="C149" s="12">
        <f>VLOOKUP('Tabelle 1'!C171,'Degree of Symptoms'!$J$13:$K$22,2)</f>
        <v>5</v>
      </c>
      <c r="D149" s="12">
        <f>VLOOKUP('Tabelle 1'!D171,'Degree of Symptoms'!$J$26:$K$30,2)</f>
        <v>5</v>
      </c>
      <c r="E149" s="17">
        <f t="shared" ref="E149:E163" si="14">AVERAGE(B149:D149)</f>
        <v>5</v>
      </c>
      <c r="G149" s="34" t="s">
        <v>41</v>
      </c>
      <c r="H149" s="1">
        <f>COUNTIFS($E$149:$E$163,"&lt;1,99",$E$149:$E$163,"&gt;=1")</f>
        <v>0</v>
      </c>
    </row>
    <row r="150" spans="1:9" x14ac:dyDescent="0.25">
      <c r="A150" s="12">
        <v>2</v>
      </c>
      <c r="B150" s="12">
        <f>VLOOKUP('Tabelle 1'!B172,'Degree of Symptoms'!$J$9:$K$13,2)</f>
        <v>5</v>
      </c>
      <c r="C150" s="12">
        <f>VLOOKUP('Tabelle 1'!C172,'Degree of Symptoms'!$J$13:$K$22,2)</f>
        <v>5</v>
      </c>
      <c r="D150" s="12">
        <f>VLOOKUP('Tabelle 1'!D172,'Degree of Symptoms'!$J$26:$K$30,2)</f>
        <v>5</v>
      </c>
      <c r="E150" s="17">
        <f t="shared" si="14"/>
        <v>5</v>
      </c>
      <c r="G150" s="34" t="s">
        <v>42</v>
      </c>
      <c r="H150" s="1">
        <f>COUNTIFS($E$149:$E$163,"&lt;2,99",$E$149:$E$163,"&gt;=2")</f>
        <v>0</v>
      </c>
    </row>
    <row r="151" spans="1:9" x14ac:dyDescent="0.25">
      <c r="A151" s="12">
        <v>3</v>
      </c>
      <c r="B151" s="12">
        <f>VLOOKUP('Tabelle 1'!B173,'Degree of Symptoms'!$J$9:$K$13,2)</f>
        <v>5</v>
      </c>
      <c r="C151" s="12">
        <f>VLOOKUP('Tabelle 1'!C173,'Degree of Symptoms'!$J$13:$K$22,2)</f>
        <v>5</v>
      </c>
      <c r="D151" s="12">
        <f>VLOOKUP('Tabelle 1'!D173,'Degree of Symptoms'!$J$26:$K$30,2)</f>
        <v>5</v>
      </c>
      <c r="E151" s="17">
        <f t="shared" si="14"/>
        <v>5</v>
      </c>
      <c r="G151" s="34" t="s">
        <v>44</v>
      </c>
      <c r="H151" s="1">
        <f>COUNTIFS($E$149:$E$163,"&lt;3,99",$E$149:$E$163,"&gt;=3")</f>
        <v>0</v>
      </c>
    </row>
    <row r="152" spans="1:9" x14ac:dyDescent="0.25">
      <c r="A152" s="12">
        <v>4</v>
      </c>
      <c r="B152" s="12">
        <f>VLOOKUP('Tabelle 1'!B174,'Degree of Symptoms'!$J$9:$K$13,2)</f>
        <v>5</v>
      </c>
      <c r="C152" s="12">
        <f>VLOOKUP('Tabelle 1'!C174,'Degree of Symptoms'!$J$13:$K$22,2)</f>
        <v>5</v>
      </c>
      <c r="D152" s="12">
        <f>VLOOKUP('Tabelle 1'!D174,'Degree of Symptoms'!$J$26:$K$30,2)</f>
        <v>5</v>
      </c>
      <c r="E152" s="17">
        <f t="shared" si="14"/>
        <v>5</v>
      </c>
      <c r="G152" s="34" t="s">
        <v>46</v>
      </c>
      <c r="H152" s="1">
        <f>COUNTIFS($E$149:$E$163,"&lt;4,99",$E$149:$E$163,"&gt;=4")</f>
        <v>0</v>
      </c>
    </row>
    <row r="153" spans="1:9" x14ac:dyDescent="0.25">
      <c r="A153" s="12">
        <v>5</v>
      </c>
      <c r="B153" s="12">
        <f>VLOOKUP('Tabelle 1'!B175,'Degree of Symptoms'!$J$9:$K$13,2)</f>
        <v>5</v>
      </c>
      <c r="C153" s="12">
        <f>VLOOKUP('Tabelle 1'!C175,'Degree of Symptoms'!$J$13:$K$22,2)</f>
        <v>5</v>
      </c>
      <c r="D153" s="12">
        <f>VLOOKUP('Tabelle 1'!D175,'Degree of Symptoms'!$J$26:$K$30,2)</f>
        <v>5</v>
      </c>
      <c r="E153" s="17">
        <f t="shared" si="14"/>
        <v>5</v>
      </c>
      <c r="G153" s="34">
        <v>5</v>
      </c>
      <c r="H153" s="1">
        <f>COUNTIF($E$149:$E$163,"&gt;=5")</f>
        <v>15</v>
      </c>
    </row>
    <row r="154" spans="1:9" x14ac:dyDescent="0.25">
      <c r="A154" s="12">
        <v>6</v>
      </c>
      <c r="B154" s="12">
        <f>VLOOKUP('Tabelle 1'!B176,'Degree of Symptoms'!$J$9:$K$13,2)</f>
        <v>5</v>
      </c>
      <c r="C154" s="12">
        <f>VLOOKUP('Tabelle 1'!C176,'Degree of Symptoms'!$J$13:$K$22,2)</f>
        <v>5</v>
      </c>
      <c r="D154" s="12">
        <f>VLOOKUP('Tabelle 1'!D176,'Degree of Symptoms'!$J$26:$K$30,2)</f>
        <v>5</v>
      </c>
      <c r="E154" s="17">
        <f t="shared" si="14"/>
        <v>5</v>
      </c>
      <c r="H154" s="1">
        <f>SUM(H149:H153)</f>
        <v>15</v>
      </c>
    </row>
    <row r="155" spans="1:9" x14ac:dyDescent="0.25">
      <c r="A155" s="12">
        <v>7</v>
      </c>
      <c r="B155" s="12">
        <f>VLOOKUP('Tabelle 1'!B177,'Degree of Symptoms'!$J$9:$K$13,2)</f>
        <v>5</v>
      </c>
      <c r="C155" s="12">
        <f>VLOOKUP('Tabelle 1'!C177,'Degree of Symptoms'!$J$13:$K$22,2)</f>
        <v>5</v>
      </c>
      <c r="D155" s="12">
        <f>VLOOKUP('Tabelle 1'!D177,'Degree of Symptoms'!$J$26:$K$30,2)</f>
        <v>5</v>
      </c>
      <c r="E155" s="17">
        <f t="shared" si="14"/>
        <v>5</v>
      </c>
    </row>
    <row r="156" spans="1:9" x14ac:dyDescent="0.25">
      <c r="A156" s="12">
        <v>8</v>
      </c>
      <c r="B156" s="12">
        <f>VLOOKUP('Tabelle 1'!B178,'Degree of Symptoms'!$J$9:$K$13,2)</f>
        <v>5</v>
      </c>
      <c r="C156" s="12">
        <f>VLOOKUP('Tabelle 1'!C178,'Degree of Symptoms'!$J$13:$K$22,2)</f>
        <v>5</v>
      </c>
      <c r="D156" s="12">
        <f>VLOOKUP('Tabelle 1'!D178,'Degree of Symptoms'!$J$26:$K$30,2)</f>
        <v>5</v>
      </c>
      <c r="E156" s="17">
        <f t="shared" si="14"/>
        <v>5</v>
      </c>
    </row>
    <row r="157" spans="1:9" x14ac:dyDescent="0.25">
      <c r="A157" s="12">
        <v>9</v>
      </c>
      <c r="B157" s="12">
        <f>VLOOKUP('Tabelle 1'!B179,'Degree of Symptoms'!$J$9:$K$13,2)</f>
        <v>5</v>
      </c>
      <c r="C157" s="12">
        <f>VLOOKUP('Tabelle 1'!C179,'Degree of Symptoms'!$J$13:$K$22,2)</f>
        <v>5</v>
      </c>
      <c r="D157" s="12">
        <f>VLOOKUP('Tabelle 1'!D179,'Degree of Symptoms'!$J$26:$K$30,2)</f>
        <v>5</v>
      </c>
      <c r="E157" s="17">
        <f t="shared" si="14"/>
        <v>5</v>
      </c>
      <c r="G157" s="33"/>
      <c r="H157" s="33"/>
      <c r="I157" s="33"/>
    </row>
    <row r="158" spans="1:9" x14ac:dyDescent="0.25">
      <c r="A158" s="12">
        <v>10</v>
      </c>
      <c r="B158" s="12">
        <f>VLOOKUP('Tabelle 1'!B180,'Degree of Symptoms'!$J$9:$K$13,2)</f>
        <v>5</v>
      </c>
      <c r="C158" s="12">
        <f>VLOOKUP('Tabelle 1'!C180,'Degree of Symptoms'!$J$13:$K$22,2)</f>
        <v>5</v>
      </c>
      <c r="D158" s="12">
        <f>VLOOKUP('Tabelle 1'!D180,'Degree of Symptoms'!$J$26:$K$30,2)</f>
        <v>5</v>
      </c>
      <c r="E158" s="17">
        <f t="shared" si="14"/>
        <v>5</v>
      </c>
      <c r="G158" s="33"/>
      <c r="H158" s="2"/>
      <c r="I158" s="2"/>
    </row>
    <row r="159" spans="1:9" x14ac:dyDescent="0.25">
      <c r="A159" s="12">
        <v>11</v>
      </c>
      <c r="B159" s="12">
        <f>VLOOKUP('Tabelle 1'!B181,'Degree of Symptoms'!$J$9:$K$13,2)</f>
        <v>5</v>
      </c>
      <c r="C159" s="12">
        <f>VLOOKUP('Tabelle 1'!C181,'Degree of Symptoms'!$J$13:$K$22,2)</f>
        <v>5</v>
      </c>
      <c r="D159" s="12">
        <f>VLOOKUP('Tabelle 1'!D181,'Degree of Symptoms'!$J$26:$K$30,2)</f>
        <v>5</v>
      </c>
      <c r="E159" s="17">
        <f t="shared" si="14"/>
        <v>5</v>
      </c>
      <c r="G159" s="33"/>
      <c r="H159" s="2"/>
      <c r="I159" s="2"/>
    </row>
    <row r="160" spans="1:9" x14ac:dyDescent="0.25">
      <c r="A160" s="12">
        <v>12</v>
      </c>
      <c r="B160" s="12">
        <f>VLOOKUP('Tabelle 1'!B182,'Degree of Symptoms'!$J$9:$K$13,2)</f>
        <v>5</v>
      </c>
      <c r="C160" s="12">
        <f>VLOOKUP('Tabelle 1'!C182,'Degree of Symptoms'!$J$13:$K$22,2)</f>
        <v>5</v>
      </c>
      <c r="D160" s="12">
        <f>VLOOKUP('Tabelle 1'!D182,'Degree of Symptoms'!$J$26:$K$30,2)</f>
        <v>5</v>
      </c>
      <c r="E160" s="17">
        <f t="shared" si="14"/>
        <v>5</v>
      </c>
      <c r="G160" s="33"/>
      <c r="H160" s="2"/>
      <c r="I160" s="2"/>
    </row>
    <row r="161" spans="1:9" x14ac:dyDescent="0.25">
      <c r="A161" s="12">
        <v>13</v>
      </c>
      <c r="B161" s="12">
        <f>VLOOKUP('Tabelle 1'!B183,'Degree of Symptoms'!$J$9:$K$13,2)</f>
        <v>5</v>
      </c>
      <c r="C161" s="12">
        <f>VLOOKUP('Tabelle 1'!C183,'Degree of Symptoms'!$J$13:$K$22,2)</f>
        <v>5</v>
      </c>
      <c r="D161" s="12">
        <f>VLOOKUP('Tabelle 1'!D183,'Degree of Symptoms'!$J$26:$K$30,2)</f>
        <v>5</v>
      </c>
      <c r="E161" s="17">
        <f t="shared" si="14"/>
        <v>5</v>
      </c>
      <c r="G161" s="33"/>
      <c r="H161" s="2"/>
      <c r="I161" s="2"/>
    </row>
    <row r="162" spans="1:9" x14ac:dyDescent="0.25">
      <c r="A162" s="12">
        <v>14</v>
      </c>
      <c r="B162" s="12">
        <f>VLOOKUP('Tabelle 1'!B184,'Degree of Symptoms'!$J$9:$K$13,2)</f>
        <v>5</v>
      </c>
      <c r="C162" s="12">
        <f>VLOOKUP('Tabelle 1'!C184,'Degree of Symptoms'!$J$13:$K$22,2)</f>
        <v>5</v>
      </c>
      <c r="D162" s="12">
        <f>VLOOKUP('Tabelle 1'!D184,'Degree of Symptoms'!$J$26:$K$30,2)</f>
        <v>5</v>
      </c>
      <c r="E162" s="17">
        <f t="shared" si="14"/>
        <v>5</v>
      </c>
      <c r="G162" s="33"/>
      <c r="H162" s="2"/>
      <c r="I162" s="2"/>
    </row>
    <row r="163" spans="1:9" x14ac:dyDescent="0.25">
      <c r="A163" s="12">
        <v>15</v>
      </c>
      <c r="B163" s="12">
        <f>VLOOKUP('Tabelle 1'!B185,'Degree of Symptoms'!$J$9:$K$13,2)</f>
        <v>5</v>
      </c>
      <c r="C163" s="12">
        <f>VLOOKUP('Tabelle 1'!C185,'Degree of Symptoms'!$J$13:$K$22,2)</f>
        <v>5</v>
      </c>
      <c r="D163" s="12">
        <f>VLOOKUP('Tabelle 1'!D185,'Degree of Symptoms'!$J$26:$K$30,2)</f>
        <v>5</v>
      </c>
      <c r="E163" s="17">
        <f t="shared" si="14"/>
        <v>5</v>
      </c>
    </row>
    <row r="164" spans="1:9" x14ac:dyDescent="0.25">
      <c r="A164" s="12"/>
      <c r="B164" s="12"/>
      <c r="C164" s="12"/>
      <c r="D164" s="12"/>
      <c r="E164" s="17"/>
      <c r="F164" s="2" t="s">
        <v>12</v>
      </c>
    </row>
    <row r="165" spans="1:9" x14ac:dyDescent="0.25">
      <c r="A165" s="19" t="s">
        <v>48</v>
      </c>
      <c r="B165" s="12">
        <f>AVERAGE(B149:B163)</f>
        <v>5</v>
      </c>
      <c r="C165" s="12">
        <f>AVERAGE(C149:C163)</f>
        <v>5</v>
      </c>
      <c r="D165" s="12">
        <f>AVERAGE(D149:D163)</f>
        <v>5</v>
      </c>
      <c r="E165" s="17">
        <f>AVERAGE(E149:E163)</f>
        <v>5</v>
      </c>
      <c r="F165" s="2">
        <f>'Tabelle 1'!F187</f>
        <v>15</v>
      </c>
    </row>
    <row r="166" spans="1:9" x14ac:dyDescent="0.25">
      <c r="A166" s="19" t="s">
        <v>49</v>
      </c>
      <c r="B166" s="12">
        <f>STDEV(B149:B163)</f>
        <v>0</v>
      </c>
      <c r="C166" s="12">
        <f>STDEV(C149:C163)</f>
        <v>0</v>
      </c>
      <c r="D166" s="12">
        <f>STDEV(D149:D163)</f>
        <v>0</v>
      </c>
      <c r="E166" s="17">
        <f>STDEV(E149:E163)</f>
        <v>0</v>
      </c>
    </row>
    <row r="169" spans="1:9" x14ac:dyDescent="0.25">
      <c r="A169" s="19">
        <f>'Tabelle 1'!A190</f>
        <v>9</v>
      </c>
      <c r="B169" s="19" t="s">
        <v>36</v>
      </c>
      <c r="C169" s="19" t="s">
        <v>37</v>
      </c>
      <c r="D169" s="19" t="s">
        <v>38</v>
      </c>
      <c r="E169" s="19" t="s">
        <v>39</v>
      </c>
      <c r="H169" s="33" t="s">
        <v>40</v>
      </c>
    </row>
    <row r="170" spans="1:9" x14ac:dyDescent="0.25">
      <c r="A170" s="12">
        <v>1</v>
      </c>
      <c r="B170" s="12">
        <f>VLOOKUP('Tabelle 1'!B192,'Degree of Symptoms'!$J$9:$K$13,2)</f>
        <v>5</v>
      </c>
      <c r="C170" s="12">
        <f>VLOOKUP('Tabelle 1'!C192,'Degree of Symptoms'!$J$13:$K$22,2)</f>
        <v>5</v>
      </c>
      <c r="D170" s="12">
        <f>VLOOKUP('Tabelle 1'!D192,'Degree of Symptoms'!$J$26:$K$30,2)</f>
        <v>5</v>
      </c>
      <c r="E170" s="17">
        <f t="shared" ref="E170:E184" si="15">AVERAGE(B170:D170)</f>
        <v>5</v>
      </c>
      <c r="G170" s="34" t="s">
        <v>41</v>
      </c>
      <c r="H170" s="1">
        <f>COUNTIFS($E$170:$E$184,"&lt;1,99",$E$170:$E$184,"&gt;=1")</f>
        <v>0</v>
      </c>
    </row>
    <row r="171" spans="1:9" x14ac:dyDescent="0.25">
      <c r="A171" s="12">
        <v>2</v>
      </c>
      <c r="B171" s="12">
        <f>VLOOKUP('Tabelle 1'!B193,'Degree of Symptoms'!$J$9:$K$13,2)</f>
        <v>5</v>
      </c>
      <c r="C171" s="12">
        <f>VLOOKUP('Tabelle 1'!C193,'Degree of Symptoms'!$J$13:$K$22,2)</f>
        <v>5</v>
      </c>
      <c r="D171" s="12">
        <f>VLOOKUP('Tabelle 1'!D193,'Degree of Symptoms'!$J$26:$K$30,2)</f>
        <v>5</v>
      </c>
      <c r="E171" s="17">
        <f t="shared" si="15"/>
        <v>5</v>
      </c>
      <c r="G171" s="34" t="s">
        <v>42</v>
      </c>
      <c r="H171" s="1">
        <f>COUNTIFS($E$170:$E$184,"&lt;2,99",$E$170:$E$184,"&gt;=2")</f>
        <v>0</v>
      </c>
    </row>
    <row r="172" spans="1:9" x14ac:dyDescent="0.25">
      <c r="A172" s="12">
        <v>3</v>
      </c>
      <c r="B172" s="12">
        <f>VLOOKUP('Tabelle 1'!B194,'Degree of Symptoms'!$J$9:$K$13,2)</f>
        <v>5</v>
      </c>
      <c r="C172" s="12">
        <f>VLOOKUP('Tabelle 1'!C194,'Degree of Symptoms'!$J$13:$K$22,2)</f>
        <v>5</v>
      </c>
      <c r="D172" s="12">
        <f>VLOOKUP('Tabelle 1'!D194,'Degree of Symptoms'!$J$26:$K$30,2)</f>
        <v>5</v>
      </c>
      <c r="E172" s="17">
        <f t="shared" si="15"/>
        <v>5</v>
      </c>
      <c r="G172" s="34" t="s">
        <v>44</v>
      </c>
      <c r="H172" s="1">
        <f>COUNTIFS($E$170:$E$184,"&lt;3,99",$E$170:$E$184,"&gt;=3")</f>
        <v>0</v>
      </c>
    </row>
    <row r="173" spans="1:9" x14ac:dyDescent="0.25">
      <c r="A173" s="12">
        <v>4</v>
      </c>
      <c r="B173" s="12">
        <f>VLOOKUP('Tabelle 1'!B195,'Degree of Symptoms'!$J$9:$K$13,2)</f>
        <v>5</v>
      </c>
      <c r="C173" s="12">
        <f>VLOOKUP('Tabelle 1'!C195,'Degree of Symptoms'!$J$13:$K$22,2)</f>
        <v>5</v>
      </c>
      <c r="D173" s="12">
        <f>VLOOKUP('Tabelle 1'!D195,'Degree of Symptoms'!$J$26:$K$30,2)</f>
        <v>5</v>
      </c>
      <c r="E173" s="17">
        <f t="shared" si="15"/>
        <v>5</v>
      </c>
      <c r="G173" s="34" t="s">
        <v>46</v>
      </c>
      <c r="H173" s="1">
        <f>COUNTIFS($E$170:$E$184,"&lt;4,99",$E$170:$E$184,"&gt;=4")</f>
        <v>0</v>
      </c>
    </row>
    <row r="174" spans="1:9" x14ac:dyDescent="0.25">
      <c r="A174" s="12">
        <v>5</v>
      </c>
      <c r="B174" s="12">
        <f>VLOOKUP('Tabelle 1'!B196,'Degree of Symptoms'!$J$9:$K$13,2)</f>
        <v>5</v>
      </c>
      <c r="C174" s="12">
        <f>VLOOKUP('Tabelle 1'!C196,'Degree of Symptoms'!$J$13:$K$22,2)</f>
        <v>5</v>
      </c>
      <c r="D174" s="12">
        <f>VLOOKUP('Tabelle 1'!D196,'Degree of Symptoms'!$J$26:$K$30,2)</f>
        <v>5</v>
      </c>
      <c r="E174" s="17">
        <f t="shared" si="15"/>
        <v>5</v>
      </c>
      <c r="G174" s="34">
        <v>5</v>
      </c>
      <c r="H174" s="1">
        <f>COUNTIF($E$170:$E$184,"&gt;=5")</f>
        <v>15</v>
      </c>
    </row>
    <row r="175" spans="1:9" x14ac:dyDescent="0.25">
      <c r="A175" s="12">
        <v>6</v>
      </c>
      <c r="B175" s="12">
        <f>VLOOKUP('Tabelle 1'!B197,'Degree of Symptoms'!$J$9:$K$13,2)</f>
        <v>5</v>
      </c>
      <c r="C175" s="12">
        <f>VLOOKUP('Tabelle 1'!C197,'Degree of Symptoms'!$J$13:$K$22,2)</f>
        <v>5</v>
      </c>
      <c r="D175" s="12">
        <f>VLOOKUP('Tabelle 1'!D197,'Degree of Symptoms'!$J$26:$K$30,2)</f>
        <v>5</v>
      </c>
      <c r="E175" s="17">
        <f t="shared" si="15"/>
        <v>5</v>
      </c>
      <c r="H175" s="1">
        <f>SUM(H170:H174)</f>
        <v>15</v>
      </c>
    </row>
    <row r="176" spans="1:9" x14ac:dyDescent="0.25">
      <c r="A176" s="12">
        <v>7</v>
      </c>
      <c r="B176" s="12">
        <f>VLOOKUP('Tabelle 1'!B198,'Degree of Symptoms'!$J$9:$K$13,2)</f>
        <v>5</v>
      </c>
      <c r="C176" s="12">
        <f>VLOOKUP('Tabelle 1'!C198,'Degree of Symptoms'!$J$13:$K$22,2)</f>
        <v>5</v>
      </c>
      <c r="D176" s="12">
        <f>VLOOKUP('Tabelle 1'!D198,'Degree of Symptoms'!$J$26:$K$30,2)</f>
        <v>5</v>
      </c>
      <c r="E176" s="17">
        <f t="shared" si="15"/>
        <v>5</v>
      </c>
    </row>
    <row r="177" spans="1:9" x14ac:dyDescent="0.25">
      <c r="A177" s="12">
        <v>8</v>
      </c>
      <c r="B177" s="12">
        <f>VLOOKUP('Tabelle 1'!B199,'Degree of Symptoms'!$J$9:$K$13,2)</f>
        <v>5</v>
      </c>
      <c r="C177" s="12">
        <f>VLOOKUP('Tabelle 1'!C199,'Degree of Symptoms'!$J$13:$K$22,2)</f>
        <v>5</v>
      </c>
      <c r="D177" s="12">
        <f>VLOOKUP('Tabelle 1'!D199,'Degree of Symptoms'!$J$26:$K$30,2)</f>
        <v>5</v>
      </c>
      <c r="E177" s="17">
        <f t="shared" si="15"/>
        <v>5</v>
      </c>
    </row>
    <row r="178" spans="1:9" x14ac:dyDescent="0.25">
      <c r="A178" s="12">
        <v>9</v>
      </c>
      <c r="B178" s="12">
        <f>VLOOKUP('Tabelle 1'!B200,'Degree of Symptoms'!$J$9:$K$13,2)</f>
        <v>5</v>
      </c>
      <c r="C178" s="12">
        <f>VLOOKUP('Tabelle 1'!C200,'Degree of Symptoms'!$J$13:$K$22,2)</f>
        <v>5</v>
      </c>
      <c r="D178" s="12">
        <f>VLOOKUP('Tabelle 1'!D200,'Degree of Symptoms'!$J$26:$K$30,2)</f>
        <v>5</v>
      </c>
      <c r="E178" s="17">
        <f t="shared" si="15"/>
        <v>5</v>
      </c>
      <c r="G178" s="33"/>
      <c r="H178" s="33"/>
      <c r="I178" s="33"/>
    </row>
    <row r="179" spans="1:9" x14ac:dyDescent="0.25">
      <c r="A179" s="12">
        <v>10</v>
      </c>
      <c r="B179" s="12">
        <f>VLOOKUP('Tabelle 1'!B201,'Degree of Symptoms'!$J$9:$K$13,2)</f>
        <v>5</v>
      </c>
      <c r="C179" s="12">
        <f>VLOOKUP('Tabelle 1'!C201,'Degree of Symptoms'!$J$13:$K$22,2)</f>
        <v>5</v>
      </c>
      <c r="D179" s="12">
        <f>VLOOKUP('Tabelle 1'!D201,'Degree of Symptoms'!$J$26:$K$30,2)</f>
        <v>5</v>
      </c>
      <c r="E179" s="17">
        <f t="shared" si="15"/>
        <v>5</v>
      </c>
      <c r="G179" s="33"/>
      <c r="H179" s="2"/>
      <c r="I179" s="2"/>
    </row>
    <row r="180" spans="1:9" x14ac:dyDescent="0.25">
      <c r="A180" s="12">
        <v>11</v>
      </c>
      <c r="B180" s="12">
        <f>VLOOKUP('Tabelle 1'!B202,'Degree of Symptoms'!$J$9:$K$13,2)</f>
        <v>5</v>
      </c>
      <c r="C180" s="12">
        <f>VLOOKUP('Tabelle 1'!C202,'Degree of Symptoms'!$J$13:$K$22,2)</f>
        <v>5</v>
      </c>
      <c r="D180" s="12">
        <f>VLOOKUP('Tabelle 1'!D202,'Degree of Symptoms'!$J$26:$K$30,2)</f>
        <v>5</v>
      </c>
      <c r="E180" s="17">
        <f t="shared" si="15"/>
        <v>5</v>
      </c>
      <c r="G180" s="33"/>
      <c r="H180" s="2"/>
      <c r="I180" s="2"/>
    </row>
    <row r="181" spans="1:9" x14ac:dyDescent="0.25">
      <c r="A181" s="12">
        <v>12</v>
      </c>
      <c r="B181" s="12">
        <f>VLOOKUP('Tabelle 1'!B203,'Degree of Symptoms'!$J$9:$K$13,2)</f>
        <v>5</v>
      </c>
      <c r="C181" s="12">
        <f>VLOOKUP('Tabelle 1'!C203,'Degree of Symptoms'!$J$13:$K$22,2)</f>
        <v>5</v>
      </c>
      <c r="D181" s="12">
        <f>VLOOKUP('Tabelle 1'!D203,'Degree of Symptoms'!$J$26:$K$30,2)</f>
        <v>5</v>
      </c>
      <c r="E181" s="17">
        <f t="shared" si="15"/>
        <v>5</v>
      </c>
      <c r="G181" s="33"/>
      <c r="H181" s="2"/>
      <c r="I181" s="2"/>
    </row>
    <row r="182" spans="1:9" x14ac:dyDescent="0.25">
      <c r="A182" s="12">
        <v>13</v>
      </c>
      <c r="B182" s="12">
        <f>VLOOKUP('Tabelle 1'!B204,'Degree of Symptoms'!$J$9:$K$13,2)</f>
        <v>5</v>
      </c>
      <c r="C182" s="12">
        <f>VLOOKUP('Tabelle 1'!C204,'Degree of Symptoms'!$J$13:$K$22,2)</f>
        <v>5</v>
      </c>
      <c r="D182" s="12">
        <f>VLOOKUP('Tabelle 1'!D204,'Degree of Symptoms'!$J$26:$K$30,2)</f>
        <v>5</v>
      </c>
      <c r="E182" s="17">
        <f t="shared" si="15"/>
        <v>5</v>
      </c>
      <c r="G182" s="33"/>
      <c r="H182" s="2"/>
      <c r="I182" s="2"/>
    </row>
    <row r="183" spans="1:9" x14ac:dyDescent="0.25">
      <c r="A183" s="12">
        <v>14</v>
      </c>
      <c r="B183" s="12">
        <f>VLOOKUP('Tabelle 1'!B205,'Degree of Symptoms'!$J$9:$K$13,2)</f>
        <v>5</v>
      </c>
      <c r="C183" s="12">
        <f>VLOOKUP('Tabelle 1'!C205,'Degree of Symptoms'!$J$13:$K$22,2)</f>
        <v>5</v>
      </c>
      <c r="D183" s="12">
        <f>VLOOKUP('Tabelle 1'!D205,'Degree of Symptoms'!$J$26:$K$30,2)</f>
        <v>5</v>
      </c>
      <c r="E183" s="17">
        <f t="shared" si="15"/>
        <v>5</v>
      </c>
      <c r="G183" s="33"/>
      <c r="H183" s="2"/>
      <c r="I183" s="2"/>
    </row>
    <row r="184" spans="1:9" x14ac:dyDescent="0.25">
      <c r="A184" s="12">
        <v>15</v>
      </c>
      <c r="B184" s="12">
        <f>VLOOKUP('Tabelle 1'!B206,'Degree of Symptoms'!$J$9:$K$13,2)</f>
        <v>5</v>
      </c>
      <c r="C184" s="12">
        <f>VLOOKUP('Tabelle 1'!C206,'Degree of Symptoms'!$J$13:$K$22,2)</f>
        <v>5</v>
      </c>
      <c r="D184" s="12">
        <f>VLOOKUP('Tabelle 1'!D206,'Degree of Symptoms'!$J$26:$K$30,2)</f>
        <v>5</v>
      </c>
      <c r="E184" s="17">
        <f t="shared" si="15"/>
        <v>5</v>
      </c>
    </row>
    <row r="185" spans="1:9" x14ac:dyDescent="0.25">
      <c r="A185" s="12"/>
      <c r="B185" s="12"/>
      <c r="C185" s="12"/>
      <c r="D185" s="12"/>
      <c r="E185" s="17"/>
      <c r="F185" s="2" t="s">
        <v>12</v>
      </c>
    </row>
    <row r="186" spans="1:9" x14ac:dyDescent="0.25">
      <c r="A186" s="19" t="s">
        <v>48</v>
      </c>
      <c r="B186" s="12">
        <f>AVERAGE(B170:B184)</f>
        <v>5</v>
      </c>
      <c r="C186" s="12">
        <f>AVERAGE(C170:C184)</f>
        <v>5</v>
      </c>
      <c r="D186" s="12">
        <f>AVERAGE(D170:D184)</f>
        <v>5</v>
      </c>
      <c r="E186" s="17">
        <f>AVERAGE(E170:E184)</f>
        <v>5</v>
      </c>
      <c r="F186" s="2">
        <f>'Tabelle 1'!F208</f>
        <v>15</v>
      </c>
    </row>
    <row r="187" spans="1:9" x14ac:dyDescent="0.25">
      <c r="A187" s="19" t="s">
        <v>49</v>
      </c>
      <c r="B187" s="12">
        <f>STDEV(B170:B184)</f>
        <v>0</v>
      </c>
      <c r="C187" s="12">
        <f>STDEV(C170:C184)</f>
        <v>0</v>
      </c>
      <c r="D187" s="12">
        <f>STDEV(D170:D184)</f>
        <v>0</v>
      </c>
      <c r="E187" s="17">
        <f>STDEV(E170:E184)</f>
        <v>0</v>
      </c>
    </row>
    <row r="190" spans="1:9" x14ac:dyDescent="0.25">
      <c r="A190" s="19">
        <f>'Tabelle 1'!A211</f>
        <v>10</v>
      </c>
      <c r="B190" s="19" t="s">
        <v>36</v>
      </c>
      <c r="C190" s="19" t="s">
        <v>37</v>
      </c>
      <c r="D190" s="19" t="s">
        <v>38</v>
      </c>
      <c r="E190" s="19" t="s">
        <v>39</v>
      </c>
      <c r="H190" s="33" t="s">
        <v>40</v>
      </c>
    </row>
    <row r="191" spans="1:9" x14ac:dyDescent="0.25">
      <c r="A191" s="12">
        <v>1</v>
      </c>
      <c r="B191" s="12">
        <f>VLOOKUP('Tabelle 1'!B213,'Degree of Symptoms'!$J$9:$K$13,2)</f>
        <v>5</v>
      </c>
      <c r="C191" s="12">
        <f>VLOOKUP('Tabelle 1'!C213,'Degree of Symptoms'!$J$13:$K$22,2)</f>
        <v>5</v>
      </c>
      <c r="D191" s="12">
        <f>VLOOKUP('Tabelle 1'!D213,'Degree of Symptoms'!$J$26:$K$30,2)</f>
        <v>5</v>
      </c>
      <c r="E191" s="17">
        <f t="shared" ref="E191:E205" si="16">AVERAGE(B191:D191)</f>
        <v>5</v>
      </c>
      <c r="G191" s="34" t="s">
        <v>41</v>
      </c>
      <c r="H191" s="1">
        <f>COUNTIFS($E$191:$E$205,"&lt;1,99",$E$191:$E$205,"&gt;=1")</f>
        <v>0</v>
      </c>
    </row>
    <row r="192" spans="1:9" x14ac:dyDescent="0.25">
      <c r="A192" s="12">
        <v>2</v>
      </c>
      <c r="B192" s="12">
        <f>VLOOKUP('Tabelle 1'!B214,'Degree of Symptoms'!$J$9:$K$13,2)</f>
        <v>5</v>
      </c>
      <c r="C192" s="12">
        <f>VLOOKUP('Tabelle 1'!C214,'Degree of Symptoms'!$J$13:$K$22,2)</f>
        <v>5</v>
      </c>
      <c r="D192" s="12">
        <f>VLOOKUP('Tabelle 1'!D214,'Degree of Symptoms'!$J$26:$K$30,2)</f>
        <v>5</v>
      </c>
      <c r="E192" s="17">
        <f t="shared" si="16"/>
        <v>5</v>
      </c>
      <c r="G192" s="34" t="s">
        <v>42</v>
      </c>
      <c r="H192" s="1">
        <f>COUNTIFS($E$191:$E$205,"&lt;2,99",$E$191:$E$205,"&gt;=2")</f>
        <v>0</v>
      </c>
    </row>
    <row r="193" spans="1:9" x14ac:dyDescent="0.25">
      <c r="A193" s="12">
        <v>3</v>
      </c>
      <c r="B193" s="12">
        <f>VLOOKUP('Tabelle 1'!B215,'Degree of Symptoms'!$J$9:$K$13,2)</f>
        <v>5</v>
      </c>
      <c r="C193" s="12">
        <f>VLOOKUP('Tabelle 1'!C215,'Degree of Symptoms'!$J$13:$K$22,2)</f>
        <v>5</v>
      </c>
      <c r="D193" s="12">
        <f>VLOOKUP('Tabelle 1'!D215,'Degree of Symptoms'!$J$26:$K$30,2)</f>
        <v>5</v>
      </c>
      <c r="E193" s="17">
        <f t="shared" si="16"/>
        <v>5</v>
      </c>
      <c r="G193" s="34" t="s">
        <v>44</v>
      </c>
      <c r="H193" s="1">
        <f>COUNTIFS($E$191:$E$205,"&lt;3,99",$E$191:$E$205,"&gt;=3")</f>
        <v>0</v>
      </c>
    </row>
    <row r="194" spans="1:9" x14ac:dyDescent="0.25">
      <c r="A194" s="12">
        <v>4</v>
      </c>
      <c r="B194" s="12">
        <f>VLOOKUP('Tabelle 1'!B216,'Degree of Symptoms'!$J$9:$K$13,2)</f>
        <v>5</v>
      </c>
      <c r="C194" s="12">
        <f>VLOOKUP('Tabelle 1'!C216,'Degree of Symptoms'!$J$13:$K$22,2)</f>
        <v>5</v>
      </c>
      <c r="D194" s="12">
        <f>VLOOKUP('Tabelle 1'!D216,'Degree of Symptoms'!$J$26:$K$30,2)</f>
        <v>5</v>
      </c>
      <c r="E194" s="17">
        <f t="shared" si="16"/>
        <v>5</v>
      </c>
      <c r="G194" s="34" t="s">
        <v>46</v>
      </c>
      <c r="H194" s="1">
        <f>COUNTIFS($E$191:$E$205,"&lt;4,99",$E$191:$E$205,"&gt;=4")</f>
        <v>0</v>
      </c>
    </row>
    <row r="195" spans="1:9" x14ac:dyDescent="0.25">
      <c r="A195" s="12">
        <v>5</v>
      </c>
      <c r="B195" s="12">
        <f>VLOOKUP('Tabelle 1'!B217,'Degree of Symptoms'!$J$9:$K$13,2)</f>
        <v>5</v>
      </c>
      <c r="C195" s="12">
        <f>VLOOKUP('Tabelle 1'!C217,'Degree of Symptoms'!$J$13:$K$22,2)</f>
        <v>5</v>
      </c>
      <c r="D195" s="12">
        <f>VLOOKUP('Tabelle 1'!D217,'Degree of Symptoms'!$J$26:$K$30,2)</f>
        <v>5</v>
      </c>
      <c r="E195" s="17">
        <f t="shared" si="16"/>
        <v>5</v>
      </c>
      <c r="G195" s="34">
        <v>5</v>
      </c>
      <c r="H195" s="1">
        <f>COUNTIF($E$191:$E$205,"&gt;=5")</f>
        <v>15</v>
      </c>
    </row>
    <row r="196" spans="1:9" x14ac:dyDescent="0.25">
      <c r="A196" s="12">
        <v>6</v>
      </c>
      <c r="B196" s="12">
        <f>VLOOKUP('Tabelle 1'!B218,'Degree of Symptoms'!$J$9:$K$13,2)</f>
        <v>5</v>
      </c>
      <c r="C196" s="12">
        <f>VLOOKUP('Tabelle 1'!C218,'Degree of Symptoms'!$J$13:$K$22,2)</f>
        <v>5</v>
      </c>
      <c r="D196" s="12">
        <f>VLOOKUP('Tabelle 1'!D218,'Degree of Symptoms'!$J$26:$K$30,2)</f>
        <v>5</v>
      </c>
      <c r="E196" s="17">
        <f t="shared" si="16"/>
        <v>5</v>
      </c>
      <c r="H196" s="1">
        <f>SUM(H191:H195)</f>
        <v>15</v>
      </c>
    </row>
    <row r="197" spans="1:9" x14ac:dyDescent="0.25">
      <c r="A197" s="12">
        <v>7</v>
      </c>
      <c r="B197" s="12">
        <f>VLOOKUP('Tabelle 1'!B219,'Degree of Symptoms'!$J$9:$K$13,2)</f>
        <v>5</v>
      </c>
      <c r="C197" s="12">
        <f>VLOOKUP('Tabelle 1'!C219,'Degree of Symptoms'!$J$13:$K$22,2)</f>
        <v>5</v>
      </c>
      <c r="D197" s="12">
        <f>VLOOKUP('Tabelle 1'!D219,'Degree of Symptoms'!$J$26:$K$30,2)</f>
        <v>5</v>
      </c>
      <c r="E197" s="17">
        <f t="shared" si="16"/>
        <v>5</v>
      </c>
    </row>
    <row r="198" spans="1:9" x14ac:dyDescent="0.25">
      <c r="A198" s="12">
        <v>8</v>
      </c>
      <c r="B198" s="12">
        <f>VLOOKUP('Tabelle 1'!B220,'Degree of Symptoms'!$J$9:$K$13,2)</f>
        <v>5</v>
      </c>
      <c r="C198" s="12">
        <f>VLOOKUP('Tabelle 1'!C220,'Degree of Symptoms'!$J$13:$K$22,2)</f>
        <v>5</v>
      </c>
      <c r="D198" s="12">
        <f>VLOOKUP('Tabelle 1'!D220,'Degree of Symptoms'!$J$26:$K$30,2)</f>
        <v>5</v>
      </c>
      <c r="E198" s="17">
        <f t="shared" si="16"/>
        <v>5</v>
      </c>
    </row>
    <row r="199" spans="1:9" x14ac:dyDescent="0.25">
      <c r="A199" s="12">
        <v>9</v>
      </c>
      <c r="B199" s="12">
        <f>VLOOKUP('Tabelle 1'!B221,'Degree of Symptoms'!$J$9:$K$13,2)</f>
        <v>5</v>
      </c>
      <c r="C199" s="12">
        <f>VLOOKUP('Tabelle 1'!C221,'Degree of Symptoms'!$J$13:$K$22,2)</f>
        <v>5</v>
      </c>
      <c r="D199" s="12">
        <f>VLOOKUP('Tabelle 1'!D221,'Degree of Symptoms'!$J$26:$K$30,2)</f>
        <v>5</v>
      </c>
      <c r="E199" s="17">
        <f t="shared" si="16"/>
        <v>5</v>
      </c>
      <c r="G199" s="33"/>
      <c r="H199" s="33"/>
      <c r="I199" s="33"/>
    </row>
    <row r="200" spans="1:9" x14ac:dyDescent="0.25">
      <c r="A200" s="12">
        <v>10</v>
      </c>
      <c r="B200" s="12">
        <f>VLOOKUP('Tabelle 1'!B222,'Degree of Symptoms'!$J$9:$K$13,2)</f>
        <v>5</v>
      </c>
      <c r="C200" s="12">
        <f>VLOOKUP('Tabelle 1'!C222,'Degree of Symptoms'!$J$13:$K$22,2)</f>
        <v>5</v>
      </c>
      <c r="D200" s="12">
        <f>VLOOKUP('Tabelle 1'!D222,'Degree of Symptoms'!$J$26:$K$30,2)</f>
        <v>5</v>
      </c>
      <c r="E200" s="17">
        <f t="shared" si="16"/>
        <v>5</v>
      </c>
      <c r="G200" s="33"/>
      <c r="H200" s="2"/>
      <c r="I200" s="2"/>
    </row>
    <row r="201" spans="1:9" x14ac:dyDescent="0.25">
      <c r="A201" s="12">
        <v>11</v>
      </c>
      <c r="B201" s="12">
        <f>VLOOKUP('Tabelle 1'!B223,'Degree of Symptoms'!$J$9:$K$13,2)</f>
        <v>5</v>
      </c>
      <c r="C201" s="12">
        <f>VLOOKUP('Tabelle 1'!C223,'Degree of Symptoms'!$J$13:$K$22,2)</f>
        <v>5</v>
      </c>
      <c r="D201" s="12">
        <f>VLOOKUP('Tabelle 1'!D223,'Degree of Symptoms'!$J$26:$K$30,2)</f>
        <v>5</v>
      </c>
      <c r="E201" s="17">
        <f t="shared" si="16"/>
        <v>5</v>
      </c>
      <c r="G201" s="33"/>
      <c r="H201" s="2"/>
      <c r="I201" s="2"/>
    </row>
    <row r="202" spans="1:9" x14ac:dyDescent="0.25">
      <c r="A202" s="12">
        <v>12</v>
      </c>
      <c r="B202" s="12">
        <f>VLOOKUP('Tabelle 1'!B224,'Degree of Symptoms'!$J$9:$K$13,2)</f>
        <v>5</v>
      </c>
      <c r="C202" s="12">
        <f>VLOOKUP('Tabelle 1'!C224,'Degree of Symptoms'!$J$13:$K$22,2)</f>
        <v>5</v>
      </c>
      <c r="D202" s="12">
        <f>VLOOKUP('Tabelle 1'!D224,'Degree of Symptoms'!$J$26:$K$30,2)</f>
        <v>5</v>
      </c>
      <c r="E202" s="17">
        <f t="shared" si="16"/>
        <v>5</v>
      </c>
      <c r="G202" s="33"/>
      <c r="H202" s="2"/>
      <c r="I202" s="2"/>
    </row>
    <row r="203" spans="1:9" x14ac:dyDescent="0.25">
      <c r="A203" s="12">
        <v>13</v>
      </c>
      <c r="B203" s="12">
        <f>VLOOKUP('Tabelle 1'!B225,'Degree of Symptoms'!$J$9:$K$13,2)</f>
        <v>5</v>
      </c>
      <c r="C203" s="12">
        <f>VLOOKUP('Tabelle 1'!C225,'Degree of Symptoms'!$J$13:$K$22,2)</f>
        <v>5</v>
      </c>
      <c r="D203" s="12">
        <f>VLOOKUP('Tabelle 1'!D225,'Degree of Symptoms'!$J$26:$K$30,2)</f>
        <v>5</v>
      </c>
      <c r="E203" s="17">
        <f t="shared" si="16"/>
        <v>5</v>
      </c>
      <c r="G203" s="33"/>
      <c r="H203" s="2"/>
      <c r="I203" s="2"/>
    </row>
    <row r="204" spans="1:9" x14ac:dyDescent="0.25">
      <c r="A204" s="12">
        <v>14</v>
      </c>
      <c r="B204" s="12">
        <f>VLOOKUP('Tabelle 1'!B226,'Degree of Symptoms'!$J$9:$K$13,2)</f>
        <v>5</v>
      </c>
      <c r="C204" s="12">
        <f>VLOOKUP('Tabelle 1'!C226,'Degree of Symptoms'!$J$13:$K$22,2)</f>
        <v>5</v>
      </c>
      <c r="D204" s="12">
        <f>VLOOKUP('Tabelle 1'!D226,'Degree of Symptoms'!$J$26:$K$30,2)</f>
        <v>5</v>
      </c>
      <c r="E204" s="17">
        <f t="shared" si="16"/>
        <v>5</v>
      </c>
      <c r="G204" s="33"/>
      <c r="H204" s="2"/>
      <c r="I204" s="2"/>
    </row>
    <row r="205" spans="1:9" x14ac:dyDescent="0.25">
      <c r="A205" s="12">
        <v>15</v>
      </c>
      <c r="B205" s="12">
        <f>VLOOKUP('Tabelle 1'!B227,'Degree of Symptoms'!$J$9:$K$13,2)</f>
        <v>5</v>
      </c>
      <c r="C205" s="12">
        <f>VLOOKUP('Tabelle 1'!C227,'Degree of Symptoms'!$J$13:$K$22,2)</f>
        <v>5</v>
      </c>
      <c r="D205" s="12">
        <f>VLOOKUP('Tabelle 1'!D227,'Degree of Symptoms'!$J$26:$K$30,2)</f>
        <v>5</v>
      </c>
      <c r="E205" s="17">
        <f t="shared" si="16"/>
        <v>5</v>
      </c>
    </row>
    <row r="206" spans="1:9" x14ac:dyDescent="0.25">
      <c r="A206" s="12"/>
      <c r="B206" s="12"/>
      <c r="C206" s="12"/>
      <c r="D206" s="12"/>
      <c r="E206" s="17"/>
      <c r="F206" s="2" t="s">
        <v>12</v>
      </c>
    </row>
    <row r="207" spans="1:9" x14ac:dyDescent="0.25">
      <c r="A207" s="19" t="s">
        <v>48</v>
      </c>
      <c r="B207" s="12">
        <f>AVERAGE(B191:B205)</f>
        <v>5</v>
      </c>
      <c r="C207" s="12">
        <f>AVERAGE(C191:C205)</f>
        <v>5</v>
      </c>
      <c r="D207" s="12">
        <f>AVERAGE(D191:D205)</f>
        <v>5</v>
      </c>
      <c r="E207" s="17">
        <f>AVERAGE(E191:E205)</f>
        <v>5</v>
      </c>
      <c r="F207" s="2">
        <f>'Tabelle 1'!F229</f>
        <v>15</v>
      </c>
    </row>
    <row r="208" spans="1:9" x14ac:dyDescent="0.25">
      <c r="A208" s="19" t="s">
        <v>49</v>
      </c>
      <c r="B208" s="12">
        <f>STDEV(B191:B205)</f>
        <v>0</v>
      </c>
      <c r="C208" s="12">
        <f>STDEV(C191:C205)</f>
        <v>0</v>
      </c>
      <c r="D208" s="12">
        <f>STDEV(D191:D205)</f>
        <v>0</v>
      </c>
      <c r="E208" s="17">
        <f>STDEV(E191:E205)</f>
        <v>0</v>
      </c>
    </row>
    <row r="211" spans="1:9" x14ac:dyDescent="0.25">
      <c r="A211" s="19">
        <f>'Tabelle 1'!A232</f>
        <v>11</v>
      </c>
      <c r="B211" s="19" t="s">
        <v>36</v>
      </c>
      <c r="C211" s="19" t="s">
        <v>37</v>
      </c>
      <c r="D211" s="19" t="s">
        <v>38</v>
      </c>
      <c r="E211" s="19" t="s">
        <v>39</v>
      </c>
      <c r="H211" s="33" t="s">
        <v>40</v>
      </c>
    </row>
    <row r="212" spans="1:9" x14ac:dyDescent="0.25">
      <c r="A212" s="12">
        <v>1</v>
      </c>
      <c r="B212" s="12">
        <f>VLOOKUP('Tabelle 1'!B234,'Degree of Symptoms'!$J$9:$K$13,2)</f>
        <v>5</v>
      </c>
      <c r="C212" s="12">
        <f>VLOOKUP('Tabelle 1'!C234,'Degree of Symptoms'!$J$13:$K$22,2)</f>
        <v>5</v>
      </c>
      <c r="D212" s="12">
        <f>VLOOKUP('Tabelle 1'!D234,'Degree of Symptoms'!$J$26:$K$30,2)</f>
        <v>5</v>
      </c>
      <c r="E212" s="17">
        <f t="shared" ref="E212:E226" si="17">AVERAGE(B212:D212)</f>
        <v>5</v>
      </c>
      <c r="G212" s="34" t="s">
        <v>41</v>
      </c>
      <c r="H212" s="1">
        <f>COUNTIFS($E$212:$E$226,"&lt;1,99",$E$212:$E$226,"&gt;=1")</f>
        <v>0</v>
      </c>
    </row>
    <row r="213" spans="1:9" x14ac:dyDescent="0.25">
      <c r="A213" s="12">
        <v>2</v>
      </c>
      <c r="B213" s="12">
        <f>VLOOKUP('Tabelle 1'!B235,'Degree of Symptoms'!$J$9:$K$13,2)</f>
        <v>5</v>
      </c>
      <c r="C213" s="12">
        <f>VLOOKUP('Tabelle 1'!C235,'Degree of Symptoms'!$J$13:$K$22,2)</f>
        <v>5</v>
      </c>
      <c r="D213" s="12">
        <f>VLOOKUP('Tabelle 1'!D235,'Degree of Symptoms'!$J$26:$K$30,2)</f>
        <v>5</v>
      </c>
      <c r="E213" s="17">
        <f t="shared" si="17"/>
        <v>5</v>
      </c>
      <c r="G213" s="34" t="s">
        <v>42</v>
      </c>
      <c r="H213" s="1">
        <f>COUNTIFS($E$212:$E$226,"&lt;2,99",$E$212:$E$226,"&gt;=2")</f>
        <v>0</v>
      </c>
    </row>
    <row r="214" spans="1:9" x14ac:dyDescent="0.25">
      <c r="A214" s="12">
        <v>3</v>
      </c>
      <c r="B214" s="12">
        <f>VLOOKUP('Tabelle 1'!B236,'Degree of Symptoms'!$J$9:$K$13,2)</f>
        <v>5</v>
      </c>
      <c r="C214" s="12">
        <f>VLOOKUP('Tabelle 1'!C236,'Degree of Symptoms'!$J$13:$K$22,2)</f>
        <v>5</v>
      </c>
      <c r="D214" s="12">
        <f>VLOOKUP('Tabelle 1'!D236,'Degree of Symptoms'!$J$26:$K$30,2)</f>
        <v>5</v>
      </c>
      <c r="E214" s="17">
        <f t="shared" si="17"/>
        <v>5</v>
      </c>
      <c r="G214" s="34" t="s">
        <v>44</v>
      </c>
      <c r="H214" s="1">
        <f>COUNTIFS($E$212:$E$226,"&lt;3,99",$E$212:$E$226,"&gt;=3")</f>
        <v>0</v>
      </c>
    </row>
    <row r="215" spans="1:9" x14ac:dyDescent="0.25">
      <c r="A215" s="12">
        <v>4</v>
      </c>
      <c r="B215" s="12">
        <f>VLOOKUP('Tabelle 1'!B237,'Degree of Symptoms'!$J$9:$K$13,2)</f>
        <v>5</v>
      </c>
      <c r="C215" s="12">
        <f>VLOOKUP('Tabelle 1'!C237,'Degree of Symptoms'!$J$13:$K$22,2)</f>
        <v>5</v>
      </c>
      <c r="D215" s="12">
        <f>VLOOKUP('Tabelle 1'!D237,'Degree of Symptoms'!$J$26:$K$30,2)</f>
        <v>5</v>
      </c>
      <c r="E215" s="17">
        <f t="shared" si="17"/>
        <v>5</v>
      </c>
      <c r="G215" s="34" t="s">
        <v>46</v>
      </c>
      <c r="H215" s="1">
        <f>COUNTIFS($E$212:$E$226,"&lt;4,99",$E$212:$E$226,"&gt;=4")</f>
        <v>0</v>
      </c>
    </row>
    <row r="216" spans="1:9" x14ac:dyDescent="0.25">
      <c r="A216" s="12">
        <v>5</v>
      </c>
      <c r="B216" s="12">
        <f>VLOOKUP('Tabelle 1'!B238,'Degree of Symptoms'!$J$9:$K$13,2)</f>
        <v>5</v>
      </c>
      <c r="C216" s="12">
        <f>VLOOKUP('Tabelle 1'!C238,'Degree of Symptoms'!$J$13:$K$22,2)</f>
        <v>5</v>
      </c>
      <c r="D216" s="12">
        <f>VLOOKUP('Tabelle 1'!D238,'Degree of Symptoms'!$J$26:$K$30,2)</f>
        <v>5</v>
      </c>
      <c r="E216" s="17">
        <f t="shared" si="17"/>
        <v>5</v>
      </c>
      <c r="G216" s="34">
        <v>5</v>
      </c>
      <c r="H216" s="1">
        <f>COUNTIF($E$212:$E$226,"&gt;=5")</f>
        <v>15</v>
      </c>
    </row>
    <row r="217" spans="1:9" x14ac:dyDescent="0.25">
      <c r="A217" s="12">
        <v>6</v>
      </c>
      <c r="B217" s="12">
        <f>VLOOKUP('Tabelle 1'!B239,'Degree of Symptoms'!$J$9:$K$13,2)</f>
        <v>5</v>
      </c>
      <c r="C217" s="12">
        <f>VLOOKUP('Tabelle 1'!C239,'Degree of Symptoms'!$J$13:$K$22,2)</f>
        <v>5</v>
      </c>
      <c r="D217" s="12">
        <f>VLOOKUP('Tabelle 1'!D239,'Degree of Symptoms'!$J$26:$K$30,2)</f>
        <v>5</v>
      </c>
      <c r="E217" s="17">
        <f t="shared" si="17"/>
        <v>5</v>
      </c>
      <c r="H217" s="1">
        <f>SUM(H212:H216)</f>
        <v>15</v>
      </c>
    </row>
    <row r="218" spans="1:9" x14ac:dyDescent="0.25">
      <c r="A218" s="12">
        <v>7</v>
      </c>
      <c r="B218" s="12">
        <f>VLOOKUP('Tabelle 1'!B240,'Degree of Symptoms'!$J$9:$K$13,2)</f>
        <v>5</v>
      </c>
      <c r="C218" s="12">
        <f>VLOOKUP('Tabelle 1'!C240,'Degree of Symptoms'!$J$13:$K$22,2)</f>
        <v>5</v>
      </c>
      <c r="D218" s="12">
        <f>VLOOKUP('Tabelle 1'!D240,'Degree of Symptoms'!$J$26:$K$30,2)</f>
        <v>5</v>
      </c>
      <c r="E218" s="17">
        <f t="shared" si="17"/>
        <v>5</v>
      </c>
    </row>
    <row r="219" spans="1:9" x14ac:dyDescent="0.25">
      <c r="A219" s="12">
        <v>8</v>
      </c>
      <c r="B219" s="12">
        <f>VLOOKUP('Tabelle 1'!B241,'Degree of Symptoms'!$J$9:$K$13,2)</f>
        <v>5</v>
      </c>
      <c r="C219" s="12">
        <f>VLOOKUP('Tabelle 1'!C241,'Degree of Symptoms'!$J$13:$K$22,2)</f>
        <v>5</v>
      </c>
      <c r="D219" s="12">
        <f>VLOOKUP('Tabelle 1'!D241,'Degree of Symptoms'!$J$26:$K$30,2)</f>
        <v>5</v>
      </c>
      <c r="E219" s="17">
        <f t="shared" si="17"/>
        <v>5</v>
      </c>
    </row>
    <row r="220" spans="1:9" x14ac:dyDescent="0.25">
      <c r="A220" s="12">
        <v>9</v>
      </c>
      <c r="B220" s="12">
        <f>VLOOKUP('Tabelle 1'!B242,'Degree of Symptoms'!$J$9:$K$13,2)</f>
        <v>5</v>
      </c>
      <c r="C220" s="12">
        <f>VLOOKUP('Tabelle 1'!C242,'Degree of Symptoms'!$J$13:$K$22,2)</f>
        <v>5</v>
      </c>
      <c r="D220" s="12">
        <f>VLOOKUP('Tabelle 1'!D242,'Degree of Symptoms'!$J$26:$K$30,2)</f>
        <v>5</v>
      </c>
      <c r="E220" s="17">
        <f t="shared" si="17"/>
        <v>5</v>
      </c>
      <c r="G220" s="33"/>
      <c r="H220" s="33"/>
      <c r="I220" s="33"/>
    </row>
    <row r="221" spans="1:9" x14ac:dyDescent="0.25">
      <c r="A221" s="12">
        <v>10</v>
      </c>
      <c r="B221" s="12">
        <f>VLOOKUP('Tabelle 1'!B243,'Degree of Symptoms'!$J$9:$K$13,2)</f>
        <v>5</v>
      </c>
      <c r="C221" s="12">
        <f>VLOOKUP('Tabelle 1'!C243,'Degree of Symptoms'!$J$13:$K$22,2)</f>
        <v>5</v>
      </c>
      <c r="D221" s="12">
        <f>VLOOKUP('Tabelle 1'!D243,'Degree of Symptoms'!$J$26:$K$30,2)</f>
        <v>5</v>
      </c>
      <c r="E221" s="17">
        <f t="shared" si="17"/>
        <v>5</v>
      </c>
      <c r="G221" s="33"/>
      <c r="H221" s="2"/>
      <c r="I221" s="2"/>
    </row>
    <row r="222" spans="1:9" x14ac:dyDescent="0.25">
      <c r="A222" s="12">
        <v>11</v>
      </c>
      <c r="B222" s="12">
        <f>VLOOKUP('Tabelle 1'!B244,'Degree of Symptoms'!$J$9:$K$13,2)</f>
        <v>5</v>
      </c>
      <c r="C222" s="12">
        <f>VLOOKUP('Tabelle 1'!C244,'Degree of Symptoms'!$J$13:$K$22,2)</f>
        <v>5</v>
      </c>
      <c r="D222" s="12">
        <f>VLOOKUP('Tabelle 1'!D244,'Degree of Symptoms'!$J$26:$K$30,2)</f>
        <v>5</v>
      </c>
      <c r="E222" s="17">
        <f t="shared" si="17"/>
        <v>5</v>
      </c>
      <c r="G222" s="33"/>
      <c r="H222" s="2"/>
      <c r="I222" s="2"/>
    </row>
    <row r="223" spans="1:9" x14ac:dyDescent="0.25">
      <c r="A223" s="12">
        <v>12</v>
      </c>
      <c r="B223" s="12">
        <f>VLOOKUP('Tabelle 1'!B245,'Degree of Symptoms'!$J$9:$K$13,2)</f>
        <v>5</v>
      </c>
      <c r="C223" s="12">
        <f>VLOOKUP('Tabelle 1'!C245,'Degree of Symptoms'!$J$13:$K$22,2)</f>
        <v>5</v>
      </c>
      <c r="D223" s="12">
        <f>VLOOKUP('Tabelle 1'!D245,'Degree of Symptoms'!$J$26:$K$30,2)</f>
        <v>5</v>
      </c>
      <c r="E223" s="17">
        <f t="shared" si="17"/>
        <v>5</v>
      </c>
      <c r="G223" s="33"/>
      <c r="H223" s="2"/>
      <c r="I223" s="2"/>
    </row>
    <row r="224" spans="1:9" x14ac:dyDescent="0.25">
      <c r="A224" s="12">
        <v>13</v>
      </c>
      <c r="B224" s="12">
        <f>VLOOKUP('Tabelle 1'!B246,'Degree of Symptoms'!$J$9:$K$13,2)</f>
        <v>5</v>
      </c>
      <c r="C224" s="12">
        <f>VLOOKUP('Tabelle 1'!C246,'Degree of Symptoms'!$J$13:$K$22,2)</f>
        <v>5</v>
      </c>
      <c r="D224" s="12">
        <f>VLOOKUP('Tabelle 1'!D246,'Degree of Symptoms'!$J$26:$K$30,2)</f>
        <v>5</v>
      </c>
      <c r="E224" s="17">
        <f t="shared" si="17"/>
        <v>5</v>
      </c>
      <c r="G224" s="33"/>
      <c r="H224" s="2"/>
      <c r="I224" s="2"/>
    </row>
    <row r="225" spans="1:9" x14ac:dyDescent="0.25">
      <c r="A225" s="12">
        <v>14</v>
      </c>
      <c r="B225" s="12">
        <f>VLOOKUP('Tabelle 1'!B247,'Degree of Symptoms'!$J$9:$K$13,2)</f>
        <v>5</v>
      </c>
      <c r="C225" s="12">
        <f>VLOOKUP('Tabelle 1'!C247,'Degree of Symptoms'!$J$13:$K$22,2)</f>
        <v>5</v>
      </c>
      <c r="D225" s="12">
        <f>VLOOKUP('Tabelle 1'!D247,'Degree of Symptoms'!$J$26:$K$30,2)</f>
        <v>5</v>
      </c>
      <c r="E225" s="17">
        <f t="shared" si="17"/>
        <v>5</v>
      </c>
      <c r="G225" s="33"/>
      <c r="H225" s="2"/>
      <c r="I225" s="2"/>
    </row>
    <row r="226" spans="1:9" x14ac:dyDescent="0.25">
      <c r="A226" s="12">
        <v>15</v>
      </c>
      <c r="B226" s="12">
        <f>VLOOKUP('Tabelle 1'!B248,'Degree of Symptoms'!$J$9:$K$13,2)</f>
        <v>5</v>
      </c>
      <c r="C226" s="12">
        <f>VLOOKUP('Tabelle 1'!C248,'Degree of Symptoms'!$J$13:$K$22,2)</f>
        <v>5</v>
      </c>
      <c r="D226" s="12">
        <f>VLOOKUP('Tabelle 1'!D248,'Degree of Symptoms'!$J$26:$K$30,2)</f>
        <v>5</v>
      </c>
      <c r="E226" s="17">
        <f t="shared" si="17"/>
        <v>5</v>
      </c>
    </row>
    <row r="227" spans="1:9" x14ac:dyDescent="0.25">
      <c r="A227" s="12"/>
      <c r="B227" s="12"/>
      <c r="C227" s="12"/>
      <c r="D227" s="12"/>
      <c r="E227" s="17"/>
      <c r="F227" s="2" t="s">
        <v>12</v>
      </c>
    </row>
    <row r="228" spans="1:9" x14ac:dyDescent="0.25">
      <c r="A228" s="19" t="s">
        <v>48</v>
      </c>
      <c r="B228" s="12">
        <f>AVERAGE(B212:B226)</f>
        <v>5</v>
      </c>
      <c r="C228" s="12">
        <f>AVERAGE(C212:C226)</f>
        <v>5</v>
      </c>
      <c r="D228" s="12">
        <f>AVERAGE(D212:D226)</f>
        <v>5</v>
      </c>
      <c r="E228" s="17">
        <f>AVERAGE(E212:E226)</f>
        <v>5</v>
      </c>
      <c r="F228" s="2">
        <f>'Tabelle 1'!F250</f>
        <v>15</v>
      </c>
    </row>
    <row r="229" spans="1:9" x14ac:dyDescent="0.25">
      <c r="A229" s="19" t="s">
        <v>49</v>
      </c>
      <c r="B229" s="12">
        <f>STDEV(B212:B226)</f>
        <v>0</v>
      </c>
      <c r="C229" s="12">
        <f>STDEV(C212:C226)</f>
        <v>0</v>
      </c>
      <c r="D229" s="12">
        <f>STDEV(D212:D226)</f>
        <v>0</v>
      </c>
      <c r="E229" s="17">
        <f>STDEV(E212:E226)</f>
        <v>0</v>
      </c>
    </row>
    <row r="232" spans="1:9" x14ac:dyDescent="0.25">
      <c r="A232" s="19">
        <f>'Tabelle 1'!A253</f>
        <v>12</v>
      </c>
      <c r="B232" s="19" t="s">
        <v>36</v>
      </c>
      <c r="C232" s="19" t="s">
        <v>37</v>
      </c>
      <c r="D232" s="19" t="s">
        <v>38</v>
      </c>
      <c r="E232" s="19" t="s">
        <v>39</v>
      </c>
      <c r="H232" s="33" t="s">
        <v>40</v>
      </c>
    </row>
    <row r="233" spans="1:9" x14ac:dyDescent="0.25">
      <c r="A233" s="12">
        <v>1</v>
      </c>
      <c r="B233" s="12">
        <f>VLOOKUP('Tabelle 1'!B255,'Degree of Symptoms'!$J$9:$K$13,2)</f>
        <v>5</v>
      </c>
      <c r="C233" s="12">
        <f>VLOOKUP('Tabelle 1'!C255,'Degree of Symptoms'!$J$13:$K$22,2)</f>
        <v>5</v>
      </c>
      <c r="D233" s="12">
        <f>VLOOKUP('Tabelle 1'!D255,'Degree of Symptoms'!$J$26:$K$30,2)</f>
        <v>5</v>
      </c>
      <c r="E233" s="17">
        <f t="shared" ref="E233:E247" si="18">AVERAGE(B233:D233)</f>
        <v>5</v>
      </c>
      <c r="G233" s="34" t="s">
        <v>41</v>
      </c>
      <c r="H233" s="1">
        <f>COUNTIFS($E$233:$E$247,"&lt;1,99",$E$233:$E$247,"&gt;=1")</f>
        <v>0</v>
      </c>
    </row>
    <row r="234" spans="1:9" x14ac:dyDescent="0.25">
      <c r="A234" s="12">
        <v>2</v>
      </c>
      <c r="B234" s="12">
        <f>VLOOKUP('Tabelle 1'!B256,'Degree of Symptoms'!$J$9:$K$13,2)</f>
        <v>5</v>
      </c>
      <c r="C234" s="12">
        <f>VLOOKUP('Tabelle 1'!C256,'Degree of Symptoms'!$J$13:$K$22,2)</f>
        <v>5</v>
      </c>
      <c r="D234" s="12">
        <f>VLOOKUP('Tabelle 1'!D256,'Degree of Symptoms'!$J$26:$K$30,2)</f>
        <v>5</v>
      </c>
      <c r="E234" s="17">
        <f t="shared" si="18"/>
        <v>5</v>
      </c>
      <c r="G234" s="34" t="s">
        <v>42</v>
      </c>
      <c r="H234" s="1">
        <f>COUNTIFS($E$233:$E$247,"&lt;2,99",$E$233:$E$247,"&gt;=2")</f>
        <v>0</v>
      </c>
    </row>
    <row r="235" spans="1:9" x14ac:dyDescent="0.25">
      <c r="A235" s="12">
        <v>3</v>
      </c>
      <c r="B235" s="12">
        <f>VLOOKUP('Tabelle 1'!B257,'Degree of Symptoms'!$J$9:$K$13,2)</f>
        <v>5</v>
      </c>
      <c r="C235" s="12">
        <f>VLOOKUP('Tabelle 1'!C257,'Degree of Symptoms'!$J$13:$K$22,2)</f>
        <v>5</v>
      </c>
      <c r="D235" s="12">
        <f>VLOOKUP('Tabelle 1'!D257,'Degree of Symptoms'!$J$26:$K$30,2)</f>
        <v>5</v>
      </c>
      <c r="E235" s="17">
        <f t="shared" si="18"/>
        <v>5</v>
      </c>
      <c r="G235" s="34" t="s">
        <v>44</v>
      </c>
      <c r="H235" s="1">
        <f>COUNTIFS($E$233:$E$247,"&lt;3,99",$E$233:$E$247,"&gt;=3")</f>
        <v>0</v>
      </c>
    </row>
    <row r="236" spans="1:9" x14ac:dyDescent="0.25">
      <c r="A236" s="12">
        <v>4</v>
      </c>
      <c r="B236" s="12">
        <f>VLOOKUP('Tabelle 1'!B258,'Degree of Symptoms'!$J$9:$K$13,2)</f>
        <v>5</v>
      </c>
      <c r="C236" s="12">
        <f>VLOOKUP('Tabelle 1'!C258,'Degree of Symptoms'!$J$13:$K$22,2)</f>
        <v>5</v>
      </c>
      <c r="D236" s="12">
        <f>VLOOKUP('Tabelle 1'!D258,'Degree of Symptoms'!$J$26:$K$30,2)</f>
        <v>5</v>
      </c>
      <c r="E236" s="17">
        <f t="shared" si="18"/>
        <v>5</v>
      </c>
      <c r="G236" s="34" t="s">
        <v>46</v>
      </c>
      <c r="H236" s="1">
        <f>COUNTIFS($E$233:$E$247,"&lt;4,99",$E$233:$E$247,"&gt;=4")</f>
        <v>0</v>
      </c>
    </row>
    <row r="237" spans="1:9" x14ac:dyDescent="0.25">
      <c r="A237" s="12">
        <v>5</v>
      </c>
      <c r="B237" s="12">
        <f>VLOOKUP('Tabelle 1'!B259,'Degree of Symptoms'!$J$9:$K$13,2)</f>
        <v>5</v>
      </c>
      <c r="C237" s="12">
        <f>VLOOKUP('Tabelle 1'!C259,'Degree of Symptoms'!$J$13:$K$22,2)</f>
        <v>5</v>
      </c>
      <c r="D237" s="12">
        <f>VLOOKUP('Tabelle 1'!D259,'Degree of Symptoms'!$J$26:$K$30,2)</f>
        <v>5</v>
      </c>
      <c r="E237" s="17">
        <f t="shared" si="18"/>
        <v>5</v>
      </c>
      <c r="G237" s="34">
        <v>5</v>
      </c>
      <c r="H237" s="1">
        <f>COUNTIF($E$233:$E$247,"&gt;=5")</f>
        <v>15</v>
      </c>
    </row>
    <row r="238" spans="1:9" x14ac:dyDescent="0.25">
      <c r="A238" s="12">
        <v>6</v>
      </c>
      <c r="B238" s="12">
        <f>VLOOKUP('Tabelle 1'!B260,'Degree of Symptoms'!$J$9:$K$13,2)</f>
        <v>5</v>
      </c>
      <c r="C238" s="12">
        <f>VLOOKUP('Tabelle 1'!C260,'Degree of Symptoms'!$J$13:$K$22,2)</f>
        <v>5</v>
      </c>
      <c r="D238" s="12">
        <f>VLOOKUP('Tabelle 1'!D260,'Degree of Symptoms'!$J$26:$K$30,2)</f>
        <v>5</v>
      </c>
      <c r="E238" s="17">
        <f t="shared" si="18"/>
        <v>5</v>
      </c>
      <c r="H238" s="1">
        <f>SUM(H233:H237)</f>
        <v>15</v>
      </c>
    </row>
    <row r="239" spans="1:9" x14ac:dyDescent="0.25">
      <c r="A239" s="12">
        <v>7</v>
      </c>
      <c r="B239" s="12">
        <f>VLOOKUP('Tabelle 1'!B261,'Degree of Symptoms'!$J$9:$K$13,2)</f>
        <v>5</v>
      </c>
      <c r="C239" s="12">
        <f>VLOOKUP('Tabelle 1'!C261,'Degree of Symptoms'!$J$13:$K$22,2)</f>
        <v>5</v>
      </c>
      <c r="D239" s="12">
        <f>VLOOKUP('Tabelle 1'!D261,'Degree of Symptoms'!$J$26:$K$30,2)</f>
        <v>5</v>
      </c>
      <c r="E239" s="17">
        <f t="shared" si="18"/>
        <v>5</v>
      </c>
    </row>
    <row r="240" spans="1:9" x14ac:dyDescent="0.25">
      <c r="A240" s="12">
        <v>8</v>
      </c>
      <c r="B240" s="12">
        <f>VLOOKUP('Tabelle 1'!B262,'Degree of Symptoms'!$J$9:$K$13,2)</f>
        <v>5</v>
      </c>
      <c r="C240" s="12">
        <f>VLOOKUP('Tabelle 1'!C262,'Degree of Symptoms'!$J$13:$K$22,2)</f>
        <v>5</v>
      </c>
      <c r="D240" s="12">
        <f>VLOOKUP('Tabelle 1'!D262,'Degree of Symptoms'!$J$26:$K$30,2)</f>
        <v>5</v>
      </c>
      <c r="E240" s="17">
        <f t="shared" si="18"/>
        <v>5</v>
      </c>
    </row>
    <row r="241" spans="1:9" x14ac:dyDescent="0.25">
      <c r="A241" s="12">
        <v>9</v>
      </c>
      <c r="B241" s="12">
        <f>VLOOKUP('Tabelle 1'!B263,'Degree of Symptoms'!$J$9:$K$13,2)</f>
        <v>5</v>
      </c>
      <c r="C241" s="12">
        <f>VLOOKUP('Tabelle 1'!C263,'Degree of Symptoms'!$J$13:$K$22,2)</f>
        <v>5</v>
      </c>
      <c r="D241" s="12">
        <f>VLOOKUP('Tabelle 1'!D263,'Degree of Symptoms'!$J$26:$K$30,2)</f>
        <v>5</v>
      </c>
      <c r="E241" s="17">
        <f t="shared" si="18"/>
        <v>5</v>
      </c>
      <c r="G241" s="33"/>
      <c r="H241" s="33"/>
      <c r="I241" s="33"/>
    </row>
    <row r="242" spans="1:9" x14ac:dyDescent="0.25">
      <c r="A242" s="12">
        <v>10</v>
      </c>
      <c r="B242" s="12">
        <f>VLOOKUP('Tabelle 1'!B264,'Degree of Symptoms'!$J$9:$K$13,2)</f>
        <v>5</v>
      </c>
      <c r="C242" s="12">
        <f>VLOOKUP('Tabelle 1'!C264,'Degree of Symptoms'!$J$13:$K$22,2)</f>
        <v>5</v>
      </c>
      <c r="D242" s="12">
        <f>VLOOKUP('Tabelle 1'!D264,'Degree of Symptoms'!$J$26:$K$30,2)</f>
        <v>5</v>
      </c>
      <c r="E242" s="17">
        <f t="shared" si="18"/>
        <v>5</v>
      </c>
      <c r="G242" s="33"/>
      <c r="H242" s="2"/>
      <c r="I242" s="2"/>
    </row>
    <row r="243" spans="1:9" x14ac:dyDescent="0.25">
      <c r="A243" s="12">
        <v>11</v>
      </c>
      <c r="B243" s="12">
        <f>VLOOKUP('Tabelle 1'!B265,'Degree of Symptoms'!$J$9:$K$13,2)</f>
        <v>5</v>
      </c>
      <c r="C243" s="12">
        <f>VLOOKUP('Tabelle 1'!C265,'Degree of Symptoms'!$J$13:$K$22,2)</f>
        <v>5</v>
      </c>
      <c r="D243" s="12">
        <f>VLOOKUP('Tabelle 1'!D265,'Degree of Symptoms'!$J$26:$K$30,2)</f>
        <v>5</v>
      </c>
      <c r="E243" s="17">
        <f t="shared" si="18"/>
        <v>5</v>
      </c>
      <c r="G243" s="33"/>
      <c r="H243" s="2"/>
      <c r="I243" s="2"/>
    </row>
    <row r="244" spans="1:9" x14ac:dyDescent="0.25">
      <c r="A244" s="12">
        <v>12</v>
      </c>
      <c r="B244" s="12">
        <f>VLOOKUP('Tabelle 1'!B266,'Degree of Symptoms'!$J$9:$K$13,2)</f>
        <v>5</v>
      </c>
      <c r="C244" s="12">
        <f>VLOOKUP('Tabelle 1'!C266,'Degree of Symptoms'!$J$13:$K$22,2)</f>
        <v>5</v>
      </c>
      <c r="D244" s="12">
        <f>VLOOKUP('Tabelle 1'!D266,'Degree of Symptoms'!$J$26:$K$30,2)</f>
        <v>5</v>
      </c>
      <c r="E244" s="17">
        <f t="shared" si="18"/>
        <v>5</v>
      </c>
      <c r="G244" s="33"/>
      <c r="H244" s="2"/>
      <c r="I244" s="2"/>
    </row>
    <row r="245" spans="1:9" x14ac:dyDescent="0.25">
      <c r="A245" s="12">
        <v>13</v>
      </c>
      <c r="B245" s="12">
        <f>VLOOKUP('Tabelle 1'!B267,'Degree of Symptoms'!$J$9:$K$13,2)</f>
        <v>5</v>
      </c>
      <c r="C245" s="12">
        <f>VLOOKUP('Tabelle 1'!C267,'Degree of Symptoms'!$J$13:$K$22,2)</f>
        <v>5</v>
      </c>
      <c r="D245" s="12">
        <f>VLOOKUP('Tabelle 1'!D267,'Degree of Symptoms'!$J$26:$K$30,2)</f>
        <v>5</v>
      </c>
      <c r="E245" s="17">
        <f t="shared" si="18"/>
        <v>5</v>
      </c>
      <c r="G245" s="33"/>
      <c r="H245" s="2"/>
      <c r="I245" s="2"/>
    </row>
    <row r="246" spans="1:9" x14ac:dyDescent="0.25">
      <c r="A246" s="12">
        <v>14</v>
      </c>
      <c r="B246" s="12">
        <f>VLOOKUP('Tabelle 1'!B268,'Degree of Symptoms'!$J$9:$K$13,2)</f>
        <v>5</v>
      </c>
      <c r="C246" s="12">
        <f>VLOOKUP('Tabelle 1'!C268,'Degree of Symptoms'!$J$13:$K$22,2)</f>
        <v>5</v>
      </c>
      <c r="D246" s="12">
        <f>VLOOKUP('Tabelle 1'!D268,'Degree of Symptoms'!$J$26:$K$30,2)</f>
        <v>5</v>
      </c>
      <c r="E246" s="17">
        <f t="shared" si="18"/>
        <v>5</v>
      </c>
      <c r="G246" s="33"/>
      <c r="H246" s="2"/>
      <c r="I246" s="2"/>
    </row>
    <row r="247" spans="1:9" x14ac:dyDescent="0.25">
      <c r="A247" s="12">
        <v>15</v>
      </c>
      <c r="B247" s="12">
        <f>VLOOKUP('Tabelle 1'!B269,'Degree of Symptoms'!$J$9:$K$13,2)</f>
        <v>5</v>
      </c>
      <c r="C247" s="12">
        <f>VLOOKUP('Tabelle 1'!C269,'Degree of Symptoms'!$J$13:$K$22,2)</f>
        <v>5</v>
      </c>
      <c r="D247" s="12">
        <f>VLOOKUP('Tabelle 1'!D269,'Degree of Symptoms'!$J$26:$K$30,2)</f>
        <v>5</v>
      </c>
      <c r="E247" s="17">
        <f t="shared" si="18"/>
        <v>5</v>
      </c>
    </row>
    <row r="248" spans="1:9" x14ac:dyDescent="0.25">
      <c r="A248" s="12"/>
      <c r="B248" s="12"/>
      <c r="C248" s="12"/>
      <c r="D248" s="12"/>
      <c r="E248" s="17"/>
      <c r="F248" s="2" t="s">
        <v>12</v>
      </c>
    </row>
    <row r="249" spans="1:9" x14ac:dyDescent="0.25">
      <c r="A249" s="19" t="s">
        <v>48</v>
      </c>
      <c r="B249" s="12">
        <f>AVERAGE(B233:B247)</f>
        <v>5</v>
      </c>
      <c r="C249" s="12">
        <f>AVERAGE(C233:C247)</f>
        <v>5</v>
      </c>
      <c r="D249" s="12">
        <f>AVERAGE(D233:D247)</f>
        <v>5</v>
      </c>
      <c r="E249" s="17">
        <f>AVERAGE(E233:E247)</f>
        <v>5</v>
      </c>
      <c r="F249" s="2">
        <f>'Tabelle 1'!F271</f>
        <v>15</v>
      </c>
    </row>
    <row r="250" spans="1:9" x14ac:dyDescent="0.25">
      <c r="A250" s="19" t="s">
        <v>49</v>
      </c>
      <c r="B250" s="12">
        <f>STDEV(B233:B247)</f>
        <v>0</v>
      </c>
      <c r="C250" s="12">
        <f>STDEV(C233:C247)</f>
        <v>0</v>
      </c>
      <c r="D250" s="12">
        <f>STDEV(D233:D247)</f>
        <v>0</v>
      </c>
      <c r="E250" s="17">
        <f>STDEV(E233:E247)</f>
        <v>0</v>
      </c>
    </row>
    <row r="251" spans="1:9" x14ac:dyDescent="0.25">
      <c r="E251" s="14"/>
    </row>
    <row r="252" spans="1:9" x14ac:dyDescent="0.25">
      <c r="E252" s="14"/>
    </row>
    <row r="253" spans="1:9" x14ac:dyDescent="0.25">
      <c r="E253" s="14"/>
    </row>
    <row r="254" spans="1:9" x14ac:dyDescent="0.25">
      <c r="E254" s="14"/>
    </row>
    <row r="255" spans="1:9" x14ac:dyDescent="0.25">
      <c r="E255" s="14"/>
    </row>
    <row r="256" spans="1:9" x14ac:dyDescent="0.25">
      <c r="E256" s="14"/>
    </row>
    <row r="257" spans="5:5" x14ac:dyDescent="0.25">
      <c r="E257" s="14"/>
    </row>
    <row r="258" spans="5:5" x14ac:dyDescent="0.25">
      <c r="E258" s="14"/>
    </row>
    <row r="259" spans="5:5" x14ac:dyDescent="0.25">
      <c r="E259" s="14"/>
    </row>
    <row r="260" spans="5:5" x14ac:dyDescent="0.25">
      <c r="E260" s="14"/>
    </row>
    <row r="261" spans="5:5" x14ac:dyDescent="0.25">
      <c r="E261" s="14"/>
    </row>
    <row r="262" spans="5:5" x14ac:dyDescent="0.25">
      <c r="E262" s="14"/>
    </row>
    <row r="263" spans="5:5" x14ac:dyDescent="0.25">
      <c r="E263" s="14"/>
    </row>
    <row r="264" spans="5:5" x14ac:dyDescent="0.25">
      <c r="E264" s="14"/>
    </row>
    <row r="265" spans="5:5" x14ac:dyDescent="0.25">
      <c r="E265" s="14"/>
    </row>
    <row r="266" spans="5:5" x14ac:dyDescent="0.25">
      <c r="E266" s="14"/>
    </row>
    <row r="267" spans="5:5" x14ac:dyDescent="0.25">
      <c r="E267" s="14"/>
    </row>
    <row r="268" spans="5:5" x14ac:dyDescent="0.25">
      <c r="E268" s="14"/>
    </row>
    <row r="269" spans="5:5" x14ac:dyDescent="0.25">
      <c r="E269" s="14"/>
    </row>
  </sheetData>
  <sheetProtection selectLockedCells="1" selectUnlockedCells="1"/>
  <phoneticPr fontId="11" type="noConversion"/>
  <pageMargins left="0.7" right="0.7" top="0.78749999999999998" bottom="0.78749999999999998" header="0.51180555555555551" footer="0.51180555555555551"/>
  <pageSetup paperSize="9" firstPageNumber="0" orientation="portrait" horizontalDpi="300" verticalDpi="300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B3580A-EE4B-447A-BAA8-8948B07C3DDB}">
  <dimension ref="A1:R269"/>
  <sheetViews>
    <sheetView topLeftCell="G7" zoomScale="99" workbookViewId="0">
      <selection activeCell="K10" sqref="K10"/>
    </sheetView>
  </sheetViews>
  <sheetFormatPr defaultColWidth="10.88671875" defaultRowHeight="13.8" x14ac:dyDescent="0.25"/>
  <cols>
    <col min="1" max="11" width="10.88671875" style="1"/>
    <col min="12" max="12" width="21.109375" style="1" customWidth="1"/>
    <col min="13" max="14" width="10.88671875" style="1"/>
    <col min="15" max="15" width="10.88671875" style="1" customWidth="1"/>
    <col min="16" max="16" width="14.21875" style="1" customWidth="1"/>
    <col min="17" max="17" width="14.109375" style="1" customWidth="1"/>
    <col min="18" max="16384" width="10.88671875" style="1"/>
  </cols>
  <sheetData>
    <row r="1" spans="1:18" x14ac:dyDescent="0.25">
      <c r="A1" s="19" t="str">
        <f>'Tabelle 1'!A7</f>
        <v>Mock A</v>
      </c>
      <c r="B1" s="19" t="s">
        <v>36</v>
      </c>
      <c r="C1" s="19" t="s">
        <v>37</v>
      </c>
      <c r="D1" s="19" t="s">
        <v>38</v>
      </c>
      <c r="E1" s="19" t="s">
        <v>39</v>
      </c>
      <c r="H1" s="33" t="s">
        <v>40</v>
      </c>
      <c r="L1" s="1" t="s">
        <v>25</v>
      </c>
      <c r="M1" s="35" t="s">
        <v>58</v>
      </c>
      <c r="N1" s="35" t="s">
        <v>56</v>
      </c>
      <c r="O1" s="35" t="s">
        <v>60</v>
      </c>
      <c r="P1" s="35" t="s">
        <v>62</v>
      </c>
      <c r="Q1" s="36" t="s">
        <v>63</v>
      </c>
      <c r="R1" s="35" t="s">
        <v>59</v>
      </c>
    </row>
    <row r="2" spans="1:18" x14ac:dyDescent="0.25">
      <c r="A2" s="12">
        <v>1</v>
      </c>
      <c r="B2" s="12">
        <f>VLOOKUP('Tabelle 1'!B9,'Degree of Symptoms'!$J$9:$K$13,2)</f>
        <v>5</v>
      </c>
      <c r="C2" s="12">
        <f>VLOOKUP('Tabelle 1'!C9,'Degree of Symptoms'!$J$13:$K$22,2)</f>
        <v>5</v>
      </c>
      <c r="D2" s="12">
        <f>VLOOKUP('Tabelle 1'!D9,'Degree of Symptoms'!$J$26:$K$30,2)</f>
        <v>5</v>
      </c>
      <c r="E2" s="17">
        <f t="shared" ref="E2:E16" si="0">AVERAGE(B2:D2)</f>
        <v>5</v>
      </c>
      <c r="G2" s="34" t="s">
        <v>41</v>
      </c>
      <c r="H2" s="1">
        <f>COUNTIFS($E$2:$E$16,"&lt;1,99",$E$2:$E$16,"&gt;=1")</f>
        <v>0</v>
      </c>
      <c r="J2" s="34" t="s">
        <v>41</v>
      </c>
      <c r="K2" s="34"/>
      <c r="L2" s="1" t="s">
        <v>28</v>
      </c>
      <c r="M2" s="1">
        <f>SUM(M12+M19+M26+M33+M40+M47)-M12</f>
        <v>148</v>
      </c>
      <c r="N2" s="1">
        <f>SUM(N12+N19+N26+N33+N40+N47)-N12</f>
        <v>22</v>
      </c>
      <c r="O2" s="1">
        <f>SUM(P12+O40+O47)</f>
        <v>25</v>
      </c>
      <c r="P2" s="1">
        <f>SUM(P40+P47)</f>
        <v>11</v>
      </c>
      <c r="Q2" s="1">
        <v>10</v>
      </c>
      <c r="R2" s="1">
        <f>SUM(O12+O19+O26+O33)-O12</f>
        <v>31</v>
      </c>
    </row>
    <row r="3" spans="1:18" x14ac:dyDescent="0.25">
      <c r="A3" s="12">
        <v>2</v>
      </c>
      <c r="B3" s="12">
        <f>VLOOKUP('Tabelle 1'!B10,'Degree of Symptoms'!$J$9:$K$13,2)</f>
        <v>5</v>
      </c>
      <c r="C3" s="12">
        <f>VLOOKUP('Tabelle 1'!C10,'Degree of Symptoms'!$J$13:$K$22,2)</f>
        <v>5</v>
      </c>
      <c r="D3" s="12">
        <f>VLOOKUP('Tabelle 1'!D10,'Degree of Symptoms'!$J$26:$K$30,2)</f>
        <v>5</v>
      </c>
      <c r="E3" s="17">
        <f t="shared" si="0"/>
        <v>5</v>
      </c>
      <c r="G3" s="34" t="s">
        <v>42</v>
      </c>
      <c r="H3" s="1">
        <f>COUNTIFS($E$2:$E$16,"&lt;2,99",$E$2:$E$16,"&gt;=2")</f>
        <v>0</v>
      </c>
      <c r="J3" s="34" t="s">
        <v>42</v>
      </c>
      <c r="K3" s="34"/>
      <c r="L3" s="1" t="s">
        <v>43</v>
      </c>
      <c r="M3" s="1">
        <v>2</v>
      </c>
      <c r="N3" s="1">
        <f>SUM(N13+N20+N27+N34+N41+N48)-N13</f>
        <v>52</v>
      </c>
      <c r="O3" s="1">
        <f>SUM(P13+O41+O48)</f>
        <v>28</v>
      </c>
      <c r="P3" s="1">
        <f>SUM(P41+P48)</f>
        <v>14</v>
      </c>
      <c r="Q3" s="1">
        <v>7</v>
      </c>
      <c r="R3" s="1">
        <f>SUM(O13+O20+O27+O34)-O13</f>
        <v>45</v>
      </c>
    </row>
    <row r="4" spans="1:18" x14ac:dyDescent="0.25">
      <c r="A4" s="12">
        <v>3</v>
      </c>
      <c r="B4" s="12">
        <f>VLOOKUP('Tabelle 1'!B11,'Degree of Symptoms'!$J$9:$K$13,2)</f>
        <v>5</v>
      </c>
      <c r="C4" s="12">
        <f>VLOOKUP('Tabelle 1'!C11,'Degree of Symptoms'!$J$13:$K$22,2)</f>
        <v>5</v>
      </c>
      <c r="D4" s="12">
        <f>VLOOKUP('Tabelle 1'!D11,'Degree of Symptoms'!$J$26:$K$30,2)</f>
        <v>5</v>
      </c>
      <c r="E4" s="17">
        <f t="shared" si="0"/>
        <v>5</v>
      </c>
      <c r="G4" s="34" t="s">
        <v>44</v>
      </c>
      <c r="H4" s="1">
        <f>COUNTIFS($E$2:$E$16,"&lt;3,99",$E$2:$E$16,"&gt;=3")</f>
        <v>0</v>
      </c>
      <c r="J4" s="34" t="s">
        <v>44</v>
      </c>
      <c r="K4" s="34"/>
      <c r="L4" s="1" t="s">
        <v>45</v>
      </c>
      <c r="M4" s="1">
        <f>H4</f>
        <v>0</v>
      </c>
      <c r="N4" s="1">
        <f>SUM(N14+N21+N28+N35+N42+N49)-N14</f>
        <v>58</v>
      </c>
      <c r="O4" s="1">
        <f>SUM(P14+O42+O49)</f>
        <v>32</v>
      </c>
      <c r="P4" s="1">
        <f>SUM(P42+P49)</f>
        <v>32</v>
      </c>
      <c r="Q4" s="1">
        <v>10</v>
      </c>
      <c r="R4" s="1">
        <f>SUM(O14+O21+O28+O35)-O14</f>
        <v>35</v>
      </c>
    </row>
    <row r="5" spans="1:18" x14ac:dyDescent="0.25">
      <c r="A5" s="12">
        <v>4</v>
      </c>
      <c r="B5" s="12">
        <f>VLOOKUP('Tabelle 1'!B12,'Degree of Symptoms'!$J$9:$K$13,2)</f>
        <v>5</v>
      </c>
      <c r="C5" s="12">
        <f>VLOOKUP('Tabelle 1'!C12,'Degree of Symptoms'!$J$13:$K$22,2)</f>
        <v>5</v>
      </c>
      <c r="D5" s="12">
        <f>VLOOKUP('Tabelle 1'!D12,'Degree of Symptoms'!$J$26:$K$30,2)</f>
        <v>5</v>
      </c>
      <c r="E5" s="17">
        <f t="shared" si="0"/>
        <v>5</v>
      </c>
      <c r="G5" s="34" t="s">
        <v>46</v>
      </c>
      <c r="H5" s="1">
        <f>COUNTIFS($E$2:$E$16,"&lt;4,99",$E$2:$E$16,"&gt;=4")</f>
        <v>0</v>
      </c>
      <c r="J5" s="34" t="s">
        <v>46</v>
      </c>
      <c r="K5" s="34"/>
      <c r="L5" s="1" t="s">
        <v>47</v>
      </c>
      <c r="M5" s="1">
        <f>H5</f>
        <v>0</v>
      </c>
      <c r="N5" s="1">
        <f>SUM(N15+N22+N29+N36+N43+N50)</f>
        <v>18</v>
      </c>
      <c r="O5" s="1">
        <f>SUM(P15+O43+O50)</f>
        <v>5</v>
      </c>
      <c r="P5" s="1">
        <v>3</v>
      </c>
      <c r="Q5" s="1">
        <v>3</v>
      </c>
      <c r="R5" s="1">
        <f>SUM(O15+O22+O29+O36)</f>
        <v>9</v>
      </c>
    </row>
    <row r="6" spans="1:18" x14ac:dyDescent="0.25">
      <c r="A6" s="12">
        <v>5</v>
      </c>
      <c r="B6" s="12">
        <f>VLOOKUP('Tabelle 1'!B13,'Degree of Symptoms'!$J$9:$K$13,2)</f>
        <v>5</v>
      </c>
      <c r="C6" s="12">
        <f>VLOOKUP('Tabelle 1'!C13,'Degree of Symptoms'!$J$13:$K$22,2)</f>
        <v>5</v>
      </c>
      <c r="D6" s="12">
        <f>VLOOKUP('Tabelle 1'!D13,'Degree of Symptoms'!$J$26:$K$30,2)</f>
        <v>5</v>
      </c>
      <c r="E6" s="17">
        <f t="shared" si="0"/>
        <v>5</v>
      </c>
      <c r="G6" s="34">
        <v>5</v>
      </c>
      <c r="H6" s="1">
        <f>COUNTIF($E$2:$E$16,"&gt;=5")</f>
        <v>15</v>
      </c>
      <c r="J6" s="34">
        <v>5</v>
      </c>
      <c r="K6" s="34"/>
      <c r="L6" s="1" t="s">
        <v>32</v>
      </c>
      <c r="M6" s="1">
        <v>0</v>
      </c>
      <c r="N6" s="1">
        <f>I6</f>
        <v>0</v>
      </c>
      <c r="O6" s="1">
        <f>I48</f>
        <v>0</v>
      </c>
      <c r="P6" s="1">
        <f>I90</f>
        <v>0</v>
      </c>
      <c r="Q6" s="1">
        <v>0</v>
      </c>
      <c r="R6" s="1">
        <v>0</v>
      </c>
    </row>
    <row r="7" spans="1:18" x14ac:dyDescent="0.25">
      <c r="A7" s="12">
        <v>6</v>
      </c>
      <c r="B7" s="12">
        <f>VLOOKUP('Tabelle 1'!B14,'Degree of Symptoms'!$J$9:$K$13,2)</f>
        <v>5</v>
      </c>
      <c r="C7" s="12">
        <f>VLOOKUP('Tabelle 1'!C14,'Degree of Symptoms'!$J$13:$K$22,2)</f>
        <v>5</v>
      </c>
      <c r="D7" s="12">
        <f>VLOOKUP('Tabelle 1'!D14,'Degree of Symptoms'!$J$26:$K$30,2)</f>
        <v>5</v>
      </c>
      <c r="E7" s="17">
        <f t="shared" si="0"/>
        <v>5</v>
      </c>
      <c r="H7" s="1">
        <f>SUM(H2:H6)</f>
        <v>15</v>
      </c>
    </row>
    <row r="8" spans="1:18" x14ac:dyDescent="0.25">
      <c r="A8" s="12">
        <v>7</v>
      </c>
      <c r="B8" s="12">
        <f>VLOOKUP('Tabelle 1'!B15,'Degree of Symptoms'!$J$9:$K$13,2)</f>
        <v>5</v>
      </c>
      <c r="C8" s="12">
        <f>VLOOKUP('Tabelle 1'!C15,'Degree of Symptoms'!$J$13:$K$22,2)</f>
        <v>5</v>
      </c>
      <c r="D8" s="12">
        <f>VLOOKUP('Tabelle 1'!D15,'Degree of Symptoms'!$J$26:$K$30,2)</f>
        <v>5</v>
      </c>
      <c r="E8" s="17">
        <f t="shared" si="0"/>
        <v>5</v>
      </c>
      <c r="L8" s="1" t="s">
        <v>12</v>
      </c>
      <c r="M8" s="1">
        <f>SUM(M2:M6)</f>
        <v>150</v>
      </c>
      <c r="N8" s="1">
        <f t="shared" ref="N8:R8" si="1">SUM(N2:N6)</f>
        <v>150</v>
      </c>
      <c r="O8" s="1">
        <f t="shared" si="1"/>
        <v>90</v>
      </c>
      <c r="P8" s="1">
        <f t="shared" si="1"/>
        <v>60</v>
      </c>
      <c r="Q8" s="1">
        <f t="shared" si="1"/>
        <v>30</v>
      </c>
      <c r="R8" s="1">
        <f t="shared" si="1"/>
        <v>120</v>
      </c>
    </row>
    <row r="9" spans="1:18" x14ac:dyDescent="0.25">
      <c r="A9" s="12">
        <v>8</v>
      </c>
      <c r="B9" s="12">
        <f>VLOOKUP('Tabelle 1'!B16,'Degree of Symptoms'!$J$9:$K$13,2)</f>
        <v>5</v>
      </c>
      <c r="C9" s="12">
        <f>VLOOKUP('Tabelle 1'!C16,'Degree of Symptoms'!$J$13:$K$22,2)</f>
        <v>5</v>
      </c>
      <c r="D9" s="12">
        <f>VLOOKUP('Tabelle 1'!D16,'Degree of Symptoms'!$J$26:$K$30,2)</f>
        <v>5</v>
      </c>
      <c r="E9" s="17">
        <f t="shared" si="0"/>
        <v>5</v>
      </c>
    </row>
    <row r="10" spans="1:18" x14ac:dyDescent="0.25">
      <c r="A10" s="12">
        <v>9</v>
      </c>
      <c r="B10" s="12">
        <f>VLOOKUP('Tabelle 1'!B17,'Degree of Symptoms'!$J$9:$K$13,2)</f>
        <v>5</v>
      </c>
      <c r="C10" s="12">
        <f>VLOOKUP('Tabelle 1'!C17,'Degree of Symptoms'!$J$13:$K$22,2)</f>
        <v>5</v>
      </c>
      <c r="D10" s="12">
        <f>VLOOKUP('Tabelle 1'!D17,'Degree of Symptoms'!$J$26:$K$30,2)</f>
        <v>5</v>
      </c>
      <c r="E10" s="17">
        <f t="shared" si="0"/>
        <v>5</v>
      </c>
    </row>
    <row r="11" spans="1:18" ht="14.4" x14ac:dyDescent="0.3">
      <c r="A11" s="12">
        <v>10</v>
      </c>
      <c r="B11" s="12">
        <f>VLOOKUP('Tabelle 1'!B18,'Degree of Symptoms'!$J$9:$K$13,2)</f>
        <v>5</v>
      </c>
      <c r="C11" s="12">
        <f>VLOOKUP('Tabelle 1'!C18,'Degree of Symptoms'!$J$13:$K$22,2)</f>
        <v>5</v>
      </c>
      <c r="D11" s="12">
        <f>VLOOKUP('Tabelle 1'!D18,'Degree of Symptoms'!$J$26:$K$30,2)</f>
        <v>5</v>
      </c>
      <c r="E11" s="17">
        <f t="shared" si="0"/>
        <v>5</v>
      </c>
      <c r="M11" s="1" t="s">
        <v>2</v>
      </c>
      <c r="N11" s="1" t="s">
        <v>56</v>
      </c>
      <c r="O11" s="1" t="s">
        <v>59</v>
      </c>
      <c r="P11" s="1" t="s">
        <v>61</v>
      </c>
    </row>
    <row r="12" spans="1:18" x14ac:dyDescent="0.25">
      <c r="A12" s="12">
        <v>11</v>
      </c>
      <c r="B12" s="12">
        <f>VLOOKUP('Tabelle 1'!B19,'Degree of Symptoms'!$J$9:$K$13,2)</f>
        <v>5</v>
      </c>
      <c r="C12" s="12">
        <f>VLOOKUP('Tabelle 1'!C19,'Degree of Symptoms'!$J$13:$K$22,2)</f>
        <v>5</v>
      </c>
      <c r="D12" s="12">
        <f>VLOOKUP('Tabelle 1'!D19,'Degree of Symptoms'!$J$26:$K$30,2)</f>
        <v>5</v>
      </c>
      <c r="E12" s="17">
        <f t="shared" si="0"/>
        <v>5</v>
      </c>
      <c r="M12" s="1">
        <v>29</v>
      </c>
      <c r="N12" s="1">
        <v>9</v>
      </c>
      <c r="O12" s="1">
        <v>28</v>
      </c>
    </row>
    <row r="13" spans="1:18" x14ac:dyDescent="0.25">
      <c r="A13" s="12">
        <v>12</v>
      </c>
      <c r="B13" s="12">
        <f>VLOOKUP('Tabelle 1'!B20,'Degree of Symptoms'!$J$9:$K$13,2)</f>
        <v>5</v>
      </c>
      <c r="C13" s="12">
        <f>VLOOKUP('Tabelle 1'!C20,'Degree of Symptoms'!$J$13:$K$22,2)</f>
        <v>5</v>
      </c>
      <c r="D13" s="12">
        <f>VLOOKUP('Tabelle 1'!D20,'Degree of Symptoms'!$J$26:$K$30,2)</f>
        <v>5</v>
      </c>
      <c r="E13" s="17">
        <f t="shared" si="0"/>
        <v>5</v>
      </c>
      <c r="M13" s="1">
        <v>1</v>
      </c>
      <c r="N13" s="1">
        <v>14</v>
      </c>
      <c r="O13" s="1">
        <v>23</v>
      </c>
    </row>
    <row r="14" spans="1:18" x14ac:dyDescent="0.25">
      <c r="A14" s="12">
        <v>13</v>
      </c>
      <c r="B14" s="12">
        <f>VLOOKUP('Tabelle 1'!B21,'Degree of Symptoms'!$J$9:$K$13,2)</f>
        <v>5</v>
      </c>
      <c r="C14" s="12">
        <f>VLOOKUP('Tabelle 1'!C21,'Degree of Symptoms'!$J$13:$K$22,2)</f>
        <v>5</v>
      </c>
      <c r="D14" s="12">
        <f>VLOOKUP('Tabelle 1'!D21,'Degree of Symptoms'!$J$26:$K$30,2)</f>
        <v>5</v>
      </c>
      <c r="E14" s="17">
        <f t="shared" si="0"/>
        <v>5</v>
      </c>
      <c r="M14" s="1">
        <f>H14</f>
        <v>0</v>
      </c>
      <c r="N14" s="1">
        <v>7</v>
      </c>
      <c r="O14" s="1">
        <v>9</v>
      </c>
    </row>
    <row r="15" spans="1:18" x14ac:dyDescent="0.25">
      <c r="A15" s="12">
        <v>14</v>
      </c>
      <c r="B15" s="12">
        <f>VLOOKUP('Tabelle 1'!B22,'Degree of Symptoms'!$J$9:$K$13,2)</f>
        <v>5</v>
      </c>
      <c r="C15" s="12">
        <f>VLOOKUP('Tabelle 1'!C22,'Degree of Symptoms'!$J$13:$K$22,2)</f>
        <v>5</v>
      </c>
      <c r="D15" s="12">
        <f>VLOOKUP('Tabelle 1'!D22,'Degree of Symptoms'!$J$26:$K$30,2)</f>
        <v>5</v>
      </c>
      <c r="E15" s="17">
        <f t="shared" si="0"/>
        <v>5</v>
      </c>
      <c r="M15" s="1">
        <f>H15</f>
        <v>0</v>
      </c>
      <c r="N15" s="1">
        <f>H57</f>
        <v>0</v>
      </c>
      <c r="O15" s="1">
        <f>H99</f>
        <v>0</v>
      </c>
    </row>
    <row r="16" spans="1:18" x14ac:dyDescent="0.25">
      <c r="A16" s="12">
        <v>15</v>
      </c>
      <c r="B16" s="12">
        <f>VLOOKUP('Tabelle 1'!B23,'Degree of Symptoms'!$J$9:$K$13,2)</f>
        <v>5</v>
      </c>
      <c r="C16" s="12">
        <f>VLOOKUP('Tabelle 1'!C23,'Degree of Symptoms'!$J$13:$K$22,2)</f>
        <v>5</v>
      </c>
      <c r="D16" s="12">
        <f>VLOOKUP('Tabelle 1'!D23,'Degree of Symptoms'!$J$26:$K$30,2)</f>
        <v>5</v>
      </c>
      <c r="E16" s="17">
        <f t="shared" si="0"/>
        <v>5</v>
      </c>
      <c r="M16" s="1">
        <f>H16</f>
        <v>0</v>
      </c>
      <c r="N16" s="1">
        <f>H58</f>
        <v>0</v>
      </c>
      <c r="O16" s="1">
        <f>H100</f>
        <v>0</v>
      </c>
    </row>
    <row r="17" spans="1:15" x14ac:dyDescent="0.25">
      <c r="A17" s="12"/>
      <c r="B17" s="12"/>
      <c r="C17" s="12"/>
      <c r="D17" s="12"/>
      <c r="E17" s="17"/>
      <c r="F17" s="2" t="s">
        <v>12</v>
      </c>
    </row>
    <row r="18" spans="1:15" x14ac:dyDescent="0.25">
      <c r="A18" s="19" t="s">
        <v>48</v>
      </c>
      <c r="B18" s="12">
        <f>AVERAGE(B2:B16)</f>
        <v>5</v>
      </c>
      <c r="C18" s="12">
        <f>AVERAGE(C2:C16)</f>
        <v>5</v>
      </c>
      <c r="D18" s="12">
        <f>AVERAGE(D2:D16)</f>
        <v>5</v>
      </c>
      <c r="E18" s="17">
        <f>AVERAGE(E2:E16)</f>
        <v>5</v>
      </c>
      <c r="F18" s="2">
        <f>'Tabelle 1'!F40</f>
        <v>15</v>
      </c>
      <c r="M18" s="1" t="s">
        <v>2</v>
      </c>
      <c r="N18" s="1" t="s">
        <v>56</v>
      </c>
      <c r="O18" s="1" t="s">
        <v>59</v>
      </c>
    </row>
    <row r="19" spans="1:15" x14ac:dyDescent="0.25">
      <c r="A19" s="19" t="s">
        <v>49</v>
      </c>
      <c r="B19" s="12">
        <f>STDEV(B2:B16)</f>
        <v>0</v>
      </c>
      <c r="C19" s="12">
        <f>STDEV(C2:C16)</f>
        <v>0</v>
      </c>
      <c r="D19" s="12">
        <f>STDEV(D2:D16)</f>
        <v>0</v>
      </c>
      <c r="E19" s="17">
        <f>STDEV(E2:E16)</f>
        <v>0</v>
      </c>
      <c r="M19" s="1">
        <v>29</v>
      </c>
      <c r="N19" s="1">
        <v>6</v>
      </c>
      <c r="O19" s="1">
        <v>2</v>
      </c>
    </row>
    <row r="20" spans="1:15" x14ac:dyDescent="0.25">
      <c r="M20" s="1">
        <v>1</v>
      </c>
      <c r="N20" s="1">
        <v>11</v>
      </c>
      <c r="O20" s="1">
        <v>16</v>
      </c>
    </row>
    <row r="21" spans="1:15" x14ac:dyDescent="0.25">
      <c r="M21" s="1">
        <v>0</v>
      </c>
      <c r="N21" s="1">
        <v>10</v>
      </c>
      <c r="O21" s="1">
        <v>11</v>
      </c>
    </row>
    <row r="22" spans="1:15" x14ac:dyDescent="0.25">
      <c r="A22" s="19" t="str">
        <f>'Tabelle 1'!A43</f>
        <v>Mock B</v>
      </c>
      <c r="B22" s="19" t="s">
        <v>36</v>
      </c>
      <c r="C22" s="19" t="s">
        <v>37</v>
      </c>
      <c r="D22" s="19" t="s">
        <v>38</v>
      </c>
      <c r="E22" s="19" t="s">
        <v>39</v>
      </c>
      <c r="H22" s="33" t="s">
        <v>40</v>
      </c>
      <c r="M22" s="1">
        <v>0</v>
      </c>
      <c r="N22" s="1">
        <v>3</v>
      </c>
      <c r="O22" s="1">
        <v>1</v>
      </c>
    </row>
    <row r="23" spans="1:15" x14ac:dyDescent="0.25">
      <c r="A23" s="12">
        <v>1</v>
      </c>
      <c r="B23" s="12">
        <f>VLOOKUP('Tabelle 1'!B45,'Degree of Symptoms'!$J$9:$K$13,2)</f>
        <v>5</v>
      </c>
      <c r="C23" s="12">
        <f>VLOOKUP('Tabelle 1'!C45,'Degree of Symptoms'!$J$13:$K$22,2)</f>
        <v>5</v>
      </c>
      <c r="D23" s="12">
        <f>VLOOKUP('Tabelle 1'!D45,'Degree of Symptoms'!$J$26:$K$30,2)</f>
        <v>5</v>
      </c>
      <c r="E23" s="17">
        <f t="shared" ref="E23:E37" si="2">AVERAGE(B23:D23)</f>
        <v>5</v>
      </c>
      <c r="G23" s="34" t="s">
        <v>41</v>
      </c>
      <c r="H23" s="1">
        <f>COUNTIFS($E$23:$E$37,"&lt;1,99",$E$23:$E$37,"&gt;=1")</f>
        <v>0</v>
      </c>
      <c r="M23" s="1">
        <v>0</v>
      </c>
      <c r="N23" s="1">
        <v>0</v>
      </c>
      <c r="O23" s="1">
        <v>0</v>
      </c>
    </row>
    <row r="24" spans="1:15" x14ac:dyDescent="0.25">
      <c r="A24" s="12">
        <v>2</v>
      </c>
      <c r="B24" s="12">
        <f>VLOOKUP('Tabelle 1'!B46,'Degree of Symptoms'!$J$9:$K$13,2)</f>
        <v>5</v>
      </c>
      <c r="C24" s="12">
        <f>VLOOKUP('Tabelle 1'!C46,'Degree of Symptoms'!$J$13:$K$22,2)</f>
        <v>5</v>
      </c>
      <c r="D24" s="12">
        <f>VLOOKUP('Tabelle 1'!D46,'Degree of Symptoms'!$J$26:$K$30,2)</f>
        <v>5</v>
      </c>
      <c r="E24" s="17">
        <f t="shared" si="2"/>
        <v>5</v>
      </c>
      <c r="G24" s="34" t="s">
        <v>42</v>
      </c>
      <c r="H24" s="1">
        <f>COUNTIFS($E$23:$E$37,"&lt;2,99",$E$23:$E$37,"&gt;=2")</f>
        <v>0</v>
      </c>
    </row>
    <row r="25" spans="1:15" x14ac:dyDescent="0.25">
      <c r="A25" s="12">
        <v>3</v>
      </c>
      <c r="B25" s="12">
        <f>VLOOKUP('Tabelle 1'!B47,'Degree of Symptoms'!$J$9:$K$13,2)</f>
        <v>5</v>
      </c>
      <c r="C25" s="12">
        <f>VLOOKUP('Tabelle 1'!C47,'Degree of Symptoms'!$J$13:$K$22,2)</f>
        <v>5</v>
      </c>
      <c r="D25" s="12">
        <f>VLOOKUP('Tabelle 1'!D47,'Degree of Symptoms'!$J$26:$K$30,2)</f>
        <v>5</v>
      </c>
      <c r="E25" s="17">
        <f t="shared" si="2"/>
        <v>5</v>
      </c>
      <c r="G25" s="34" t="s">
        <v>44</v>
      </c>
      <c r="H25" s="1">
        <f>COUNTIFS($E$23:$E$37,"&lt;3,99",$E$23:$E$37,"&gt;=3")</f>
        <v>0</v>
      </c>
      <c r="M25" s="1" t="s">
        <v>2</v>
      </c>
      <c r="N25" s="1" t="s">
        <v>56</v>
      </c>
      <c r="O25" s="1" t="s">
        <v>59</v>
      </c>
    </row>
    <row r="26" spans="1:15" x14ac:dyDescent="0.25">
      <c r="A26" s="12">
        <v>4</v>
      </c>
      <c r="B26" s="12">
        <f>VLOOKUP('Tabelle 1'!B48,'Degree of Symptoms'!$J$9:$K$13,2)</f>
        <v>5</v>
      </c>
      <c r="C26" s="12">
        <f>VLOOKUP('Tabelle 1'!C48,'Degree of Symptoms'!$J$13:$K$22,2)</f>
        <v>5</v>
      </c>
      <c r="D26" s="12">
        <f>VLOOKUP('Tabelle 1'!D48,'Degree of Symptoms'!$J$26:$K$30,2)</f>
        <v>5</v>
      </c>
      <c r="E26" s="17">
        <f t="shared" si="2"/>
        <v>5</v>
      </c>
      <c r="G26" s="34" t="s">
        <v>46</v>
      </c>
      <c r="H26" s="1">
        <f>COUNTIFS($E$23:$E$37,"&lt;4,99",$E$23:$E$37,"&gt;=4")</f>
        <v>0</v>
      </c>
      <c r="M26" s="1">
        <v>29</v>
      </c>
      <c r="N26" s="1">
        <v>9</v>
      </c>
      <c r="O26" s="1">
        <v>20</v>
      </c>
    </row>
    <row r="27" spans="1:15" x14ac:dyDescent="0.25">
      <c r="A27" s="12">
        <v>5</v>
      </c>
      <c r="B27" s="12">
        <f>VLOOKUP('Tabelle 1'!B49,'Degree of Symptoms'!$J$9:$K$13,2)</f>
        <v>5</v>
      </c>
      <c r="C27" s="12">
        <f>VLOOKUP('Tabelle 1'!C49,'Degree of Symptoms'!$J$13:$K$22,2)</f>
        <v>5</v>
      </c>
      <c r="D27" s="12">
        <f>VLOOKUP('Tabelle 1'!D49,'Degree of Symptoms'!$J$26:$K$30,2)</f>
        <v>5</v>
      </c>
      <c r="E27" s="17">
        <f t="shared" si="2"/>
        <v>5</v>
      </c>
      <c r="G27" s="34">
        <v>5</v>
      </c>
      <c r="H27" s="1">
        <f>COUNTIF($E$23:$E$37,"&gt;=5")</f>
        <v>15</v>
      </c>
      <c r="M27" s="1">
        <v>1</v>
      </c>
      <c r="N27" s="1">
        <v>19</v>
      </c>
      <c r="O27" s="1">
        <v>8</v>
      </c>
    </row>
    <row r="28" spans="1:15" x14ac:dyDescent="0.25">
      <c r="A28" s="12">
        <v>6</v>
      </c>
      <c r="B28" s="12">
        <f>VLOOKUP('Tabelle 1'!B50,'Degree of Symptoms'!$J$9:$K$13,2)</f>
        <v>5</v>
      </c>
      <c r="C28" s="12">
        <f>VLOOKUP('Tabelle 1'!C50,'Degree of Symptoms'!$J$13:$K$22,2)</f>
        <v>5</v>
      </c>
      <c r="D28" s="12">
        <f>VLOOKUP('Tabelle 1'!D50,'Degree of Symptoms'!$J$26:$K$30,2)</f>
        <v>5</v>
      </c>
      <c r="E28" s="17">
        <f t="shared" si="2"/>
        <v>5</v>
      </c>
      <c r="H28" s="1">
        <f>SUM(H23:H27)</f>
        <v>15</v>
      </c>
      <c r="M28" s="1">
        <v>0</v>
      </c>
      <c r="N28" s="1">
        <v>2</v>
      </c>
      <c r="O28" s="1">
        <v>2</v>
      </c>
    </row>
    <row r="29" spans="1:15" x14ac:dyDescent="0.25">
      <c r="A29" s="12">
        <v>7</v>
      </c>
      <c r="B29" s="12">
        <f>VLOOKUP('Tabelle 1'!B51,'Degree of Symptoms'!$J$9:$K$13,2)</f>
        <v>5</v>
      </c>
      <c r="C29" s="12">
        <f>VLOOKUP('Tabelle 1'!C51,'Degree of Symptoms'!$J$13:$K$22,2)</f>
        <v>5</v>
      </c>
      <c r="D29" s="12">
        <f>VLOOKUP('Tabelle 1'!D51,'Degree of Symptoms'!$J$26:$K$30,2)</f>
        <v>5</v>
      </c>
      <c r="E29" s="17">
        <f t="shared" si="2"/>
        <v>5</v>
      </c>
      <c r="M29" s="1">
        <v>0</v>
      </c>
      <c r="N29" s="1">
        <v>0</v>
      </c>
      <c r="O29" s="1">
        <v>0</v>
      </c>
    </row>
    <row r="30" spans="1:15" x14ac:dyDescent="0.25">
      <c r="A30" s="12">
        <v>8</v>
      </c>
      <c r="B30" s="12">
        <f>VLOOKUP('Tabelle 1'!B52,'Degree of Symptoms'!$J$9:$K$13,2)</f>
        <v>5</v>
      </c>
      <c r="C30" s="12">
        <f>VLOOKUP('Tabelle 1'!C52,'Degree of Symptoms'!$J$13:$K$22,2)</f>
        <v>5</v>
      </c>
      <c r="D30" s="12">
        <f>VLOOKUP('Tabelle 1'!D52,'Degree of Symptoms'!$J$26:$K$30,2)</f>
        <v>5</v>
      </c>
      <c r="E30" s="17">
        <f t="shared" si="2"/>
        <v>5</v>
      </c>
      <c r="F30" s="1" t="s">
        <v>50</v>
      </c>
      <c r="M30" s="1">
        <v>0</v>
      </c>
      <c r="N30" s="1">
        <v>0</v>
      </c>
      <c r="O30" s="1">
        <v>0</v>
      </c>
    </row>
    <row r="31" spans="1:15" x14ac:dyDescent="0.25">
      <c r="A31" s="12">
        <v>9</v>
      </c>
      <c r="B31" s="12">
        <f>VLOOKUP('Tabelle 1'!B53,'Degree of Symptoms'!$J$9:$K$13,2)</f>
        <v>5</v>
      </c>
      <c r="C31" s="12">
        <f>VLOOKUP('Tabelle 1'!C53,'Degree of Symptoms'!$J$13:$K$22,2)</f>
        <v>5</v>
      </c>
      <c r="D31" s="12">
        <f>VLOOKUP('Tabelle 1'!D53,'Degree of Symptoms'!$J$26:$K$30,2)</f>
        <v>5</v>
      </c>
      <c r="E31" s="17">
        <f t="shared" si="2"/>
        <v>5</v>
      </c>
      <c r="G31" s="33"/>
      <c r="H31" s="33"/>
      <c r="I31" s="33"/>
    </row>
    <row r="32" spans="1:15" x14ac:dyDescent="0.25">
      <c r="A32" s="12">
        <v>10</v>
      </c>
      <c r="B32" s="12">
        <f>VLOOKUP('Tabelle 1'!B54,'Degree of Symptoms'!$J$9:$K$13,2)</f>
        <v>5</v>
      </c>
      <c r="C32" s="12">
        <f>VLOOKUP('Tabelle 1'!C54,'Degree of Symptoms'!$J$13:$K$22,2)</f>
        <v>5</v>
      </c>
      <c r="D32" s="12">
        <f>VLOOKUP('Tabelle 1'!D54,'Degree of Symptoms'!$J$26:$K$30,2)</f>
        <v>5</v>
      </c>
      <c r="E32" s="17">
        <f t="shared" si="2"/>
        <v>5</v>
      </c>
      <c r="G32" s="33"/>
      <c r="H32" s="2"/>
      <c r="I32" s="2"/>
      <c r="M32" s="1" t="s">
        <v>58</v>
      </c>
      <c r="N32" s="1" t="s">
        <v>56</v>
      </c>
      <c r="O32" s="1" t="s">
        <v>64</v>
      </c>
    </row>
    <row r="33" spans="1:17" x14ac:dyDescent="0.25">
      <c r="A33" s="12">
        <v>11</v>
      </c>
      <c r="B33" s="12">
        <f>VLOOKUP('Tabelle 1'!B55,'Degree of Symptoms'!$J$9:$K$13,2)</f>
        <v>5</v>
      </c>
      <c r="C33" s="12">
        <f>VLOOKUP('Tabelle 1'!C55,'Degree of Symptoms'!$J$13:$K$22,2)</f>
        <v>5</v>
      </c>
      <c r="D33" s="12">
        <f>VLOOKUP('Tabelle 1'!D55,'Degree of Symptoms'!$J$26:$K$30,2)</f>
        <v>5</v>
      </c>
      <c r="E33" s="17">
        <f t="shared" si="2"/>
        <v>5</v>
      </c>
      <c r="G33" s="33"/>
      <c r="H33" s="2"/>
      <c r="I33" s="2"/>
      <c r="M33" s="1">
        <v>30</v>
      </c>
      <c r="N33" s="1">
        <v>1</v>
      </c>
      <c r="O33" s="1">
        <v>9</v>
      </c>
    </row>
    <row r="34" spans="1:17" x14ac:dyDescent="0.25">
      <c r="A34" s="12">
        <v>12</v>
      </c>
      <c r="B34" s="12">
        <f>VLOOKUP('Tabelle 1'!B56,'Degree of Symptoms'!$J$9:$K$13,2)</f>
        <v>5</v>
      </c>
      <c r="C34" s="12">
        <f>VLOOKUP('Tabelle 1'!C56,'Degree of Symptoms'!$J$13:$K$22,2)</f>
        <v>5</v>
      </c>
      <c r="D34" s="12">
        <f>VLOOKUP('Tabelle 1'!D56,'Degree of Symptoms'!$J$26:$K$30,2)</f>
        <v>5</v>
      </c>
      <c r="E34" s="17">
        <f t="shared" si="2"/>
        <v>5</v>
      </c>
      <c r="G34" s="33"/>
      <c r="H34" s="2"/>
      <c r="I34" s="2"/>
      <c r="M34" s="1">
        <v>0</v>
      </c>
      <c r="N34" s="1">
        <v>5</v>
      </c>
      <c r="O34" s="1">
        <v>21</v>
      </c>
    </row>
    <row r="35" spans="1:17" x14ac:dyDescent="0.25">
      <c r="A35" s="12">
        <v>13</v>
      </c>
      <c r="B35" s="12">
        <f>VLOOKUP('Tabelle 1'!B57,'Degree of Symptoms'!$J$9:$K$13,2)</f>
        <v>5</v>
      </c>
      <c r="C35" s="12">
        <f>VLOOKUP('Tabelle 1'!C57,'Degree of Symptoms'!$J$13:$K$22,2)</f>
        <v>5</v>
      </c>
      <c r="D35" s="12">
        <f>VLOOKUP('Tabelle 1'!D57,'Degree of Symptoms'!$J$26:$K$30,2)</f>
        <v>5</v>
      </c>
      <c r="E35" s="17">
        <f t="shared" si="2"/>
        <v>5</v>
      </c>
      <c r="G35" s="33"/>
      <c r="H35" s="2"/>
      <c r="I35" s="2"/>
      <c r="M35" s="1">
        <v>0</v>
      </c>
      <c r="N35" s="1">
        <v>16</v>
      </c>
      <c r="O35" s="1">
        <v>22</v>
      </c>
    </row>
    <row r="36" spans="1:17" x14ac:dyDescent="0.25">
      <c r="A36" s="12">
        <v>14</v>
      </c>
      <c r="B36" s="12">
        <f>VLOOKUP('Tabelle 1'!B58,'Degree of Symptoms'!$J$9:$K$13,2)</f>
        <v>5</v>
      </c>
      <c r="C36" s="12">
        <f>VLOOKUP('Tabelle 1'!C58,'Degree of Symptoms'!$J$13:$K$22,2)</f>
        <v>5</v>
      </c>
      <c r="D36" s="12">
        <f>VLOOKUP('Tabelle 1'!D58,'Degree of Symptoms'!$J$26:$K$30,2)</f>
        <v>5</v>
      </c>
      <c r="E36" s="17">
        <f t="shared" si="2"/>
        <v>5</v>
      </c>
      <c r="G36" s="33"/>
      <c r="H36" s="2"/>
      <c r="I36" s="2"/>
      <c r="M36" s="1">
        <v>0</v>
      </c>
      <c r="N36" s="1">
        <v>8</v>
      </c>
      <c r="O36" s="1">
        <v>8</v>
      </c>
    </row>
    <row r="37" spans="1:17" x14ac:dyDescent="0.25">
      <c r="A37" s="12">
        <v>15</v>
      </c>
      <c r="B37" s="12">
        <f>VLOOKUP('Tabelle 1'!B59,'Degree of Symptoms'!$J$9:$K$13,2)</f>
        <v>5</v>
      </c>
      <c r="C37" s="12">
        <f>VLOOKUP('Tabelle 1'!C59,'Degree of Symptoms'!$J$13:$K$22,2)</f>
        <v>5</v>
      </c>
      <c r="D37" s="12">
        <f>VLOOKUP('Tabelle 1'!D59,'Degree of Symptoms'!$J$26:$K$30,2)</f>
        <v>5</v>
      </c>
      <c r="E37" s="17">
        <f t="shared" si="2"/>
        <v>5</v>
      </c>
      <c r="M37" s="1">
        <v>0</v>
      </c>
      <c r="N37" s="1">
        <v>0</v>
      </c>
      <c r="O37" s="1">
        <v>0</v>
      </c>
    </row>
    <row r="38" spans="1:17" x14ac:dyDescent="0.25">
      <c r="A38" s="12"/>
      <c r="B38" s="12"/>
      <c r="C38" s="12"/>
      <c r="D38" s="12"/>
      <c r="E38" s="17"/>
      <c r="F38" s="2" t="s">
        <v>12</v>
      </c>
    </row>
    <row r="39" spans="1:17" x14ac:dyDescent="0.25">
      <c r="A39" s="19" t="s">
        <v>48</v>
      </c>
      <c r="B39" s="12">
        <f>AVERAGE(B23:B37)</f>
        <v>5</v>
      </c>
      <c r="C39" s="12">
        <f>AVERAGE(C23:C37)</f>
        <v>5</v>
      </c>
      <c r="D39" s="12">
        <f>AVERAGE(D23:D37)</f>
        <v>5</v>
      </c>
      <c r="E39" s="17">
        <f>AVERAGE(E23:E37)</f>
        <v>5</v>
      </c>
      <c r="F39" s="2">
        <f>'Tabelle 1'!F61</f>
        <v>15</v>
      </c>
      <c r="M39" s="1" t="s">
        <v>58</v>
      </c>
      <c r="N39" s="1" t="s">
        <v>56</v>
      </c>
      <c r="O39" s="1" t="s">
        <v>57</v>
      </c>
      <c r="P39" s="1" t="s">
        <v>62</v>
      </c>
      <c r="Q39" s="1" t="s">
        <v>63</v>
      </c>
    </row>
    <row r="40" spans="1:17" x14ac:dyDescent="0.25">
      <c r="A40" s="19" t="s">
        <v>49</v>
      </c>
      <c r="B40" s="12">
        <f>STDEV(B23:B37)</f>
        <v>0</v>
      </c>
      <c r="C40" s="12">
        <f>STDEV(C23:C37)</f>
        <v>0</v>
      </c>
      <c r="D40" s="12">
        <f>STDEV(D23:D37)</f>
        <v>0</v>
      </c>
      <c r="E40" s="17">
        <f>STDEV(E23:E37)</f>
        <v>0</v>
      </c>
      <c r="M40" s="1">
        <v>30</v>
      </c>
      <c r="N40" s="1">
        <v>6</v>
      </c>
      <c r="O40" s="1">
        <v>23</v>
      </c>
      <c r="P40" s="1">
        <v>9</v>
      </c>
      <c r="Q40" s="1">
        <v>10</v>
      </c>
    </row>
    <row r="41" spans="1:17" x14ac:dyDescent="0.25">
      <c r="M41" s="1">
        <v>0</v>
      </c>
      <c r="N41" s="1">
        <v>7</v>
      </c>
      <c r="O41" s="1">
        <v>16</v>
      </c>
      <c r="P41" s="1">
        <v>6</v>
      </c>
      <c r="Q41" s="1">
        <v>7</v>
      </c>
    </row>
    <row r="42" spans="1:17" x14ac:dyDescent="0.25">
      <c r="M42" s="1">
        <v>0</v>
      </c>
      <c r="N42" s="1">
        <v>15</v>
      </c>
      <c r="O42" s="1">
        <v>18</v>
      </c>
      <c r="P42" s="1">
        <v>14</v>
      </c>
      <c r="Q42" s="1">
        <v>10</v>
      </c>
    </row>
    <row r="43" spans="1:17" x14ac:dyDescent="0.25">
      <c r="A43" s="9">
        <f>'Tabelle 1'!A64</f>
        <v>3</v>
      </c>
      <c r="B43" s="19" t="s">
        <v>36</v>
      </c>
      <c r="C43" s="19" t="s">
        <v>37</v>
      </c>
      <c r="D43" s="19" t="s">
        <v>38</v>
      </c>
      <c r="E43" s="19" t="s">
        <v>39</v>
      </c>
      <c r="H43" s="33" t="s">
        <v>40</v>
      </c>
      <c r="M43" s="1">
        <v>0</v>
      </c>
      <c r="N43" s="1">
        <v>2</v>
      </c>
      <c r="O43" s="1">
        <v>3</v>
      </c>
      <c r="P43" s="1">
        <v>1</v>
      </c>
      <c r="Q43" s="1">
        <v>3</v>
      </c>
    </row>
    <row r="44" spans="1:17" x14ac:dyDescent="0.25">
      <c r="A44" s="12">
        <v>1</v>
      </c>
      <c r="B44" s="12">
        <f>VLOOKUP('Tabelle 1'!B66,'Degree of Symptoms'!$J$9:$K$13,2)</f>
        <v>5</v>
      </c>
      <c r="C44" s="12">
        <f>VLOOKUP('Tabelle 1'!C66,'Degree of Symptoms'!$J$13:$K$22,2)</f>
        <v>5</v>
      </c>
      <c r="D44" s="12">
        <f>VLOOKUP('Tabelle 1'!D66,'Degree of Symptoms'!$J$26:$K$30,2)</f>
        <v>5</v>
      </c>
      <c r="E44" s="17">
        <f t="shared" ref="E44:E58" si="3">AVERAGE(B44:D44)</f>
        <v>5</v>
      </c>
      <c r="G44" s="34" t="s">
        <v>41</v>
      </c>
      <c r="H44" s="1">
        <f>COUNTIFS($E$44:$E$58,"&lt;1,99",$E$44:$E$58,"&gt;=1")</f>
        <v>0</v>
      </c>
      <c r="M44" s="1">
        <v>0</v>
      </c>
      <c r="N44" s="1">
        <v>0</v>
      </c>
      <c r="O44" s="1">
        <v>0</v>
      </c>
      <c r="P44" s="1">
        <v>0</v>
      </c>
      <c r="Q44" s="1">
        <v>0</v>
      </c>
    </row>
    <row r="45" spans="1:17" x14ac:dyDescent="0.25">
      <c r="A45" s="12">
        <v>2</v>
      </c>
      <c r="B45" s="12">
        <f>VLOOKUP('Tabelle 1'!B67,'Degree of Symptoms'!$J$9:$K$13,2)</f>
        <v>5</v>
      </c>
      <c r="C45" s="12">
        <f>VLOOKUP('Tabelle 1'!C67,'Degree of Symptoms'!$J$13:$K$22,2)</f>
        <v>5</v>
      </c>
      <c r="D45" s="12">
        <f>VLOOKUP('Tabelle 1'!D67,'Degree of Symptoms'!$J$26:$K$30,2)</f>
        <v>5</v>
      </c>
      <c r="E45" s="17">
        <f t="shared" si="3"/>
        <v>5</v>
      </c>
      <c r="G45" s="34" t="s">
        <v>42</v>
      </c>
      <c r="H45" s="1">
        <f>COUNTIFS($E$44:$E$58,"&lt;2,99",$E$44:$E$58,"&gt;=2")</f>
        <v>0</v>
      </c>
    </row>
    <row r="46" spans="1:17" x14ac:dyDescent="0.25">
      <c r="A46" s="12">
        <v>3</v>
      </c>
      <c r="B46" s="12">
        <f>VLOOKUP('Tabelle 1'!B68,'Degree of Symptoms'!$J$9:$K$13,2)</f>
        <v>5</v>
      </c>
      <c r="C46" s="12">
        <f>VLOOKUP('Tabelle 1'!C68,'Degree of Symptoms'!$J$13:$K$22,2)</f>
        <v>5</v>
      </c>
      <c r="D46" s="12">
        <f>VLOOKUP('Tabelle 1'!D68,'Degree of Symptoms'!$J$26:$K$30,2)</f>
        <v>5</v>
      </c>
      <c r="E46" s="17">
        <f t="shared" si="3"/>
        <v>5</v>
      </c>
      <c r="G46" s="34" t="s">
        <v>44</v>
      </c>
      <c r="H46" s="1">
        <f>COUNTIFS($E$44:$E$58,"&lt;3,99",$E$44:$E$58,"&gt;=3")</f>
        <v>0</v>
      </c>
      <c r="M46" s="1" t="s">
        <v>2</v>
      </c>
      <c r="N46" s="1" t="s">
        <v>56</v>
      </c>
      <c r="O46" s="1" t="s">
        <v>57</v>
      </c>
      <c r="P46" s="1" t="s">
        <v>62</v>
      </c>
    </row>
    <row r="47" spans="1:17" x14ac:dyDescent="0.25">
      <c r="A47" s="12">
        <v>4</v>
      </c>
      <c r="B47" s="12">
        <f>VLOOKUP('Tabelle 1'!B69,'Degree of Symptoms'!$J$9:$K$13,2)</f>
        <v>5</v>
      </c>
      <c r="C47" s="12">
        <f>VLOOKUP('Tabelle 1'!C69,'Degree of Symptoms'!$J$13:$K$22,2)</f>
        <v>5</v>
      </c>
      <c r="D47" s="12">
        <f>VLOOKUP('Tabelle 1'!D69,'Degree of Symptoms'!$J$26:$K$30,2)</f>
        <v>5</v>
      </c>
      <c r="E47" s="17">
        <f t="shared" si="3"/>
        <v>5</v>
      </c>
      <c r="G47" s="34" t="s">
        <v>46</v>
      </c>
      <c r="H47" s="1">
        <f>COUNTIFS($E$44:$E$58,"&lt;4,99",$E$44:$E$58,"&gt;=4")</f>
        <v>0</v>
      </c>
      <c r="M47" s="1">
        <v>30</v>
      </c>
      <c r="N47" s="1">
        <v>0</v>
      </c>
      <c r="O47" s="1">
        <v>2</v>
      </c>
      <c r="P47" s="1">
        <v>2</v>
      </c>
    </row>
    <row r="48" spans="1:17" x14ac:dyDescent="0.25">
      <c r="A48" s="12">
        <v>5</v>
      </c>
      <c r="B48" s="12">
        <f>VLOOKUP('Tabelle 1'!B70,'Degree of Symptoms'!$J$9:$K$13,2)</f>
        <v>5</v>
      </c>
      <c r="C48" s="12">
        <f>VLOOKUP('Tabelle 1'!C70,'Degree of Symptoms'!$J$13:$K$22,2)</f>
        <v>5</v>
      </c>
      <c r="D48" s="12">
        <f>VLOOKUP('Tabelle 1'!D70,'Degree of Symptoms'!$J$26:$K$30,2)</f>
        <v>5</v>
      </c>
      <c r="E48" s="17">
        <f t="shared" si="3"/>
        <v>5</v>
      </c>
      <c r="G48" s="34">
        <v>5</v>
      </c>
      <c r="H48" s="1">
        <f>COUNTIF($E$44:$E$58,"&gt;=5")</f>
        <v>15</v>
      </c>
      <c r="M48" s="1">
        <v>0</v>
      </c>
      <c r="N48" s="1">
        <v>10</v>
      </c>
      <c r="O48" s="1">
        <v>12</v>
      </c>
      <c r="P48" s="1">
        <v>8</v>
      </c>
    </row>
    <row r="49" spans="1:16" x14ac:dyDescent="0.25">
      <c r="A49" s="12">
        <v>6</v>
      </c>
      <c r="B49" s="12">
        <f>VLOOKUP('Tabelle 1'!B71,'Degree of Symptoms'!$J$9:$K$13,2)</f>
        <v>5</v>
      </c>
      <c r="C49" s="12">
        <f>VLOOKUP('Tabelle 1'!C71,'Degree of Symptoms'!$J$13:$K$22,2)</f>
        <v>5</v>
      </c>
      <c r="D49" s="12">
        <f>VLOOKUP('Tabelle 1'!D71,'Degree of Symptoms'!$J$26:$K$30,2)</f>
        <v>5</v>
      </c>
      <c r="E49" s="17">
        <f t="shared" si="3"/>
        <v>5</v>
      </c>
      <c r="H49" s="1">
        <f>SUM(H44:H48)</f>
        <v>15</v>
      </c>
      <c r="M49" s="1">
        <v>0</v>
      </c>
      <c r="N49" s="1">
        <v>15</v>
      </c>
      <c r="O49" s="1">
        <v>14</v>
      </c>
      <c r="P49" s="1">
        <v>18</v>
      </c>
    </row>
    <row r="50" spans="1:16" x14ac:dyDescent="0.25">
      <c r="A50" s="12">
        <v>7</v>
      </c>
      <c r="B50" s="12">
        <f>VLOOKUP('Tabelle 1'!B72,'Degree of Symptoms'!$J$9:$K$13,2)</f>
        <v>5</v>
      </c>
      <c r="C50" s="12">
        <f>VLOOKUP('Tabelle 1'!C72,'Degree of Symptoms'!$J$13:$K$22,2)</f>
        <v>5</v>
      </c>
      <c r="D50" s="12">
        <f>VLOOKUP('Tabelle 1'!D72,'Degree of Symptoms'!$J$26:$K$30,2)</f>
        <v>5</v>
      </c>
      <c r="E50" s="17">
        <f t="shared" si="3"/>
        <v>5</v>
      </c>
      <c r="M50" s="1">
        <v>0</v>
      </c>
      <c r="N50" s="1">
        <v>5</v>
      </c>
      <c r="O50" s="1">
        <v>2</v>
      </c>
      <c r="P50" s="1">
        <v>2</v>
      </c>
    </row>
    <row r="51" spans="1:16" x14ac:dyDescent="0.25">
      <c r="A51" s="12">
        <v>8</v>
      </c>
      <c r="B51" s="12">
        <f>VLOOKUP('Tabelle 1'!B73,'Degree of Symptoms'!$J$9:$K$13,2)</f>
        <v>5</v>
      </c>
      <c r="C51" s="12">
        <f>VLOOKUP('Tabelle 1'!C73,'Degree of Symptoms'!$J$13:$K$22,2)</f>
        <v>5</v>
      </c>
      <c r="D51" s="12">
        <f>VLOOKUP('Tabelle 1'!D73,'Degree of Symptoms'!$J$26:$K$30,2)</f>
        <v>5</v>
      </c>
      <c r="E51" s="17">
        <f t="shared" si="3"/>
        <v>5</v>
      </c>
      <c r="M51" s="1">
        <v>0</v>
      </c>
      <c r="N51" s="1">
        <v>0</v>
      </c>
      <c r="O51" s="1">
        <v>0</v>
      </c>
      <c r="P51" s="1">
        <v>0</v>
      </c>
    </row>
    <row r="52" spans="1:16" x14ac:dyDescent="0.25">
      <c r="A52" s="12">
        <v>9</v>
      </c>
      <c r="B52" s="12">
        <f>VLOOKUP('Tabelle 1'!B74,'Degree of Symptoms'!$J$9:$K$13,2)</f>
        <v>5</v>
      </c>
      <c r="C52" s="12">
        <f>VLOOKUP('Tabelle 1'!C74,'Degree of Symptoms'!$J$13:$K$22,2)</f>
        <v>5</v>
      </c>
      <c r="D52" s="12">
        <f>VLOOKUP('Tabelle 1'!D74,'Degree of Symptoms'!$J$26:$K$30,2)</f>
        <v>5</v>
      </c>
      <c r="E52" s="17">
        <f t="shared" si="3"/>
        <v>5</v>
      </c>
      <c r="G52" s="33"/>
      <c r="H52" s="33"/>
      <c r="I52" s="33"/>
    </row>
    <row r="53" spans="1:16" x14ac:dyDescent="0.25">
      <c r="A53" s="12">
        <v>10</v>
      </c>
      <c r="B53" s="12">
        <f>VLOOKUP('Tabelle 1'!B75,'Degree of Symptoms'!$J$9:$K$13,2)</f>
        <v>5</v>
      </c>
      <c r="C53" s="12">
        <f>VLOOKUP('Tabelle 1'!C75,'Degree of Symptoms'!$J$13:$K$22,2)</f>
        <v>5</v>
      </c>
      <c r="D53" s="12">
        <f>VLOOKUP('Tabelle 1'!D75,'Degree of Symptoms'!$J$26:$K$30,2)</f>
        <v>5</v>
      </c>
      <c r="E53" s="17">
        <f t="shared" si="3"/>
        <v>5</v>
      </c>
      <c r="G53" s="33"/>
      <c r="H53" s="2"/>
      <c r="I53" s="2"/>
    </row>
    <row r="54" spans="1:16" x14ac:dyDescent="0.25">
      <c r="A54" s="12">
        <v>11</v>
      </c>
      <c r="B54" s="12">
        <f>VLOOKUP('Tabelle 1'!B76,'Degree of Symptoms'!$J$9:$K$13,2)</f>
        <v>5</v>
      </c>
      <c r="C54" s="12">
        <f>VLOOKUP('Tabelle 1'!C76,'Degree of Symptoms'!$J$13:$K$22,2)</f>
        <v>5</v>
      </c>
      <c r="D54" s="12">
        <f>VLOOKUP('Tabelle 1'!D76,'Degree of Symptoms'!$J$26:$K$30,2)</f>
        <v>5</v>
      </c>
      <c r="E54" s="17">
        <f t="shared" si="3"/>
        <v>5</v>
      </c>
      <c r="G54" s="33"/>
      <c r="H54" s="2"/>
      <c r="I54" s="2"/>
    </row>
    <row r="55" spans="1:16" x14ac:dyDescent="0.25">
      <c r="A55" s="12">
        <v>12</v>
      </c>
      <c r="B55" s="12">
        <f>VLOOKUP('Tabelle 1'!B77,'Degree of Symptoms'!$J$9:$K$13,2)</f>
        <v>5</v>
      </c>
      <c r="C55" s="12">
        <f>VLOOKUP('Tabelle 1'!C77,'Degree of Symptoms'!$J$13:$K$22,2)</f>
        <v>5</v>
      </c>
      <c r="D55" s="12">
        <f>VLOOKUP('Tabelle 1'!D77,'Degree of Symptoms'!$J$26:$K$30,2)</f>
        <v>5</v>
      </c>
      <c r="E55" s="17">
        <f t="shared" si="3"/>
        <v>5</v>
      </c>
      <c r="G55" s="33"/>
      <c r="H55" s="2"/>
      <c r="I55" s="2"/>
    </row>
    <row r="56" spans="1:16" x14ac:dyDescent="0.25">
      <c r="A56" s="12">
        <v>13</v>
      </c>
      <c r="B56" s="12">
        <f>VLOOKUP('Tabelle 1'!B78,'Degree of Symptoms'!$J$9:$K$13,2)</f>
        <v>5</v>
      </c>
      <c r="C56" s="12">
        <f>VLOOKUP('Tabelle 1'!C78,'Degree of Symptoms'!$J$13:$K$22,2)</f>
        <v>5</v>
      </c>
      <c r="D56" s="12">
        <f>VLOOKUP('Tabelle 1'!D78,'Degree of Symptoms'!$J$26:$K$30,2)</f>
        <v>5</v>
      </c>
      <c r="E56" s="17">
        <f t="shared" si="3"/>
        <v>5</v>
      </c>
      <c r="G56" s="33"/>
      <c r="H56" s="2"/>
      <c r="I56" s="2"/>
    </row>
    <row r="57" spans="1:16" x14ac:dyDescent="0.25">
      <c r="A57" s="12">
        <v>14</v>
      </c>
      <c r="B57" s="12">
        <f>VLOOKUP('Tabelle 1'!B79,'Degree of Symptoms'!$J$9:$K$13,2)</f>
        <v>5</v>
      </c>
      <c r="C57" s="12">
        <f>VLOOKUP('Tabelle 1'!C79,'Degree of Symptoms'!$J$13:$K$22,2)</f>
        <v>5</v>
      </c>
      <c r="D57" s="12">
        <f>VLOOKUP('Tabelle 1'!D79,'Degree of Symptoms'!$J$26:$K$30,2)</f>
        <v>5</v>
      </c>
      <c r="E57" s="17">
        <f t="shared" si="3"/>
        <v>5</v>
      </c>
      <c r="G57" s="33"/>
      <c r="H57" s="2"/>
      <c r="I57" s="2"/>
    </row>
    <row r="58" spans="1:16" x14ac:dyDescent="0.25">
      <c r="A58" s="12">
        <v>15</v>
      </c>
      <c r="B58" s="12">
        <f>VLOOKUP('Tabelle 1'!B80,'Degree of Symptoms'!$J$9:$K$13,2)</f>
        <v>5</v>
      </c>
      <c r="C58" s="12">
        <f>VLOOKUP('Tabelle 1'!C80,'Degree of Symptoms'!$J$13:$K$22,2)</f>
        <v>5</v>
      </c>
      <c r="D58" s="12">
        <f>VLOOKUP('Tabelle 1'!D80,'Degree of Symptoms'!$J$26:$K$30,2)</f>
        <v>5</v>
      </c>
      <c r="E58" s="17">
        <f t="shared" si="3"/>
        <v>5</v>
      </c>
    </row>
    <row r="59" spans="1:16" x14ac:dyDescent="0.25">
      <c r="A59" s="12"/>
      <c r="B59" s="12"/>
      <c r="C59" s="12"/>
      <c r="D59" s="12"/>
      <c r="E59" s="17"/>
      <c r="F59" s="2" t="s">
        <v>12</v>
      </c>
    </row>
    <row r="60" spans="1:16" x14ac:dyDescent="0.25">
      <c r="A60" s="19" t="s">
        <v>48</v>
      </c>
      <c r="B60" s="12">
        <f>AVERAGE(B44:B58)</f>
        <v>5</v>
      </c>
      <c r="C60" s="12">
        <f>AVERAGE(C44:C58)</f>
        <v>5</v>
      </c>
      <c r="D60" s="12">
        <f>AVERAGE(D44:D58)</f>
        <v>5</v>
      </c>
      <c r="E60" s="17">
        <f>AVERAGE(E44:E58)</f>
        <v>5</v>
      </c>
      <c r="F60" s="2">
        <f>'Tabelle 1'!F82</f>
        <v>15</v>
      </c>
    </row>
    <row r="61" spans="1:16" x14ac:dyDescent="0.25">
      <c r="A61" s="19" t="s">
        <v>49</v>
      </c>
      <c r="B61" s="12">
        <f>STDEV(B44:B58)</f>
        <v>0</v>
      </c>
      <c r="C61" s="12">
        <f>STDEV(C44:C58)</f>
        <v>0</v>
      </c>
      <c r="D61" s="12">
        <f>STDEV(D44:D58)</f>
        <v>0</v>
      </c>
      <c r="E61" s="17">
        <f>STDEV(E44:E58)</f>
        <v>0</v>
      </c>
    </row>
    <row r="64" spans="1:16" x14ac:dyDescent="0.25">
      <c r="A64" s="9">
        <f>'Tabelle 1'!A85</f>
        <v>4</v>
      </c>
      <c r="B64" s="19" t="s">
        <v>36</v>
      </c>
      <c r="C64" s="19" t="s">
        <v>37</v>
      </c>
      <c r="D64" s="19" t="s">
        <v>38</v>
      </c>
      <c r="E64" s="19" t="s">
        <v>39</v>
      </c>
      <c r="H64" s="33" t="s">
        <v>40</v>
      </c>
    </row>
    <row r="65" spans="1:9" x14ac:dyDescent="0.25">
      <c r="A65" s="12">
        <v>1</v>
      </c>
      <c r="B65" s="12">
        <f>VLOOKUP('Tabelle 1'!B87,'Degree of Symptoms'!$J$9:$K$13,2)</f>
        <v>5</v>
      </c>
      <c r="C65" s="12">
        <f>VLOOKUP('Tabelle 1'!C87,'Degree of Symptoms'!$J$13:$K$22,2)</f>
        <v>5</v>
      </c>
      <c r="D65" s="12">
        <f>VLOOKUP('Tabelle 1'!D87,'Degree of Symptoms'!$J$26:$K$30,2)</f>
        <v>5</v>
      </c>
      <c r="E65" s="17">
        <f t="shared" ref="E65:E79" si="4">AVERAGE(B65:D65)</f>
        <v>5</v>
      </c>
      <c r="G65" s="34" t="s">
        <v>41</v>
      </c>
      <c r="H65" s="1">
        <f>COUNTIFS($E$65:$E$79,"&lt;1,99",$E$65:$E$79,"&gt;=1")</f>
        <v>0</v>
      </c>
    </row>
    <row r="66" spans="1:9" x14ac:dyDescent="0.25">
      <c r="A66" s="12">
        <v>2</v>
      </c>
      <c r="B66" s="12">
        <f>VLOOKUP('Tabelle 1'!B88,'Degree of Symptoms'!$J$9:$K$13,2)</f>
        <v>5</v>
      </c>
      <c r="C66" s="12">
        <f>VLOOKUP('Tabelle 1'!C88,'Degree of Symptoms'!$J$13:$K$22,2)</f>
        <v>5</v>
      </c>
      <c r="D66" s="12">
        <f>VLOOKUP('Tabelle 1'!D88,'Degree of Symptoms'!$J$26:$K$30,2)</f>
        <v>5</v>
      </c>
      <c r="E66" s="17">
        <f t="shared" si="4"/>
        <v>5</v>
      </c>
      <c r="G66" s="34" t="s">
        <v>42</v>
      </c>
      <c r="H66" s="1">
        <f>COUNTIFS($E$65:$E$79,"&lt;2,99",$E$65:$E$79,"&gt;=2")</f>
        <v>0</v>
      </c>
    </row>
    <row r="67" spans="1:9" x14ac:dyDescent="0.25">
      <c r="A67" s="12">
        <v>3</v>
      </c>
      <c r="B67" s="12">
        <f>VLOOKUP('Tabelle 1'!B89,'Degree of Symptoms'!$J$9:$K$13,2)</f>
        <v>5</v>
      </c>
      <c r="C67" s="12">
        <f>VLOOKUP('Tabelle 1'!C89,'Degree of Symptoms'!$J$13:$K$22,2)</f>
        <v>5</v>
      </c>
      <c r="D67" s="12">
        <f>VLOOKUP('Tabelle 1'!D89,'Degree of Symptoms'!$J$26:$K$30,2)</f>
        <v>5</v>
      </c>
      <c r="E67" s="17">
        <f t="shared" si="4"/>
        <v>5</v>
      </c>
      <c r="G67" s="34" t="s">
        <v>44</v>
      </c>
      <c r="H67" s="1">
        <f>COUNTIFS($E$65:$E$79,"&lt;3,99",$E$65:$E$79,"&gt;=3")</f>
        <v>0</v>
      </c>
    </row>
    <row r="68" spans="1:9" x14ac:dyDescent="0.25">
      <c r="A68" s="12">
        <v>4</v>
      </c>
      <c r="B68" s="12">
        <f>VLOOKUP('Tabelle 1'!B90,'Degree of Symptoms'!$J$9:$K$13,2)</f>
        <v>5</v>
      </c>
      <c r="C68" s="12">
        <f>VLOOKUP('Tabelle 1'!C90,'Degree of Symptoms'!$J$13:$K$22,2)</f>
        <v>5</v>
      </c>
      <c r="D68" s="12">
        <f>VLOOKUP('Tabelle 1'!D90,'Degree of Symptoms'!$J$26:$K$30,2)</f>
        <v>5</v>
      </c>
      <c r="E68" s="17">
        <f t="shared" si="4"/>
        <v>5</v>
      </c>
      <c r="G68" s="34" t="s">
        <v>46</v>
      </c>
      <c r="H68" s="1">
        <f>COUNTIFS($E$65:$E$79,"&lt;4,99",$E$65:$E$79,"&gt;=4")</f>
        <v>0</v>
      </c>
    </row>
    <row r="69" spans="1:9" x14ac:dyDescent="0.25">
      <c r="A69" s="12">
        <v>5</v>
      </c>
      <c r="B69" s="12">
        <f>VLOOKUP('Tabelle 1'!B91,'Degree of Symptoms'!$J$9:$K$13,2)</f>
        <v>5</v>
      </c>
      <c r="C69" s="12">
        <f>VLOOKUP('Tabelle 1'!C91,'Degree of Symptoms'!$J$13:$K$22,2)</f>
        <v>5</v>
      </c>
      <c r="D69" s="12">
        <f>VLOOKUP('Tabelle 1'!D91,'Degree of Symptoms'!$J$26:$K$30,2)</f>
        <v>5</v>
      </c>
      <c r="E69" s="17">
        <f t="shared" si="4"/>
        <v>5</v>
      </c>
      <c r="G69" s="34">
        <v>5</v>
      </c>
      <c r="H69" s="1">
        <f>COUNTIF($E$65:$E$79,"&gt;=5")</f>
        <v>15</v>
      </c>
    </row>
    <row r="70" spans="1:9" x14ac:dyDescent="0.25">
      <c r="A70" s="12">
        <v>6</v>
      </c>
      <c r="B70" s="12">
        <f>VLOOKUP('Tabelle 1'!B92,'Degree of Symptoms'!$J$9:$K$13,2)</f>
        <v>5</v>
      </c>
      <c r="C70" s="12">
        <f>VLOOKUP('Tabelle 1'!C92,'Degree of Symptoms'!$J$13:$K$22,2)</f>
        <v>5</v>
      </c>
      <c r="D70" s="12">
        <f>VLOOKUP('Tabelle 1'!D92,'Degree of Symptoms'!$J$26:$K$30,2)</f>
        <v>5</v>
      </c>
      <c r="E70" s="17">
        <f t="shared" si="4"/>
        <v>5</v>
      </c>
      <c r="H70" s="1">
        <f>SUM(H65:H69)</f>
        <v>15</v>
      </c>
    </row>
    <row r="71" spans="1:9" x14ac:dyDescent="0.25">
      <c r="A71" s="12">
        <v>7</v>
      </c>
      <c r="B71" s="12">
        <f>VLOOKUP('Tabelle 1'!B93,'Degree of Symptoms'!$J$9:$K$13,2)</f>
        <v>5</v>
      </c>
      <c r="C71" s="12">
        <f>VLOOKUP('Tabelle 1'!C93,'Degree of Symptoms'!$J$13:$K$22,2)</f>
        <v>5</v>
      </c>
      <c r="D71" s="12">
        <f>VLOOKUP('Tabelle 1'!D93,'Degree of Symptoms'!$J$26:$K$30,2)</f>
        <v>5</v>
      </c>
      <c r="E71" s="17">
        <f t="shared" si="4"/>
        <v>5</v>
      </c>
    </row>
    <row r="72" spans="1:9" x14ac:dyDescent="0.25">
      <c r="A72" s="12">
        <v>8</v>
      </c>
      <c r="B72" s="12">
        <f>VLOOKUP('Tabelle 1'!B94,'Degree of Symptoms'!$J$9:$K$13,2)</f>
        <v>5</v>
      </c>
      <c r="C72" s="12">
        <f>VLOOKUP('Tabelle 1'!C94,'Degree of Symptoms'!$J$13:$K$22,2)</f>
        <v>5</v>
      </c>
      <c r="D72" s="12">
        <f>VLOOKUP('Tabelle 1'!D94,'Degree of Symptoms'!$J$26:$K$30,2)</f>
        <v>5</v>
      </c>
      <c r="E72" s="17">
        <f t="shared" si="4"/>
        <v>5</v>
      </c>
    </row>
    <row r="73" spans="1:9" x14ac:dyDescent="0.25">
      <c r="A73" s="12">
        <v>9</v>
      </c>
      <c r="B73" s="12">
        <f>VLOOKUP('Tabelle 1'!B95,'Degree of Symptoms'!$J$9:$K$13,2)</f>
        <v>5</v>
      </c>
      <c r="C73" s="12">
        <f>VLOOKUP('Tabelle 1'!C95,'Degree of Symptoms'!$J$13:$K$22,2)</f>
        <v>5</v>
      </c>
      <c r="D73" s="12">
        <f>VLOOKUP('Tabelle 1'!D95,'Degree of Symptoms'!$J$26:$K$30,2)</f>
        <v>5</v>
      </c>
      <c r="E73" s="17">
        <f t="shared" si="4"/>
        <v>5</v>
      </c>
      <c r="G73" s="33"/>
      <c r="H73" s="33"/>
      <c r="I73" s="33"/>
    </row>
    <row r="74" spans="1:9" x14ac:dyDescent="0.25">
      <c r="A74" s="12">
        <v>10</v>
      </c>
      <c r="B74" s="12">
        <f>VLOOKUP('Tabelle 1'!B96,'Degree of Symptoms'!$J$9:$K$13,2)</f>
        <v>5</v>
      </c>
      <c r="C74" s="12">
        <f>VLOOKUP('Tabelle 1'!C96,'Degree of Symptoms'!$J$13:$K$22,2)</f>
        <v>5</v>
      </c>
      <c r="D74" s="12">
        <f>VLOOKUP('Tabelle 1'!D96,'Degree of Symptoms'!$J$26:$K$30,2)</f>
        <v>5</v>
      </c>
      <c r="E74" s="17">
        <f t="shared" si="4"/>
        <v>5</v>
      </c>
      <c r="G74" s="33"/>
      <c r="H74" s="2"/>
      <c r="I74" s="2"/>
    </row>
    <row r="75" spans="1:9" x14ac:dyDescent="0.25">
      <c r="A75" s="12">
        <v>11</v>
      </c>
      <c r="B75" s="12">
        <f>VLOOKUP('Tabelle 1'!B97,'Degree of Symptoms'!$J$9:$K$13,2)</f>
        <v>5</v>
      </c>
      <c r="C75" s="12">
        <f>VLOOKUP('Tabelle 1'!C97,'Degree of Symptoms'!$J$13:$K$22,2)</f>
        <v>5</v>
      </c>
      <c r="D75" s="12">
        <f>VLOOKUP('Tabelle 1'!D97,'Degree of Symptoms'!$J$26:$K$30,2)</f>
        <v>5</v>
      </c>
      <c r="E75" s="17">
        <f t="shared" si="4"/>
        <v>5</v>
      </c>
      <c r="G75" s="33"/>
      <c r="H75" s="2"/>
      <c r="I75" s="2"/>
    </row>
    <row r="76" spans="1:9" x14ac:dyDescent="0.25">
      <c r="A76" s="12">
        <v>12</v>
      </c>
      <c r="B76" s="12">
        <f>VLOOKUP('Tabelle 1'!B98,'Degree of Symptoms'!$J$9:$K$13,2)</f>
        <v>5</v>
      </c>
      <c r="C76" s="12">
        <f>VLOOKUP('Tabelle 1'!C98,'Degree of Symptoms'!$J$13:$K$22,2)</f>
        <v>5</v>
      </c>
      <c r="D76" s="12">
        <f>VLOOKUP('Tabelle 1'!D98,'Degree of Symptoms'!$J$26:$K$30,2)</f>
        <v>5</v>
      </c>
      <c r="E76" s="17">
        <f t="shared" si="4"/>
        <v>5</v>
      </c>
      <c r="G76" s="33"/>
      <c r="H76" s="2"/>
      <c r="I76" s="2"/>
    </row>
    <row r="77" spans="1:9" x14ac:dyDescent="0.25">
      <c r="A77" s="12">
        <v>13</v>
      </c>
      <c r="B77" s="12">
        <f>VLOOKUP('Tabelle 1'!B99,'Degree of Symptoms'!$J$9:$K$13,2)</f>
        <v>5</v>
      </c>
      <c r="C77" s="12">
        <f>VLOOKUP('Tabelle 1'!C99,'Degree of Symptoms'!$J$13:$K$22,2)</f>
        <v>5</v>
      </c>
      <c r="D77" s="12">
        <f>VLOOKUP('Tabelle 1'!D99,'Degree of Symptoms'!$J$26:$K$30,2)</f>
        <v>5</v>
      </c>
      <c r="E77" s="17">
        <f t="shared" si="4"/>
        <v>5</v>
      </c>
      <c r="G77" s="33"/>
      <c r="H77" s="2"/>
      <c r="I77" s="2"/>
    </row>
    <row r="78" spans="1:9" x14ac:dyDescent="0.25">
      <c r="A78" s="12">
        <v>14</v>
      </c>
      <c r="B78" s="12">
        <f>VLOOKUP('Tabelle 1'!B100,'Degree of Symptoms'!$J$9:$K$13,2)</f>
        <v>5</v>
      </c>
      <c r="C78" s="12">
        <f>VLOOKUP('Tabelle 1'!C100,'Degree of Symptoms'!$J$13:$K$22,2)</f>
        <v>5</v>
      </c>
      <c r="D78" s="12">
        <f>VLOOKUP('Tabelle 1'!D100,'Degree of Symptoms'!$J$26:$K$30,2)</f>
        <v>5</v>
      </c>
      <c r="E78" s="17">
        <f t="shared" si="4"/>
        <v>5</v>
      </c>
      <c r="G78" s="33"/>
      <c r="H78" s="2"/>
      <c r="I78" s="2"/>
    </row>
    <row r="79" spans="1:9" x14ac:dyDescent="0.25">
      <c r="A79" s="12">
        <v>15</v>
      </c>
      <c r="B79" s="12">
        <f>VLOOKUP('Tabelle 1'!B101,'Degree of Symptoms'!$J$9:$K$13,2)</f>
        <v>5</v>
      </c>
      <c r="C79" s="12">
        <f>VLOOKUP('Tabelle 1'!C101,'Degree of Symptoms'!$J$13:$K$22,2)</f>
        <v>5</v>
      </c>
      <c r="D79" s="12">
        <f>VLOOKUP('Tabelle 1'!D101,'Degree of Symptoms'!$J$26:$K$30,2)</f>
        <v>5</v>
      </c>
      <c r="E79" s="17">
        <f t="shared" si="4"/>
        <v>5</v>
      </c>
    </row>
    <row r="80" spans="1:9" x14ac:dyDescent="0.25">
      <c r="A80" s="12"/>
      <c r="B80" s="12"/>
      <c r="C80" s="12"/>
      <c r="D80" s="12"/>
      <c r="E80" s="17"/>
      <c r="F80" s="2" t="s">
        <v>12</v>
      </c>
    </row>
    <row r="81" spans="1:9" x14ac:dyDescent="0.25">
      <c r="A81" s="19" t="s">
        <v>48</v>
      </c>
      <c r="B81" s="12">
        <f>AVERAGE(B65:B79)</f>
        <v>5</v>
      </c>
      <c r="C81" s="12">
        <f>AVERAGE(C65:C79)</f>
        <v>5</v>
      </c>
      <c r="D81" s="12">
        <f>AVERAGE(D65:D79)</f>
        <v>5</v>
      </c>
      <c r="E81" s="17">
        <f>AVERAGE(E65:E79)</f>
        <v>5</v>
      </c>
      <c r="F81" s="2">
        <f>'Tabelle 1'!F103</f>
        <v>15</v>
      </c>
    </row>
    <row r="82" spans="1:9" x14ac:dyDescent="0.25">
      <c r="A82" s="19" t="s">
        <v>49</v>
      </c>
      <c r="B82" s="12">
        <f>STDEV(B65:B79)</f>
        <v>0</v>
      </c>
      <c r="C82" s="12">
        <f>STDEV(C65:C79)</f>
        <v>0</v>
      </c>
      <c r="D82" s="12">
        <f>STDEV(D65:D79)</f>
        <v>0</v>
      </c>
      <c r="E82" s="17">
        <f>STDEV(E65:E79)</f>
        <v>0</v>
      </c>
    </row>
    <row r="85" spans="1:9" x14ac:dyDescent="0.25">
      <c r="A85" s="9">
        <f>'Tabelle 1'!A106</f>
        <v>5</v>
      </c>
      <c r="B85" s="19" t="s">
        <v>36</v>
      </c>
      <c r="C85" s="19" t="s">
        <v>37</v>
      </c>
      <c r="D85" s="19" t="s">
        <v>38</v>
      </c>
      <c r="E85" s="19" t="s">
        <v>39</v>
      </c>
      <c r="H85" s="33" t="s">
        <v>40</v>
      </c>
    </row>
    <row r="86" spans="1:9" x14ac:dyDescent="0.25">
      <c r="A86" s="12">
        <v>1</v>
      </c>
      <c r="B86" s="12">
        <f>VLOOKUP('Tabelle 1'!B108,'Degree of Symptoms'!$J$9:$K$13,2)</f>
        <v>5</v>
      </c>
      <c r="C86" s="12">
        <f>VLOOKUP('Tabelle 1'!C108,'Degree of Symptoms'!$J$13:$K$22,2)</f>
        <v>5</v>
      </c>
      <c r="D86" s="12">
        <f>VLOOKUP('Tabelle 1'!D108,'Degree of Symptoms'!$J$26:$K$30,2)</f>
        <v>5</v>
      </c>
      <c r="E86" s="17">
        <f t="shared" ref="E86:E100" si="5">AVERAGE(B86:D86)</f>
        <v>5</v>
      </c>
      <c r="G86" s="34" t="s">
        <v>41</v>
      </c>
      <c r="H86" s="1">
        <f>COUNTIFS($E$86:$E$100,"&lt;1,99",$E$86:$E$100,"&gt;=1")</f>
        <v>0</v>
      </c>
    </row>
    <row r="87" spans="1:9" x14ac:dyDescent="0.25">
      <c r="A87" s="12">
        <v>2</v>
      </c>
      <c r="B87" s="12">
        <f>VLOOKUP('Tabelle 1'!B109,'Degree of Symptoms'!$J$9:$K$13,2)</f>
        <v>5</v>
      </c>
      <c r="C87" s="12">
        <f>VLOOKUP('Tabelle 1'!C109,'Degree of Symptoms'!$J$13:$K$22,2)</f>
        <v>5</v>
      </c>
      <c r="D87" s="12">
        <f>VLOOKUP('Tabelle 1'!D109,'Degree of Symptoms'!$J$26:$K$30,2)</f>
        <v>5</v>
      </c>
      <c r="E87" s="17">
        <f t="shared" si="5"/>
        <v>5</v>
      </c>
      <c r="G87" s="34" t="s">
        <v>42</v>
      </c>
      <c r="H87" s="1">
        <f>COUNTIFS($E$86:$E$100,"&lt;2,99",$E$86:$E$100,"&gt;=2")</f>
        <v>0</v>
      </c>
    </row>
    <row r="88" spans="1:9" x14ac:dyDescent="0.25">
      <c r="A88" s="12">
        <v>3</v>
      </c>
      <c r="B88" s="12">
        <f>VLOOKUP('Tabelle 1'!B110,'Degree of Symptoms'!$J$9:$K$13,2)</f>
        <v>5</v>
      </c>
      <c r="C88" s="12">
        <f>VLOOKUP('Tabelle 1'!C110,'Degree of Symptoms'!$J$13:$K$22,2)</f>
        <v>5</v>
      </c>
      <c r="D88" s="12">
        <f>VLOOKUP('Tabelle 1'!D110,'Degree of Symptoms'!$J$26:$K$30,2)</f>
        <v>5</v>
      </c>
      <c r="E88" s="17">
        <f t="shared" si="5"/>
        <v>5</v>
      </c>
      <c r="G88" s="34" t="s">
        <v>44</v>
      </c>
      <c r="H88" s="1">
        <f>COUNTIFS($E$86:$E$100,"&lt;3,99",$E$86:$E$100,"&gt;=3")</f>
        <v>0</v>
      </c>
    </row>
    <row r="89" spans="1:9" x14ac:dyDescent="0.25">
      <c r="A89" s="12">
        <v>4</v>
      </c>
      <c r="B89" s="12">
        <f>VLOOKUP('Tabelle 1'!B111,'Degree of Symptoms'!$J$9:$K$13,2)</f>
        <v>5</v>
      </c>
      <c r="C89" s="12">
        <f>VLOOKUP('Tabelle 1'!C111,'Degree of Symptoms'!$J$13:$K$22,2)</f>
        <v>5</v>
      </c>
      <c r="D89" s="12">
        <f>VLOOKUP('Tabelle 1'!D111,'Degree of Symptoms'!$J$26:$K$30,2)</f>
        <v>5</v>
      </c>
      <c r="E89" s="17">
        <f t="shared" si="5"/>
        <v>5</v>
      </c>
      <c r="G89" s="34" t="s">
        <v>46</v>
      </c>
      <c r="H89" s="1">
        <f>COUNTIFS($E$86:$E$100,"&lt;4,99",$E$86:$E$100,"&gt;=4")</f>
        <v>0</v>
      </c>
    </row>
    <row r="90" spans="1:9" x14ac:dyDescent="0.25">
      <c r="A90" s="12">
        <v>5</v>
      </c>
      <c r="B90" s="12">
        <f>VLOOKUP('Tabelle 1'!B112,'Degree of Symptoms'!$J$9:$K$13,2)</f>
        <v>5</v>
      </c>
      <c r="C90" s="12">
        <f>VLOOKUP('Tabelle 1'!C112,'Degree of Symptoms'!$J$13:$K$22,2)</f>
        <v>5</v>
      </c>
      <c r="D90" s="12">
        <f>VLOOKUP('Tabelle 1'!D112,'Degree of Symptoms'!$J$26:$K$30,2)</f>
        <v>5</v>
      </c>
      <c r="E90" s="17">
        <f t="shared" si="5"/>
        <v>5</v>
      </c>
      <c r="G90" s="34">
        <v>5</v>
      </c>
      <c r="H90" s="1">
        <f>COUNTIF($E$86:$E$100,"&gt;=5")</f>
        <v>15</v>
      </c>
    </row>
    <row r="91" spans="1:9" x14ac:dyDescent="0.25">
      <c r="A91" s="12">
        <v>6</v>
      </c>
      <c r="B91" s="12">
        <f>VLOOKUP('Tabelle 1'!B113,'Degree of Symptoms'!$J$9:$K$13,2)</f>
        <v>5</v>
      </c>
      <c r="C91" s="12">
        <f>VLOOKUP('Tabelle 1'!C113,'Degree of Symptoms'!$J$13:$K$22,2)</f>
        <v>5</v>
      </c>
      <c r="D91" s="12">
        <f>VLOOKUP('Tabelle 1'!D113,'Degree of Symptoms'!$J$26:$K$30,2)</f>
        <v>5</v>
      </c>
      <c r="E91" s="17">
        <f t="shared" si="5"/>
        <v>5</v>
      </c>
      <c r="H91" s="1">
        <f>SUM(H86:H90)</f>
        <v>15</v>
      </c>
    </row>
    <row r="92" spans="1:9" x14ac:dyDescent="0.25">
      <c r="A92" s="12">
        <v>7</v>
      </c>
      <c r="B92" s="12">
        <f>VLOOKUP('Tabelle 1'!B114,'Degree of Symptoms'!$J$9:$K$13,2)</f>
        <v>5</v>
      </c>
      <c r="C92" s="12">
        <f>VLOOKUP('Tabelle 1'!C114,'Degree of Symptoms'!$J$13:$K$22,2)</f>
        <v>5</v>
      </c>
      <c r="D92" s="12">
        <f>VLOOKUP('Tabelle 1'!D114,'Degree of Symptoms'!$J$26:$K$30,2)</f>
        <v>5</v>
      </c>
      <c r="E92" s="17">
        <f t="shared" si="5"/>
        <v>5</v>
      </c>
    </row>
    <row r="93" spans="1:9" x14ac:dyDescent="0.25">
      <c r="A93" s="12">
        <v>8</v>
      </c>
      <c r="B93" s="12">
        <f>VLOOKUP('Tabelle 1'!B115,'Degree of Symptoms'!$J$9:$K$13,2)</f>
        <v>5</v>
      </c>
      <c r="C93" s="12">
        <f>VLOOKUP('Tabelle 1'!C115,'Degree of Symptoms'!$J$13:$K$22,2)</f>
        <v>5</v>
      </c>
      <c r="D93" s="12">
        <f>VLOOKUP('Tabelle 1'!D115,'Degree of Symptoms'!$J$26:$K$30,2)</f>
        <v>5</v>
      </c>
      <c r="E93" s="17">
        <f t="shared" si="5"/>
        <v>5</v>
      </c>
    </row>
    <row r="94" spans="1:9" x14ac:dyDescent="0.25">
      <c r="A94" s="12">
        <v>9</v>
      </c>
      <c r="B94" s="12">
        <f>VLOOKUP('Tabelle 1'!B116,'Degree of Symptoms'!$J$9:$K$13,2)</f>
        <v>5</v>
      </c>
      <c r="C94" s="12">
        <f>VLOOKUP('Tabelle 1'!C116,'Degree of Symptoms'!$J$13:$K$22,2)</f>
        <v>5</v>
      </c>
      <c r="D94" s="12">
        <f>VLOOKUP('Tabelle 1'!D116,'Degree of Symptoms'!$J$26:$K$30,2)</f>
        <v>5</v>
      </c>
      <c r="E94" s="17">
        <f t="shared" si="5"/>
        <v>5</v>
      </c>
      <c r="G94" s="33"/>
      <c r="H94" s="33"/>
      <c r="I94" s="33"/>
    </row>
    <row r="95" spans="1:9" x14ac:dyDescent="0.25">
      <c r="A95" s="12">
        <v>10</v>
      </c>
      <c r="B95" s="12">
        <f>VLOOKUP('Tabelle 1'!B117,'Degree of Symptoms'!$J$9:$K$13,2)</f>
        <v>5</v>
      </c>
      <c r="C95" s="12">
        <f>VLOOKUP('Tabelle 1'!C117,'Degree of Symptoms'!$J$13:$K$22,2)</f>
        <v>5</v>
      </c>
      <c r="D95" s="12">
        <f>VLOOKUP('Tabelle 1'!D117,'Degree of Symptoms'!$J$26:$K$30,2)</f>
        <v>5</v>
      </c>
      <c r="E95" s="17">
        <f t="shared" si="5"/>
        <v>5</v>
      </c>
      <c r="G95" s="33"/>
      <c r="H95" s="2"/>
      <c r="I95" s="2"/>
    </row>
    <row r="96" spans="1:9" x14ac:dyDescent="0.25">
      <c r="A96" s="12">
        <v>11</v>
      </c>
      <c r="B96" s="12">
        <f>VLOOKUP('Tabelle 1'!B118,'Degree of Symptoms'!$J$9:$K$13,2)</f>
        <v>5</v>
      </c>
      <c r="C96" s="12">
        <f>VLOOKUP('Tabelle 1'!C118,'Degree of Symptoms'!$J$13:$K$22,2)</f>
        <v>5</v>
      </c>
      <c r="D96" s="12">
        <f>VLOOKUP('Tabelle 1'!D118,'Degree of Symptoms'!$J$26:$K$30,2)</f>
        <v>5</v>
      </c>
      <c r="E96" s="17">
        <f t="shared" si="5"/>
        <v>5</v>
      </c>
      <c r="G96" s="33"/>
      <c r="H96" s="2"/>
      <c r="I96" s="2"/>
    </row>
    <row r="97" spans="1:9" x14ac:dyDescent="0.25">
      <c r="A97" s="12">
        <v>12</v>
      </c>
      <c r="B97" s="12">
        <f>VLOOKUP('Tabelle 1'!B119,'Degree of Symptoms'!$J$9:$K$13,2)</f>
        <v>5</v>
      </c>
      <c r="C97" s="12">
        <f>VLOOKUP('Tabelle 1'!C119,'Degree of Symptoms'!$J$13:$K$22,2)</f>
        <v>5</v>
      </c>
      <c r="D97" s="12">
        <f>VLOOKUP('Tabelle 1'!D119,'Degree of Symptoms'!$J$26:$K$30,2)</f>
        <v>5</v>
      </c>
      <c r="E97" s="17">
        <f t="shared" si="5"/>
        <v>5</v>
      </c>
      <c r="G97" s="33"/>
      <c r="H97" s="2"/>
      <c r="I97" s="2"/>
    </row>
    <row r="98" spans="1:9" x14ac:dyDescent="0.25">
      <c r="A98" s="12">
        <v>13</v>
      </c>
      <c r="B98" s="12">
        <f>VLOOKUP('Tabelle 1'!B120,'Degree of Symptoms'!$J$9:$K$13,2)</f>
        <v>5</v>
      </c>
      <c r="C98" s="12">
        <f>VLOOKUP('Tabelle 1'!C120,'Degree of Symptoms'!$J$13:$K$22,2)</f>
        <v>5</v>
      </c>
      <c r="D98" s="12">
        <f>VLOOKUP('Tabelle 1'!D120,'Degree of Symptoms'!$J$26:$K$30,2)</f>
        <v>5</v>
      </c>
      <c r="E98" s="17">
        <f t="shared" si="5"/>
        <v>5</v>
      </c>
      <c r="G98" s="33"/>
      <c r="H98" s="2"/>
      <c r="I98" s="2"/>
    </row>
    <row r="99" spans="1:9" x14ac:dyDescent="0.25">
      <c r="A99" s="12">
        <v>14</v>
      </c>
      <c r="B99" s="12">
        <f>VLOOKUP('Tabelle 1'!B121,'Degree of Symptoms'!$J$9:$K$13,2)</f>
        <v>5</v>
      </c>
      <c r="C99" s="12">
        <f>VLOOKUP('Tabelle 1'!C121,'Degree of Symptoms'!$J$13:$K$22,2)</f>
        <v>5</v>
      </c>
      <c r="D99" s="12">
        <f>VLOOKUP('Tabelle 1'!D121,'Degree of Symptoms'!$J$26:$K$30,2)</f>
        <v>5</v>
      </c>
      <c r="E99" s="17">
        <f t="shared" si="5"/>
        <v>5</v>
      </c>
      <c r="G99" s="33"/>
      <c r="H99" s="2"/>
      <c r="I99" s="2"/>
    </row>
    <row r="100" spans="1:9" x14ac:dyDescent="0.25">
      <c r="A100" s="12">
        <v>15</v>
      </c>
      <c r="B100" s="12">
        <f>VLOOKUP('Tabelle 1'!B122,'Degree of Symptoms'!$J$9:$K$13,2)</f>
        <v>5</v>
      </c>
      <c r="C100" s="12">
        <f>VLOOKUP('Tabelle 1'!C122,'Degree of Symptoms'!$J$13:$K$22,2)</f>
        <v>5</v>
      </c>
      <c r="D100" s="12">
        <f>VLOOKUP('Tabelle 1'!D122,'Degree of Symptoms'!$J$26:$K$30,2)</f>
        <v>5</v>
      </c>
      <c r="E100" s="17">
        <f t="shared" si="5"/>
        <v>5</v>
      </c>
    </row>
    <row r="101" spans="1:9" x14ac:dyDescent="0.25">
      <c r="A101" s="12"/>
      <c r="B101" s="12"/>
      <c r="C101" s="12"/>
      <c r="D101" s="12"/>
      <c r="E101" s="17"/>
      <c r="F101" s="2" t="s">
        <v>12</v>
      </c>
    </row>
    <row r="102" spans="1:9" x14ac:dyDescent="0.25">
      <c r="A102" s="19" t="s">
        <v>48</v>
      </c>
      <c r="B102" s="12">
        <f>AVERAGE(B86:B100)</f>
        <v>5</v>
      </c>
      <c r="C102" s="12">
        <f>AVERAGE(C86:C100)</f>
        <v>5</v>
      </c>
      <c r="D102" s="12">
        <f>AVERAGE(D86:D100)</f>
        <v>5</v>
      </c>
      <c r="E102" s="17">
        <f>AVERAGE(E86:E100)</f>
        <v>5</v>
      </c>
      <c r="F102" s="2">
        <f>'Tabelle 1'!F124</f>
        <v>15</v>
      </c>
    </row>
    <row r="103" spans="1:9" x14ac:dyDescent="0.25">
      <c r="A103" s="19" t="s">
        <v>49</v>
      </c>
      <c r="B103" s="12">
        <f>STDEV(B86:B100)</f>
        <v>0</v>
      </c>
      <c r="C103" s="12">
        <f>STDEV(C86:C100)</f>
        <v>0</v>
      </c>
      <c r="D103" s="12">
        <f>STDEV(D86:D100)</f>
        <v>0</v>
      </c>
      <c r="E103" s="17">
        <f>STDEV(E86:E100)</f>
        <v>0</v>
      </c>
    </row>
    <row r="106" spans="1:9" x14ac:dyDescent="0.25">
      <c r="A106" s="9">
        <f>'Tabelle 1'!A127</f>
        <v>6</v>
      </c>
      <c r="B106" s="19" t="s">
        <v>36</v>
      </c>
      <c r="C106" s="19" t="s">
        <v>37</v>
      </c>
      <c r="D106" s="19" t="s">
        <v>38</v>
      </c>
      <c r="E106" s="19" t="s">
        <v>39</v>
      </c>
      <c r="H106" s="33" t="s">
        <v>40</v>
      </c>
    </row>
    <row r="107" spans="1:9" x14ac:dyDescent="0.25">
      <c r="A107" s="12">
        <v>1</v>
      </c>
      <c r="B107" s="12">
        <f>VLOOKUP('Tabelle 1'!B129,'Degree of Symptoms'!$J$9:$K$13,2)</f>
        <v>5</v>
      </c>
      <c r="C107" s="12">
        <f>VLOOKUP('Tabelle 1'!C129,'Degree of Symptoms'!$J$13:$K$22,2)</f>
        <v>5</v>
      </c>
      <c r="D107" s="12">
        <f>VLOOKUP('Tabelle 1'!D129,'Degree of Symptoms'!$J$26:$K$30,2)</f>
        <v>5</v>
      </c>
      <c r="E107" s="17">
        <f t="shared" ref="E107:E121" si="6">AVERAGE(B107:D107)</f>
        <v>5</v>
      </c>
      <c r="G107" s="34" t="s">
        <v>41</v>
      </c>
      <c r="H107" s="1">
        <f>COUNTIFS($E$107:$E$121,"&lt;1,99",$E$107:$E$121,"&gt;=1")</f>
        <v>0</v>
      </c>
    </row>
    <row r="108" spans="1:9" x14ac:dyDescent="0.25">
      <c r="A108" s="12">
        <v>2</v>
      </c>
      <c r="B108" s="12">
        <f>VLOOKUP('Tabelle 1'!B130,'Degree of Symptoms'!$J$9:$K$13,2)</f>
        <v>5</v>
      </c>
      <c r="C108" s="12">
        <f>VLOOKUP('Tabelle 1'!C130,'Degree of Symptoms'!$J$13:$K$22,2)</f>
        <v>5</v>
      </c>
      <c r="D108" s="12">
        <f>VLOOKUP('Tabelle 1'!D130,'Degree of Symptoms'!$J$26:$K$30,2)</f>
        <v>5</v>
      </c>
      <c r="E108" s="17">
        <f t="shared" si="6"/>
        <v>5</v>
      </c>
      <c r="G108" s="34" t="s">
        <v>42</v>
      </c>
      <c r="H108" s="1">
        <f>COUNTIFS($E$107:$E$121,"&lt;2,99",$E$107:$E$121,"&gt;=2")</f>
        <v>0</v>
      </c>
    </row>
    <row r="109" spans="1:9" x14ac:dyDescent="0.25">
      <c r="A109" s="12">
        <v>3</v>
      </c>
      <c r="B109" s="12">
        <f>VLOOKUP('Tabelle 1'!B131,'Degree of Symptoms'!$J$9:$K$13,2)</f>
        <v>5</v>
      </c>
      <c r="C109" s="12">
        <f>VLOOKUP('Tabelle 1'!C131,'Degree of Symptoms'!$J$13:$K$22,2)</f>
        <v>5</v>
      </c>
      <c r="D109" s="12">
        <f>VLOOKUP('Tabelle 1'!D131,'Degree of Symptoms'!$J$26:$K$30,2)</f>
        <v>5</v>
      </c>
      <c r="E109" s="17">
        <f t="shared" si="6"/>
        <v>5</v>
      </c>
      <c r="G109" s="34" t="s">
        <v>44</v>
      </c>
      <c r="H109" s="1">
        <f>COUNTIFS($E$107:$E$121,"&lt;3,99",$E$107:$E$121,"&gt;=3")</f>
        <v>0</v>
      </c>
    </row>
    <row r="110" spans="1:9" x14ac:dyDescent="0.25">
      <c r="A110" s="12">
        <v>4</v>
      </c>
      <c r="B110" s="12">
        <f>VLOOKUP('Tabelle 1'!B132,'Degree of Symptoms'!$J$9:$K$13,2)</f>
        <v>5</v>
      </c>
      <c r="C110" s="12">
        <f>VLOOKUP('Tabelle 1'!C132,'Degree of Symptoms'!$J$13:$K$22,2)</f>
        <v>5</v>
      </c>
      <c r="D110" s="12">
        <f>VLOOKUP('Tabelle 1'!D132,'Degree of Symptoms'!$J$26:$K$30,2)</f>
        <v>5</v>
      </c>
      <c r="E110" s="17">
        <f t="shared" si="6"/>
        <v>5</v>
      </c>
      <c r="G110" s="34" t="s">
        <v>46</v>
      </c>
      <c r="H110" s="1">
        <f>COUNTIFS($E$107:$E$121,"&lt;4,99",$E$107:$E$121,"&gt;=4")</f>
        <v>0</v>
      </c>
    </row>
    <row r="111" spans="1:9" x14ac:dyDescent="0.25">
      <c r="A111" s="12">
        <v>5</v>
      </c>
      <c r="B111" s="12">
        <f>VLOOKUP('Tabelle 1'!B133,'Degree of Symptoms'!$J$9:$K$13,2)</f>
        <v>5</v>
      </c>
      <c r="C111" s="12">
        <f>VLOOKUP('Tabelle 1'!C133,'Degree of Symptoms'!$J$13:$K$22,2)</f>
        <v>5</v>
      </c>
      <c r="D111" s="12">
        <f>VLOOKUP('Tabelle 1'!D133,'Degree of Symptoms'!$J$26:$K$30,2)</f>
        <v>5</v>
      </c>
      <c r="E111" s="17">
        <f t="shared" si="6"/>
        <v>5</v>
      </c>
      <c r="G111" s="34">
        <v>5</v>
      </c>
      <c r="H111" s="1">
        <f>COUNTIF($E$107:$E$121,"&gt;=5")</f>
        <v>15</v>
      </c>
    </row>
    <row r="112" spans="1:9" x14ac:dyDescent="0.25">
      <c r="A112" s="12">
        <v>6</v>
      </c>
      <c r="B112" s="12">
        <f>VLOOKUP('Tabelle 1'!B134,'Degree of Symptoms'!$J$9:$K$13,2)</f>
        <v>5</v>
      </c>
      <c r="C112" s="12">
        <f>VLOOKUP('Tabelle 1'!C134,'Degree of Symptoms'!$J$13:$K$22,2)</f>
        <v>5</v>
      </c>
      <c r="D112" s="12">
        <f>VLOOKUP('Tabelle 1'!D134,'Degree of Symptoms'!$J$26:$K$30,2)</f>
        <v>5</v>
      </c>
      <c r="E112" s="17">
        <f t="shared" si="6"/>
        <v>5</v>
      </c>
      <c r="H112" s="1">
        <f>SUM(H107:H111)</f>
        <v>15</v>
      </c>
    </row>
    <row r="113" spans="1:9" x14ac:dyDescent="0.25">
      <c r="A113" s="12">
        <v>7</v>
      </c>
      <c r="B113" s="12">
        <f>VLOOKUP('Tabelle 1'!B135,'Degree of Symptoms'!$J$9:$K$13,2)</f>
        <v>5</v>
      </c>
      <c r="C113" s="12">
        <f>VLOOKUP('Tabelle 1'!C135,'Degree of Symptoms'!$J$13:$K$22,2)</f>
        <v>5</v>
      </c>
      <c r="D113" s="12">
        <f>VLOOKUP('Tabelle 1'!D135,'Degree of Symptoms'!$J$26:$K$30,2)</f>
        <v>5</v>
      </c>
      <c r="E113" s="17">
        <f t="shared" si="6"/>
        <v>5</v>
      </c>
    </row>
    <row r="114" spans="1:9" x14ac:dyDescent="0.25">
      <c r="A114" s="12">
        <v>8</v>
      </c>
      <c r="B114" s="12">
        <f>VLOOKUP('Tabelle 1'!B136,'Degree of Symptoms'!$J$9:$K$13,2)</f>
        <v>5</v>
      </c>
      <c r="C114" s="12">
        <f>VLOOKUP('Tabelle 1'!C136,'Degree of Symptoms'!$J$13:$K$22,2)</f>
        <v>5</v>
      </c>
      <c r="D114" s="12">
        <f>VLOOKUP('Tabelle 1'!D136,'Degree of Symptoms'!$J$26:$K$30,2)</f>
        <v>5</v>
      </c>
      <c r="E114" s="17">
        <f t="shared" si="6"/>
        <v>5</v>
      </c>
    </row>
    <row r="115" spans="1:9" x14ac:dyDescent="0.25">
      <c r="A115" s="12">
        <v>9</v>
      </c>
      <c r="B115" s="12">
        <f>VLOOKUP('Tabelle 1'!B137,'Degree of Symptoms'!$J$9:$K$13,2)</f>
        <v>5</v>
      </c>
      <c r="C115" s="12">
        <f>VLOOKUP('Tabelle 1'!C137,'Degree of Symptoms'!$J$13:$K$22,2)</f>
        <v>5</v>
      </c>
      <c r="D115" s="12">
        <f>VLOOKUP('Tabelle 1'!D137,'Degree of Symptoms'!$J$26:$K$30,2)</f>
        <v>5</v>
      </c>
      <c r="E115" s="17">
        <f t="shared" si="6"/>
        <v>5</v>
      </c>
      <c r="G115" s="33"/>
      <c r="H115" s="33"/>
      <c r="I115" s="33"/>
    </row>
    <row r="116" spans="1:9" x14ac:dyDescent="0.25">
      <c r="A116" s="12">
        <v>10</v>
      </c>
      <c r="B116" s="12">
        <f>VLOOKUP('Tabelle 1'!B138,'Degree of Symptoms'!$J$9:$K$13,2)</f>
        <v>5</v>
      </c>
      <c r="C116" s="12">
        <f>VLOOKUP('Tabelle 1'!C138,'Degree of Symptoms'!$J$13:$K$22,2)</f>
        <v>5</v>
      </c>
      <c r="D116" s="12">
        <f>VLOOKUP('Tabelle 1'!D138,'Degree of Symptoms'!$J$26:$K$30,2)</f>
        <v>5</v>
      </c>
      <c r="E116" s="17">
        <f t="shared" si="6"/>
        <v>5</v>
      </c>
      <c r="G116" s="33"/>
      <c r="H116" s="2"/>
      <c r="I116" s="2"/>
    </row>
    <row r="117" spans="1:9" x14ac:dyDescent="0.25">
      <c r="A117" s="12">
        <v>11</v>
      </c>
      <c r="B117" s="12">
        <f>VLOOKUP('Tabelle 1'!B139,'Degree of Symptoms'!$J$9:$K$13,2)</f>
        <v>5</v>
      </c>
      <c r="C117" s="12">
        <f>VLOOKUP('Tabelle 1'!C139,'Degree of Symptoms'!$J$13:$K$22,2)</f>
        <v>5</v>
      </c>
      <c r="D117" s="12">
        <f>VLOOKUP('Tabelle 1'!D139,'Degree of Symptoms'!$J$26:$K$30,2)</f>
        <v>5</v>
      </c>
      <c r="E117" s="17">
        <f t="shared" si="6"/>
        <v>5</v>
      </c>
      <c r="G117" s="33"/>
      <c r="H117" s="2"/>
      <c r="I117" s="2"/>
    </row>
    <row r="118" spans="1:9" x14ac:dyDescent="0.25">
      <c r="A118" s="12">
        <v>12</v>
      </c>
      <c r="B118" s="12">
        <f>VLOOKUP('Tabelle 1'!B140,'Degree of Symptoms'!$J$9:$K$13,2)</f>
        <v>5</v>
      </c>
      <c r="C118" s="12">
        <f>VLOOKUP('Tabelle 1'!C140,'Degree of Symptoms'!$J$13:$K$22,2)</f>
        <v>5</v>
      </c>
      <c r="D118" s="12">
        <f>VLOOKUP('Tabelle 1'!D140,'Degree of Symptoms'!$J$26:$K$30,2)</f>
        <v>5</v>
      </c>
      <c r="E118" s="17">
        <f t="shared" si="6"/>
        <v>5</v>
      </c>
      <c r="G118" s="33"/>
      <c r="H118" s="2"/>
      <c r="I118" s="2"/>
    </row>
    <row r="119" spans="1:9" x14ac:dyDescent="0.25">
      <c r="A119" s="12">
        <v>13</v>
      </c>
      <c r="B119" s="12">
        <f>VLOOKUP('Tabelle 1'!B141,'Degree of Symptoms'!$J$9:$K$13,2)</f>
        <v>5</v>
      </c>
      <c r="C119" s="12">
        <f>VLOOKUP('Tabelle 1'!C141,'Degree of Symptoms'!$J$13:$K$22,2)</f>
        <v>5</v>
      </c>
      <c r="D119" s="12">
        <f>VLOOKUP('Tabelle 1'!D141,'Degree of Symptoms'!$J$26:$K$30,2)</f>
        <v>5</v>
      </c>
      <c r="E119" s="17">
        <f t="shared" si="6"/>
        <v>5</v>
      </c>
      <c r="G119" s="33"/>
      <c r="H119" s="2"/>
      <c r="I119" s="2"/>
    </row>
    <row r="120" spans="1:9" x14ac:dyDescent="0.25">
      <c r="A120" s="12">
        <v>14</v>
      </c>
      <c r="B120" s="12">
        <f>VLOOKUP('Tabelle 1'!B142,'Degree of Symptoms'!$J$9:$K$13,2)</f>
        <v>5</v>
      </c>
      <c r="C120" s="12">
        <f>VLOOKUP('Tabelle 1'!C142,'Degree of Symptoms'!$J$13:$K$22,2)</f>
        <v>5</v>
      </c>
      <c r="D120" s="12">
        <f>VLOOKUP('Tabelle 1'!D142,'Degree of Symptoms'!$J$26:$K$30,2)</f>
        <v>5</v>
      </c>
      <c r="E120" s="17">
        <f t="shared" si="6"/>
        <v>5</v>
      </c>
      <c r="G120" s="33"/>
      <c r="H120" s="2"/>
      <c r="I120" s="2"/>
    </row>
    <row r="121" spans="1:9" x14ac:dyDescent="0.25">
      <c r="A121" s="12">
        <v>15</v>
      </c>
      <c r="B121" s="12">
        <f>VLOOKUP('Tabelle 1'!B143,'Degree of Symptoms'!$J$9:$K$13,2)</f>
        <v>5</v>
      </c>
      <c r="C121" s="12">
        <f>VLOOKUP('Tabelle 1'!C143,'Degree of Symptoms'!$J$13:$K$22,2)</f>
        <v>5</v>
      </c>
      <c r="D121" s="12">
        <f>VLOOKUP('Tabelle 1'!D143,'Degree of Symptoms'!$J$26:$K$30,2)</f>
        <v>5</v>
      </c>
      <c r="E121" s="17">
        <f t="shared" si="6"/>
        <v>5</v>
      </c>
    </row>
    <row r="122" spans="1:9" x14ac:dyDescent="0.25">
      <c r="A122" s="12"/>
      <c r="B122" s="12"/>
      <c r="C122" s="12"/>
      <c r="D122" s="12"/>
      <c r="E122" s="17"/>
      <c r="F122" s="2" t="s">
        <v>12</v>
      </c>
    </row>
    <row r="123" spans="1:9" x14ac:dyDescent="0.25">
      <c r="A123" s="19" t="s">
        <v>48</v>
      </c>
      <c r="B123" s="12">
        <f>AVERAGE(B107:B121)</f>
        <v>5</v>
      </c>
      <c r="C123" s="12">
        <f>AVERAGE(C107:C121)</f>
        <v>5</v>
      </c>
      <c r="D123" s="12">
        <f>AVERAGE(D107:D121)</f>
        <v>5</v>
      </c>
      <c r="E123" s="17">
        <f>AVERAGE(E107:E121)</f>
        <v>5</v>
      </c>
      <c r="F123" s="2">
        <f>'Tabelle 1'!F145</f>
        <v>15</v>
      </c>
    </row>
    <row r="124" spans="1:9" x14ac:dyDescent="0.25">
      <c r="A124" s="19" t="s">
        <v>49</v>
      </c>
      <c r="B124" s="12">
        <f>STDEV(B107:B121)</f>
        <v>0</v>
      </c>
      <c r="C124" s="12">
        <f>STDEV(C107:C121)</f>
        <v>0</v>
      </c>
      <c r="D124" s="12">
        <f>STDEV(D107:D121)</f>
        <v>0</v>
      </c>
      <c r="E124" s="17">
        <f>STDEV(E107:E121)</f>
        <v>0</v>
      </c>
    </row>
    <row r="127" spans="1:9" x14ac:dyDescent="0.25">
      <c r="A127" s="9">
        <f>'Tabelle 1'!A148</f>
        <v>7</v>
      </c>
      <c r="B127" s="19" t="s">
        <v>36</v>
      </c>
      <c r="C127" s="19" t="s">
        <v>37</v>
      </c>
      <c r="D127" s="19" t="s">
        <v>38</v>
      </c>
      <c r="E127" s="19" t="s">
        <v>39</v>
      </c>
      <c r="H127" s="33" t="s">
        <v>40</v>
      </c>
    </row>
    <row r="128" spans="1:9" x14ac:dyDescent="0.25">
      <c r="A128" s="12">
        <v>1</v>
      </c>
      <c r="B128" s="12">
        <f>VLOOKUP('Tabelle 1'!B150,'Degree of Symptoms'!$J$9:$K$13,2)</f>
        <v>5</v>
      </c>
      <c r="C128" s="12">
        <f>VLOOKUP('Tabelle 1'!C150,'Degree of Symptoms'!$J$13:$K$22,2)</f>
        <v>5</v>
      </c>
      <c r="D128" s="12">
        <f>VLOOKUP('Tabelle 1'!D150,'Degree of Symptoms'!$J$26:$K$30,2)</f>
        <v>5</v>
      </c>
      <c r="E128" s="17">
        <f t="shared" ref="E128:E142" si="7">AVERAGE(B128:D128)</f>
        <v>5</v>
      </c>
      <c r="G128" s="34" t="s">
        <v>41</v>
      </c>
      <c r="H128" s="1">
        <f>COUNTIFS($E$128:$E$142,"&lt;1,99",$E$128:$E$142,"&gt;=1")</f>
        <v>0</v>
      </c>
    </row>
    <row r="129" spans="1:8" x14ac:dyDescent="0.25">
      <c r="A129" s="12">
        <v>2</v>
      </c>
      <c r="B129" s="12">
        <f>VLOOKUP('Tabelle 1'!B151,'Degree of Symptoms'!$J$9:$K$13,2)</f>
        <v>5</v>
      </c>
      <c r="C129" s="12">
        <f>VLOOKUP('Tabelle 1'!C151,'Degree of Symptoms'!$J$13:$K$22,2)</f>
        <v>5</v>
      </c>
      <c r="D129" s="12">
        <f>VLOOKUP('Tabelle 1'!D151,'Degree of Symptoms'!$J$26:$K$30,2)</f>
        <v>5</v>
      </c>
      <c r="E129" s="17">
        <f t="shared" si="7"/>
        <v>5</v>
      </c>
      <c r="G129" s="34" t="s">
        <v>42</v>
      </c>
      <c r="H129" s="1">
        <f>COUNTIFS($E$128:$E$142,"&lt;2,99",$E$128:$E$142,"&gt;=2")</f>
        <v>0</v>
      </c>
    </row>
    <row r="130" spans="1:8" x14ac:dyDescent="0.25">
      <c r="A130" s="12">
        <v>3</v>
      </c>
      <c r="B130" s="12">
        <f>VLOOKUP('Tabelle 1'!B152,'Degree of Symptoms'!$J$9:$K$13,2)</f>
        <v>5</v>
      </c>
      <c r="C130" s="12">
        <f>VLOOKUP('Tabelle 1'!C152,'Degree of Symptoms'!$J$13:$K$22,2)</f>
        <v>5</v>
      </c>
      <c r="D130" s="12">
        <f>VLOOKUP('Tabelle 1'!D152,'Degree of Symptoms'!$J$26:$K$30,2)</f>
        <v>5</v>
      </c>
      <c r="E130" s="17">
        <f t="shared" si="7"/>
        <v>5</v>
      </c>
      <c r="G130" s="34" t="s">
        <v>44</v>
      </c>
      <c r="H130" s="1">
        <f>COUNTIFS($E$128:$E$142,"&lt;3,99",$E$128:$E$142,"&gt;=3")</f>
        <v>0</v>
      </c>
    </row>
    <row r="131" spans="1:8" x14ac:dyDescent="0.25">
      <c r="A131" s="12">
        <v>4</v>
      </c>
      <c r="B131" s="12">
        <f>VLOOKUP('Tabelle 1'!B153,'Degree of Symptoms'!$J$9:$K$13,2)</f>
        <v>5</v>
      </c>
      <c r="C131" s="12">
        <f>VLOOKUP('Tabelle 1'!C153,'Degree of Symptoms'!$J$13:$K$22,2)</f>
        <v>5</v>
      </c>
      <c r="D131" s="12">
        <f>VLOOKUP('Tabelle 1'!D153,'Degree of Symptoms'!$J$26:$K$30,2)</f>
        <v>5</v>
      </c>
      <c r="E131" s="17">
        <f t="shared" si="7"/>
        <v>5</v>
      </c>
      <c r="G131" s="34" t="s">
        <v>46</v>
      </c>
      <c r="H131" s="1">
        <f>COUNTIFS($E$128:$E$142,"&lt;4,99",$E$128:$E$142,"&gt;=4")</f>
        <v>0</v>
      </c>
    </row>
    <row r="132" spans="1:8" x14ac:dyDescent="0.25">
      <c r="A132" s="12">
        <v>5</v>
      </c>
      <c r="B132" s="12">
        <f>VLOOKUP('Tabelle 1'!B154,'Degree of Symptoms'!$J$9:$K$13,2)</f>
        <v>5</v>
      </c>
      <c r="C132" s="12">
        <f>VLOOKUP('Tabelle 1'!C154,'Degree of Symptoms'!$J$13:$K$22,2)</f>
        <v>5</v>
      </c>
      <c r="D132" s="12">
        <f>VLOOKUP('Tabelle 1'!D154,'Degree of Symptoms'!$J$26:$K$30,2)</f>
        <v>5</v>
      </c>
      <c r="E132" s="17">
        <f t="shared" si="7"/>
        <v>5</v>
      </c>
      <c r="G132" s="34">
        <v>5</v>
      </c>
      <c r="H132" s="1">
        <f>COUNTIF($E$128:$E$142,"&gt;=5")</f>
        <v>15</v>
      </c>
    </row>
    <row r="133" spans="1:8" x14ac:dyDescent="0.25">
      <c r="A133" s="12">
        <v>6</v>
      </c>
      <c r="B133" s="12">
        <f>VLOOKUP('Tabelle 1'!B155,'Degree of Symptoms'!$J$9:$K$13,2)</f>
        <v>5</v>
      </c>
      <c r="C133" s="12">
        <f>VLOOKUP('Tabelle 1'!C155,'Degree of Symptoms'!$J$13:$K$22,2)</f>
        <v>5</v>
      </c>
      <c r="D133" s="12">
        <f>VLOOKUP('Tabelle 1'!D155,'Degree of Symptoms'!$J$26:$K$30,2)</f>
        <v>5</v>
      </c>
      <c r="E133" s="17">
        <f t="shared" si="7"/>
        <v>5</v>
      </c>
      <c r="H133" s="1">
        <f>SUM(H128:H132)</f>
        <v>15</v>
      </c>
    </row>
    <row r="134" spans="1:8" x14ac:dyDescent="0.25">
      <c r="A134" s="12">
        <v>7</v>
      </c>
      <c r="B134" s="12">
        <f>VLOOKUP('Tabelle 1'!B156,'Degree of Symptoms'!$J$9:$K$13,2)</f>
        <v>5</v>
      </c>
      <c r="C134" s="12">
        <f>VLOOKUP('Tabelle 1'!C156,'Degree of Symptoms'!$J$13:$K$22,2)</f>
        <v>5</v>
      </c>
      <c r="D134" s="12">
        <f>VLOOKUP('Tabelle 1'!D156,'Degree of Symptoms'!$J$26:$K$30,2)</f>
        <v>5</v>
      </c>
      <c r="E134" s="17">
        <f t="shared" si="7"/>
        <v>5</v>
      </c>
    </row>
    <row r="135" spans="1:8" x14ac:dyDescent="0.25">
      <c r="A135" s="12">
        <v>8</v>
      </c>
      <c r="B135" s="12">
        <f>VLOOKUP('Tabelle 1'!B157,'Degree of Symptoms'!$J$9:$K$13,2)</f>
        <v>5</v>
      </c>
      <c r="C135" s="12">
        <f>VLOOKUP('Tabelle 1'!C157,'Degree of Symptoms'!$J$13:$K$22,2)</f>
        <v>5</v>
      </c>
      <c r="D135" s="12">
        <f>VLOOKUP('Tabelle 1'!D157,'Degree of Symptoms'!$J$26:$K$30,2)</f>
        <v>5</v>
      </c>
      <c r="E135" s="17">
        <f t="shared" si="7"/>
        <v>5</v>
      </c>
    </row>
    <row r="136" spans="1:8" x14ac:dyDescent="0.25">
      <c r="A136" s="12">
        <v>9</v>
      </c>
      <c r="B136" s="12">
        <f>VLOOKUP('Tabelle 1'!B158,'Degree of Symptoms'!$J$9:$K$13,2)</f>
        <v>5</v>
      </c>
      <c r="C136" s="12">
        <f>VLOOKUP('Tabelle 1'!C158,'Degree of Symptoms'!$J$13:$K$22,2)</f>
        <v>5</v>
      </c>
      <c r="D136" s="12">
        <f>VLOOKUP('Tabelle 1'!D158,'Degree of Symptoms'!$J$26:$K$30,2)</f>
        <v>5</v>
      </c>
      <c r="E136" s="17">
        <f t="shared" si="7"/>
        <v>5</v>
      </c>
      <c r="G136" s="33"/>
      <c r="H136" s="33"/>
    </row>
    <row r="137" spans="1:8" x14ac:dyDescent="0.25">
      <c r="A137" s="12">
        <v>10</v>
      </c>
      <c r="B137" s="12">
        <f>VLOOKUP('Tabelle 1'!B159,'Degree of Symptoms'!$J$9:$K$13,2)</f>
        <v>5</v>
      </c>
      <c r="C137" s="12">
        <f>VLOOKUP('Tabelle 1'!C159,'Degree of Symptoms'!$J$13:$K$22,2)</f>
        <v>5</v>
      </c>
      <c r="D137" s="12">
        <f>VLOOKUP('Tabelle 1'!D159,'Degree of Symptoms'!$J$26:$K$30,2)</f>
        <v>5</v>
      </c>
      <c r="E137" s="17">
        <f t="shared" si="7"/>
        <v>5</v>
      </c>
      <c r="G137" s="33"/>
      <c r="H137" s="2"/>
    </row>
    <row r="138" spans="1:8" x14ac:dyDescent="0.25">
      <c r="A138" s="12">
        <v>11</v>
      </c>
      <c r="B138" s="12">
        <f>VLOOKUP('Tabelle 1'!B160,'Degree of Symptoms'!$J$9:$K$13,2)</f>
        <v>5</v>
      </c>
      <c r="C138" s="12">
        <f>VLOOKUP('Tabelle 1'!C160,'Degree of Symptoms'!$J$13:$K$22,2)</f>
        <v>5</v>
      </c>
      <c r="D138" s="12">
        <f>VLOOKUP('Tabelle 1'!D160,'Degree of Symptoms'!$J$26:$K$30,2)</f>
        <v>5</v>
      </c>
      <c r="E138" s="17">
        <f t="shared" si="7"/>
        <v>5</v>
      </c>
      <c r="G138" s="33"/>
      <c r="H138" s="2"/>
    </row>
    <row r="139" spans="1:8" x14ac:dyDescent="0.25">
      <c r="A139" s="12">
        <v>12</v>
      </c>
      <c r="B139" s="12">
        <f>VLOOKUP('Tabelle 1'!B161,'Degree of Symptoms'!$J$9:$K$13,2)</f>
        <v>5</v>
      </c>
      <c r="C139" s="12">
        <f>VLOOKUP('Tabelle 1'!C161,'Degree of Symptoms'!$J$13:$K$22,2)</f>
        <v>5</v>
      </c>
      <c r="D139" s="12">
        <f>VLOOKUP('Tabelle 1'!D161,'Degree of Symptoms'!$J$26:$K$30,2)</f>
        <v>5</v>
      </c>
      <c r="E139" s="17">
        <f t="shared" si="7"/>
        <v>5</v>
      </c>
      <c r="G139" s="33"/>
      <c r="H139" s="2"/>
    </row>
    <row r="140" spans="1:8" x14ac:dyDescent="0.25">
      <c r="A140" s="12">
        <v>13</v>
      </c>
      <c r="B140" s="12">
        <f>VLOOKUP('Tabelle 1'!B162,'Degree of Symptoms'!$J$9:$K$13,2)</f>
        <v>5</v>
      </c>
      <c r="C140" s="12">
        <f>VLOOKUP('Tabelle 1'!C162,'Degree of Symptoms'!$J$13:$K$22,2)</f>
        <v>5</v>
      </c>
      <c r="D140" s="12">
        <f>VLOOKUP('Tabelle 1'!D162,'Degree of Symptoms'!$J$26:$K$30,2)</f>
        <v>5</v>
      </c>
      <c r="E140" s="17">
        <f t="shared" si="7"/>
        <v>5</v>
      </c>
      <c r="G140" s="33"/>
      <c r="H140" s="2"/>
    </row>
    <row r="141" spans="1:8" x14ac:dyDescent="0.25">
      <c r="A141" s="12">
        <v>14</v>
      </c>
      <c r="B141" s="12">
        <f>VLOOKUP('Tabelle 1'!B163,'Degree of Symptoms'!$J$9:$K$13,2)</f>
        <v>5</v>
      </c>
      <c r="C141" s="12">
        <f>VLOOKUP('Tabelle 1'!C163,'Degree of Symptoms'!$J$13:$K$22,2)</f>
        <v>5</v>
      </c>
      <c r="D141" s="12">
        <f>VLOOKUP('Tabelle 1'!D163,'Degree of Symptoms'!$J$26:$K$30,2)</f>
        <v>5</v>
      </c>
      <c r="E141" s="17">
        <f t="shared" si="7"/>
        <v>5</v>
      </c>
      <c r="G141" s="33"/>
      <c r="H141" s="2"/>
    </row>
    <row r="142" spans="1:8" x14ac:dyDescent="0.25">
      <c r="A142" s="12">
        <v>15</v>
      </c>
      <c r="B142" s="12">
        <f>VLOOKUP('Tabelle 1'!B164,'Degree of Symptoms'!$J$9:$K$13,2)</f>
        <v>5</v>
      </c>
      <c r="C142" s="12">
        <f>VLOOKUP('Tabelle 1'!C164,'Degree of Symptoms'!$J$13:$K$22,2)</f>
        <v>5</v>
      </c>
      <c r="D142" s="12">
        <f>VLOOKUP('Tabelle 1'!D164,'Degree of Symptoms'!$J$26:$K$30,2)</f>
        <v>5</v>
      </c>
      <c r="E142" s="17">
        <f t="shared" si="7"/>
        <v>5</v>
      </c>
    </row>
    <row r="143" spans="1:8" x14ac:dyDescent="0.25">
      <c r="A143" s="12"/>
      <c r="B143" s="12"/>
      <c r="C143" s="12"/>
      <c r="D143" s="12"/>
      <c r="E143" s="17"/>
      <c r="F143" s="2" t="s">
        <v>12</v>
      </c>
    </row>
    <row r="144" spans="1:8" x14ac:dyDescent="0.25">
      <c r="A144" s="19" t="s">
        <v>48</v>
      </c>
      <c r="B144" s="12">
        <f>AVERAGE(B128:B142)</f>
        <v>5</v>
      </c>
      <c r="C144" s="12">
        <f>AVERAGE(C128:C142)</f>
        <v>5</v>
      </c>
      <c r="D144" s="12">
        <f>AVERAGE(D128:D142)</f>
        <v>5</v>
      </c>
      <c r="E144" s="17">
        <f>AVERAGE(E128:E142)</f>
        <v>5</v>
      </c>
      <c r="F144" s="2">
        <f>'Tabelle 1'!F166</f>
        <v>15</v>
      </c>
    </row>
    <row r="145" spans="1:9" x14ac:dyDescent="0.25">
      <c r="A145" s="19" t="s">
        <v>49</v>
      </c>
      <c r="B145" s="12">
        <f>STDEV(B128:B142)</f>
        <v>0</v>
      </c>
      <c r="C145" s="12">
        <f>STDEV(C128:C142)</f>
        <v>0</v>
      </c>
      <c r="D145" s="12">
        <f>STDEV(D128:D142)</f>
        <v>0</v>
      </c>
      <c r="E145" s="17">
        <f>STDEV(E128:E142)</f>
        <v>0</v>
      </c>
    </row>
    <row r="148" spans="1:9" x14ac:dyDescent="0.25">
      <c r="A148" s="9">
        <f>'Tabelle 1'!A169</f>
        <v>8</v>
      </c>
      <c r="B148" s="19" t="s">
        <v>36</v>
      </c>
      <c r="C148" s="19" t="s">
        <v>37</v>
      </c>
      <c r="D148" s="19" t="s">
        <v>38</v>
      </c>
      <c r="E148" s="19" t="s">
        <v>39</v>
      </c>
      <c r="H148" s="33" t="s">
        <v>40</v>
      </c>
    </row>
    <row r="149" spans="1:9" x14ac:dyDescent="0.25">
      <c r="A149" s="12">
        <v>1</v>
      </c>
      <c r="B149" s="12">
        <f>VLOOKUP('Tabelle 1'!B171,'Degree of Symptoms'!$J$9:$K$13,2)</f>
        <v>5</v>
      </c>
      <c r="C149" s="12">
        <f>VLOOKUP('Tabelle 1'!C171,'Degree of Symptoms'!$J$13:$K$22,2)</f>
        <v>5</v>
      </c>
      <c r="D149" s="12">
        <f>VLOOKUP('Tabelle 1'!D171,'Degree of Symptoms'!$J$26:$K$30,2)</f>
        <v>5</v>
      </c>
      <c r="E149" s="17">
        <f t="shared" ref="E149:E163" si="8">AVERAGE(B149:D149)</f>
        <v>5</v>
      </c>
      <c r="G149" s="34" t="s">
        <v>41</v>
      </c>
      <c r="H149" s="1">
        <f>COUNTIFS($E$149:$E$163,"&lt;1,99",$E$149:$E$163,"&gt;=1")</f>
        <v>0</v>
      </c>
    </row>
    <row r="150" spans="1:9" x14ac:dyDescent="0.25">
      <c r="A150" s="12">
        <v>2</v>
      </c>
      <c r="B150" s="12">
        <f>VLOOKUP('Tabelle 1'!B172,'Degree of Symptoms'!$J$9:$K$13,2)</f>
        <v>5</v>
      </c>
      <c r="C150" s="12">
        <f>VLOOKUP('Tabelle 1'!C172,'Degree of Symptoms'!$J$13:$K$22,2)</f>
        <v>5</v>
      </c>
      <c r="D150" s="12">
        <f>VLOOKUP('Tabelle 1'!D172,'Degree of Symptoms'!$J$26:$K$30,2)</f>
        <v>5</v>
      </c>
      <c r="E150" s="17">
        <f t="shared" si="8"/>
        <v>5</v>
      </c>
      <c r="G150" s="34" t="s">
        <v>42</v>
      </c>
      <c r="H150" s="1">
        <f>COUNTIFS($E$149:$E$163,"&lt;2,99",$E$149:$E$163,"&gt;=2")</f>
        <v>0</v>
      </c>
    </row>
    <row r="151" spans="1:9" x14ac:dyDescent="0.25">
      <c r="A151" s="12">
        <v>3</v>
      </c>
      <c r="B151" s="12">
        <f>VLOOKUP('Tabelle 1'!B173,'Degree of Symptoms'!$J$9:$K$13,2)</f>
        <v>5</v>
      </c>
      <c r="C151" s="12">
        <f>VLOOKUP('Tabelle 1'!C173,'Degree of Symptoms'!$J$13:$K$22,2)</f>
        <v>5</v>
      </c>
      <c r="D151" s="12">
        <f>VLOOKUP('Tabelle 1'!D173,'Degree of Symptoms'!$J$26:$K$30,2)</f>
        <v>5</v>
      </c>
      <c r="E151" s="17">
        <f t="shared" si="8"/>
        <v>5</v>
      </c>
      <c r="G151" s="34" t="s">
        <v>44</v>
      </c>
      <c r="H151" s="1">
        <f>COUNTIFS($E$149:$E$163,"&lt;3,99",$E$149:$E$163,"&gt;=3")</f>
        <v>0</v>
      </c>
    </row>
    <row r="152" spans="1:9" x14ac:dyDescent="0.25">
      <c r="A152" s="12">
        <v>4</v>
      </c>
      <c r="B152" s="12">
        <f>VLOOKUP('Tabelle 1'!B174,'Degree of Symptoms'!$J$9:$K$13,2)</f>
        <v>5</v>
      </c>
      <c r="C152" s="12">
        <f>VLOOKUP('Tabelle 1'!C174,'Degree of Symptoms'!$J$13:$K$22,2)</f>
        <v>5</v>
      </c>
      <c r="D152" s="12">
        <f>VLOOKUP('Tabelle 1'!D174,'Degree of Symptoms'!$J$26:$K$30,2)</f>
        <v>5</v>
      </c>
      <c r="E152" s="17">
        <f t="shared" si="8"/>
        <v>5</v>
      </c>
      <c r="G152" s="34" t="s">
        <v>46</v>
      </c>
      <c r="H152" s="1">
        <f>COUNTIFS($E$149:$E$163,"&lt;4,99",$E$149:$E$163,"&gt;=4")</f>
        <v>0</v>
      </c>
    </row>
    <row r="153" spans="1:9" x14ac:dyDescent="0.25">
      <c r="A153" s="12">
        <v>5</v>
      </c>
      <c r="B153" s="12">
        <f>VLOOKUP('Tabelle 1'!B175,'Degree of Symptoms'!$J$9:$K$13,2)</f>
        <v>5</v>
      </c>
      <c r="C153" s="12">
        <f>VLOOKUP('Tabelle 1'!C175,'Degree of Symptoms'!$J$13:$K$22,2)</f>
        <v>5</v>
      </c>
      <c r="D153" s="12">
        <f>VLOOKUP('Tabelle 1'!D175,'Degree of Symptoms'!$J$26:$K$30,2)</f>
        <v>5</v>
      </c>
      <c r="E153" s="17">
        <f t="shared" si="8"/>
        <v>5</v>
      </c>
      <c r="G153" s="34">
        <v>5</v>
      </c>
      <c r="H153" s="1">
        <f>COUNTIF($E$149:$E$163,"&gt;=5")</f>
        <v>15</v>
      </c>
    </row>
    <row r="154" spans="1:9" x14ac:dyDescent="0.25">
      <c r="A154" s="12">
        <v>6</v>
      </c>
      <c r="B154" s="12">
        <f>VLOOKUP('Tabelle 1'!B176,'Degree of Symptoms'!$J$9:$K$13,2)</f>
        <v>5</v>
      </c>
      <c r="C154" s="12">
        <f>VLOOKUP('Tabelle 1'!C176,'Degree of Symptoms'!$J$13:$K$22,2)</f>
        <v>5</v>
      </c>
      <c r="D154" s="12">
        <f>VLOOKUP('Tabelle 1'!D176,'Degree of Symptoms'!$J$26:$K$30,2)</f>
        <v>5</v>
      </c>
      <c r="E154" s="17">
        <f t="shared" si="8"/>
        <v>5</v>
      </c>
      <c r="H154" s="1">
        <f>SUM(H149:H153)</f>
        <v>15</v>
      </c>
    </row>
    <row r="155" spans="1:9" x14ac:dyDescent="0.25">
      <c r="A155" s="12">
        <v>7</v>
      </c>
      <c r="B155" s="12">
        <f>VLOOKUP('Tabelle 1'!B177,'Degree of Symptoms'!$J$9:$K$13,2)</f>
        <v>5</v>
      </c>
      <c r="C155" s="12">
        <f>VLOOKUP('Tabelle 1'!C177,'Degree of Symptoms'!$J$13:$K$22,2)</f>
        <v>5</v>
      </c>
      <c r="D155" s="12">
        <f>VLOOKUP('Tabelle 1'!D177,'Degree of Symptoms'!$J$26:$K$30,2)</f>
        <v>5</v>
      </c>
      <c r="E155" s="17">
        <f t="shared" si="8"/>
        <v>5</v>
      </c>
    </row>
    <row r="156" spans="1:9" x14ac:dyDescent="0.25">
      <c r="A156" s="12">
        <v>8</v>
      </c>
      <c r="B156" s="12">
        <f>VLOOKUP('Tabelle 1'!B178,'Degree of Symptoms'!$J$9:$K$13,2)</f>
        <v>5</v>
      </c>
      <c r="C156" s="12">
        <f>VLOOKUP('Tabelle 1'!C178,'Degree of Symptoms'!$J$13:$K$22,2)</f>
        <v>5</v>
      </c>
      <c r="D156" s="12">
        <f>VLOOKUP('Tabelle 1'!D178,'Degree of Symptoms'!$J$26:$K$30,2)</f>
        <v>5</v>
      </c>
      <c r="E156" s="17">
        <f t="shared" si="8"/>
        <v>5</v>
      </c>
    </row>
    <row r="157" spans="1:9" x14ac:dyDescent="0.25">
      <c r="A157" s="12">
        <v>9</v>
      </c>
      <c r="B157" s="12">
        <f>VLOOKUP('Tabelle 1'!B179,'Degree of Symptoms'!$J$9:$K$13,2)</f>
        <v>5</v>
      </c>
      <c r="C157" s="12">
        <f>VLOOKUP('Tabelle 1'!C179,'Degree of Symptoms'!$J$13:$K$22,2)</f>
        <v>5</v>
      </c>
      <c r="D157" s="12">
        <f>VLOOKUP('Tabelle 1'!D179,'Degree of Symptoms'!$J$26:$K$30,2)</f>
        <v>5</v>
      </c>
      <c r="E157" s="17">
        <f t="shared" si="8"/>
        <v>5</v>
      </c>
      <c r="G157" s="33"/>
      <c r="H157" s="33"/>
      <c r="I157" s="33"/>
    </row>
    <row r="158" spans="1:9" x14ac:dyDescent="0.25">
      <c r="A158" s="12">
        <v>10</v>
      </c>
      <c r="B158" s="12">
        <f>VLOOKUP('Tabelle 1'!B180,'Degree of Symptoms'!$J$9:$K$13,2)</f>
        <v>5</v>
      </c>
      <c r="C158" s="12">
        <f>VLOOKUP('Tabelle 1'!C180,'Degree of Symptoms'!$J$13:$K$22,2)</f>
        <v>5</v>
      </c>
      <c r="D158" s="12">
        <f>VLOOKUP('Tabelle 1'!D180,'Degree of Symptoms'!$J$26:$K$30,2)</f>
        <v>5</v>
      </c>
      <c r="E158" s="17">
        <f t="shared" si="8"/>
        <v>5</v>
      </c>
      <c r="G158" s="33"/>
      <c r="H158" s="2"/>
      <c r="I158" s="2"/>
    </row>
    <row r="159" spans="1:9" x14ac:dyDescent="0.25">
      <c r="A159" s="12">
        <v>11</v>
      </c>
      <c r="B159" s="12">
        <f>VLOOKUP('Tabelle 1'!B181,'Degree of Symptoms'!$J$9:$K$13,2)</f>
        <v>5</v>
      </c>
      <c r="C159" s="12">
        <f>VLOOKUP('Tabelle 1'!C181,'Degree of Symptoms'!$J$13:$K$22,2)</f>
        <v>5</v>
      </c>
      <c r="D159" s="12">
        <f>VLOOKUP('Tabelle 1'!D181,'Degree of Symptoms'!$J$26:$K$30,2)</f>
        <v>5</v>
      </c>
      <c r="E159" s="17">
        <f t="shared" si="8"/>
        <v>5</v>
      </c>
      <c r="G159" s="33"/>
      <c r="H159" s="2"/>
      <c r="I159" s="2"/>
    </row>
    <row r="160" spans="1:9" x14ac:dyDescent="0.25">
      <c r="A160" s="12">
        <v>12</v>
      </c>
      <c r="B160" s="12">
        <f>VLOOKUP('Tabelle 1'!B182,'Degree of Symptoms'!$J$9:$K$13,2)</f>
        <v>5</v>
      </c>
      <c r="C160" s="12">
        <f>VLOOKUP('Tabelle 1'!C182,'Degree of Symptoms'!$J$13:$K$22,2)</f>
        <v>5</v>
      </c>
      <c r="D160" s="12">
        <f>VLOOKUP('Tabelle 1'!D182,'Degree of Symptoms'!$J$26:$K$30,2)</f>
        <v>5</v>
      </c>
      <c r="E160" s="17">
        <f t="shared" si="8"/>
        <v>5</v>
      </c>
      <c r="G160" s="33"/>
      <c r="H160" s="2"/>
      <c r="I160" s="2"/>
    </row>
    <row r="161" spans="1:9" x14ac:dyDescent="0.25">
      <c r="A161" s="12">
        <v>13</v>
      </c>
      <c r="B161" s="12">
        <f>VLOOKUP('Tabelle 1'!B183,'Degree of Symptoms'!$J$9:$K$13,2)</f>
        <v>5</v>
      </c>
      <c r="C161" s="12">
        <f>VLOOKUP('Tabelle 1'!C183,'Degree of Symptoms'!$J$13:$K$22,2)</f>
        <v>5</v>
      </c>
      <c r="D161" s="12">
        <f>VLOOKUP('Tabelle 1'!D183,'Degree of Symptoms'!$J$26:$K$30,2)</f>
        <v>5</v>
      </c>
      <c r="E161" s="17">
        <f t="shared" si="8"/>
        <v>5</v>
      </c>
      <c r="G161" s="33"/>
      <c r="H161" s="2"/>
      <c r="I161" s="2"/>
    </row>
    <row r="162" spans="1:9" x14ac:dyDescent="0.25">
      <c r="A162" s="12">
        <v>14</v>
      </c>
      <c r="B162" s="12">
        <f>VLOOKUP('Tabelle 1'!B184,'Degree of Symptoms'!$J$9:$K$13,2)</f>
        <v>5</v>
      </c>
      <c r="C162" s="12">
        <f>VLOOKUP('Tabelle 1'!C184,'Degree of Symptoms'!$J$13:$K$22,2)</f>
        <v>5</v>
      </c>
      <c r="D162" s="12">
        <f>VLOOKUP('Tabelle 1'!D184,'Degree of Symptoms'!$J$26:$K$30,2)</f>
        <v>5</v>
      </c>
      <c r="E162" s="17">
        <f t="shared" si="8"/>
        <v>5</v>
      </c>
      <c r="G162" s="33"/>
      <c r="H162" s="2"/>
      <c r="I162" s="2"/>
    </row>
    <row r="163" spans="1:9" x14ac:dyDescent="0.25">
      <c r="A163" s="12">
        <v>15</v>
      </c>
      <c r="B163" s="12">
        <f>VLOOKUP('Tabelle 1'!B185,'Degree of Symptoms'!$J$9:$K$13,2)</f>
        <v>5</v>
      </c>
      <c r="C163" s="12">
        <f>VLOOKUP('Tabelle 1'!C185,'Degree of Symptoms'!$J$13:$K$22,2)</f>
        <v>5</v>
      </c>
      <c r="D163" s="12">
        <f>VLOOKUP('Tabelle 1'!D185,'Degree of Symptoms'!$J$26:$K$30,2)</f>
        <v>5</v>
      </c>
      <c r="E163" s="17">
        <f t="shared" si="8"/>
        <v>5</v>
      </c>
    </row>
    <row r="164" spans="1:9" x14ac:dyDescent="0.25">
      <c r="A164" s="12"/>
      <c r="B164" s="12"/>
      <c r="C164" s="12"/>
      <c r="D164" s="12"/>
      <c r="E164" s="17"/>
      <c r="F164" s="2" t="s">
        <v>12</v>
      </c>
    </row>
    <row r="165" spans="1:9" x14ac:dyDescent="0.25">
      <c r="A165" s="19" t="s">
        <v>48</v>
      </c>
      <c r="B165" s="12">
        <f>AVERAGE(B149:B163)</f>
        <v>5</v>
      </c>
      <c r="C165" s="12">
        <f>AVERAGE(C149:C163)</f>
        <v>5</v>
      </c>
      <c r="D165" s="12">
        <f>AVERAGE(D149:D163)</f>
        <v>5</v>
      </c>
      <c r="E165" s="17">
        <f>AVERAGE(E149:E163)</f>
        <v>5</v>
      </c>
      <c r="F165" s="2">
        <f>'Tabelle 1'!F187</f>
        <v>15</v>
      </c>
    </row>
    <row r="166" spans="1:9" x14ac:dyDescent="0.25">
      <c r="A166" s="19" t="s">
        <v>49</v>
      </c>
      <c r="B166" s="12">
        <f>STDEV(B149:B163)</f>
        <v>0</v>
      </c>
      <c r="C166" s="12">
        <f>STDEV(C149:C163)</f>
        <v>0</v>
      </c>
      <c r="D166" s="12">
        <f>STDEV(D149:D163)</f>
        <v>0</v>
      </c>
      <c r="E166" s="17">
        <f>STDEV(E149:E163)</f>
        <v>0</v>
      </c>
    </row>
    <row r="169" spans="1:9" x14ac:dyDescent="0.25">
      <c r="A169" s="19">
        <f>'Tabelle 1'!A190</f>
        <v>9</v>
      </c>
      <c r="B169" s="19" t="s">
        <v>36</v>
      </c>
      <c r="C169" s="19" t="s">
        <v>37</v>
      </c>
      <c r="D169" s="19" t="s">
        <v>38</v>
      </c>
      <c r="E169" s="19" t="s">
        <v>39</v>
      </c>
      <c r="H169" s="33" t="s">
        <v>40</v>
      </c>
    </row>
    <row r="170" spans="1:9" x14ac:dyDescent="0.25">
      <c r="A170" s="12">
        <v>1</v>
      </c>
      <c r="B170" s="12">
        <f>VLOOKUP('Tabelle 1'!B192,'Degree of Symptoms'!$J$9:$K$13,2)</f>
        <v>5</v>
      </c>
      <c r="C170" s="12">
        <f>VLOOKUP('Tabelle 1'!C192,'Degree of Symptoms'!$J$13:$K$22,2)</f>
        <v>5</v>
      </c>
      <c r="D170" s="12">
        <f>VLOOKUP('Tabelle 1'!D192,'Degree of Symptoms'!$J$26:$K$30,2)</f>
        <v>5</v>
      </c>
      <c r="E170" s="17">
        <f t="shared" ref="E170:E184" si="9">AVERAGE(B170:D170)</f>
        <v>5</v>
      </c>
      <c r="G170" s="34" t="s">
        <v>41</v>
      </c>
      <c r="H170" s="1">
        <f>COUNTIFS($E$170:$E$184,"&lt;1,99",$E$170:$E$184,"&gt;=1")</f>
        <v>0</v>
      </c>
    </row>
    <row r="171" spans="1:9" x14ac:dyDescent="0.25">
      <c r="A171" s="12">
        <v>2</v>
      </c>
      <c r="B171" s="12">
        <f>VLOOKUP('Tabelle 1'!B193,'Degree of Symptoms'!$J$9:$K$13,2)</f>
        <v>5</v>
      </c>
      <c r="C171" s="12">
        <f>VLOOKUP('Tabelle 1'!C193,'Degree of Symptoms'!$J$13:$K$22,2)</f>
        <v>5</v>
      </c>
      <c r="D171" s="12">
        <f>VLOOKUP('Tabelle 1'!D193,'Degree of Symptoms'!$J$26:$K$30,2)</f>
        <v>5</v>
      </c>
      <c r="E171" s="17">
        <f t="shared" si="9"/>
        <v>5</v>
      </c>
      <c r="G171" s="34" t="s">
        <v>42</v>
      </c>
      <c r="H171" s="1">
        <f>COUNTIFS($E$170:$E$184,"&lt;2,99",$E$170:$E$184,"&gt;=2")</f>
        <v>0</v>
      </c>
    </row>
    <row r="172" spans="1:9" x14ac:dyDescent="0.25">
      <c r="A172" s="12">
        <v>3</v>
      </c>
      <c r="B172" s="12">
        <f>VLOOKUP('Tabelle 1'!B194,'Degree of Symptoms'!$J$9:$K$13,2)</f>
        <v>5</v>
      </c>
      <c r="C172" s="12">
        <f>VLOOKUP('Tabelle 1'!C194,'Degree of Symptoms'!$J$13:$K$22,2)</f>
        <v>5</v>
      </c>
      <c r="D172" s="12">
        <f>VLOOKUP('Tabelle 1'!D194,'Degree of Symptoms'!$J$26:$K$30,2)</f>
        <v>5</v>
      </c>
      <c r="E172" s="17">
        <f t="shared" si="9"/>
        <v>5</v>
      </c>
      <c r="G172" s="34" t="s">
        <v>44</v>
      </c>
      <c r="H172" s="1">
        <f>COUNTIFS($E$170:$E$184,"&lt;3,99",$E$170:$E$184,"&gt;=3")</f>
        <v>0</v>
      </c>
    </row>
    <row r="173" spans="1:9" x14ac:dyDescent="0.25">
      <c r="A173" s="12">
        <v>4</v>
      </c>
      <c r="B173" s="12">
        <f>VLOOKUP('Tabelle 1'!B195,'Degree of Symptoms'!$J$9:$K$13,2)</f>
        <v>5</v>
      </c>
      <c r="C173" s="12">
        <f>VLOOKUP('Tabelle 1'!C195,'Degree of Symptoms'!$J$13:$K$22,2)</f>
        <v>5</v>
      </c>
      <c r="D173" s="12">
        <f>VLOOKUP('Tabelle 1'!D195,'Degree of Symptoms'!$J$26:$K$30,2)</f>
        <v>5</v>
      </c>
      <c r="E173" s="17">
        <f t="shared" si="9"/>
        <v>5</v>
      </c>
      <c r="G173" s="34" t="s">
        <v>46</v>
      </c>
      <c r="H173" s="1">
        <f>COUNTIFS($E$170:$E$184,"&lt;4,99",$E$170:$E$184,"&gt;=4")</f>
        <v>0</v>
      </c>
    </row>
    <row r="174" spans="1:9" x14ac:dyDescent="0.25">
      <c r="A174" s="12">
        <v>5</v>
      </c>
      <c r="B174" s="12">
        <f>VLOOKUP('Tabelle 1'!B196,'Degree of Symptoms'!$J$9:$K$13,2)</f>
        <v>5</v>
      </c>
      <c r="C174" s="12">
        <f>VLOOKUP('Tabelle 1'!C196,'Degree of Symptoms'!$J$13:$K$22,2)</f>
        <v>5</v>
      </c>
      <c r="D174" s="12">
        <f>VLOOKUP('Tabelle 1'!D196,'Degree of Symptoms'!$J$26:$K$30,2)</f>
        <v>5</v>
      </c>
      <c r="E174" s="17">
        <f t="shared" si="9"/>
        <v>5</v>
      </c>
      <c r="G174" s="34">
        <v>5</v>
      </c>
      <c r="H174" s="1">
        <f>COUNTIF($E$170:$E$184,"&gt;=5")</f>
        <v>15</v>
      </c>
    </row>
    <row r="175" spans="1:9" x14ac:dyDescent="0.25">
      <c r="A175" s="12">
        <v>6</v>
      </c>
      <c r="B175" s="12">
        <f>VLOOKUP('Tabelle 1'!B197,'Degree of Symptoms'!$J$9:$K$13,2)</f>
        <v>5</v>
      </c>
      <c r="C175" s="12">
        <f>VLOOKUP('Tabelle 1'!C197,'Degree of Symptoms'!$J$13:$K$22,2)</f>
        <v>5</v>
      </c>
      <c r="D175" s="12">
        <f>VLOOKUP('Tabelle 1'!D197,'Degree of Symptoms'!$J$26:$K$30,2)</f>
        <v>5</v>
      </c>
      <c r="E175" s="17">
        <f t="shared" si="9"/>
        <v>5</v>
      </c>
      <c r="H175" s="1">
        <f>SUM(H170:H174)</f>
        <v>15</v>
      </c>
    </row>
    <row r="176" spans="1:9" x14ac:dyDescent="0.25">
      <c r="A176" s="12">
        <v>7</v>
      </c>
      <c r="B176" s="12">
        <f>VLOOKUP('Tabelle 1'!B198,'Degree of Symptoms'!$J$9:$K$13,2)</f>
        <v>5</v>
      </c>
      <c r="C176" s="12">
        <f>VLOOKUP('Tabelle 1'!C198,'Degree of Symptoms'!$J$13:$K$22,2)</f>
        <v>5</v>
      </c>
      <c r="D176" s="12">
        <f>VLOOKUP('Tabelle 1'!D198,'Degree of Symptoms'!$J$26:$K$30,2)</f>
        <v>5</v>
      </c>
      <c r="E176" s="17">
        <f t="shared" si="9"/>
        <v>5</v>
      </c>
    </row>
    <row r="177" spans="1:9" x14ac:dyDescent="0.25">
      <c r="A177" s="12">
        <v>8</v>
      </c>
      <c r="B177" s="12">
        <f>VLOOKUP('Tabelle 1'!B199,'Degree of Symptoms'!$J$9:$K$13,2)</f>
        <v>5</v>
      </c>
      <c r="C177" s="12">
        <f>VLOOKUP('Tabelle 1'!C199,'Degree of Symptoms'!$J$13:$K$22,2)</f>
        <v>5</v>
      </c>
      <c r="D177" s="12">
        <f>VLOOKUP('Tabelle 1'!D199,'Degree of Symptoms'!$J$26:$K$30,2)</f>
        <v>5</v>
      </c>
      <c r="E177" s="17">
        <f t="shared" si="9"/>
        <v>5</v>
      </c>
    </row>
    <row r="178" spans="1:9" x14ac:dyDescent="0.25">
      <c r="A178" s="12">
        <v>9</v>
      </c>
      <c r="B178" s="12">
        <f>VLOOKUP('Tabelle 1'!B200,'Degree of Symptoms'!$J$9:$K$13,2)</f>
        <v>5</v>
      </c>
      <c r="C178" s="12">
        <f>VLOOKUP('Tabelle 1'!C200,'Degree of Symptoms'!$J$13:$K$22,2)</f>
        <v>5</v>
      </c>
      <c r="D178" s="12">
        <f>VLOOKUP('Tabelle 1'!D200,'Degree of Symptoms'!$J$26:$K$30,2)</f>
        <v>5</v>
      </c>
      <c r="E178" s="17">
        <f t="shared" si="9"/>
        <v>5</v>
      </c>
      <c r="G178" s="33"/>
      <c r="H178" s="33"/>
      <c r="I178" s="33"/>
    </row>
    <row r="179" spans="1:9" x14ac:dyDescent="0.25">
      <c r="A179" s="12">
        <v>10</v>
      </c>
      <c r="B179" s="12">
        <f>VLOOKUP('Tabelle 1'!B201,'Degree of Symptoms'!$J$9:$K$13,2)</f>
        <v>5</v>
      </c>
      <c r="C179" s="12">
        <f>VLOOKUP('Tabelle 1'!C201,'Degree of Symptoms'!$J$13:$K$22,2)</f>
        <v>5</v>
      </c>
      <c r="D179" s="12">
        <f>VLOOKUP('Tabelle 1'!D201,'Degree of Symptoms'!$J$26:$K$30,2)</f>
        <v>5</v>
      </c>
      <c r="E179" s="17">
        <f t="shared" si="9"/>
        <v>5</v>
      </c>
      <c r="G179" s="33"/>
      <c r="H179" s="2"/>
      <c r="I179" s="2"/>
    </row>
    <row r="180" spans="1:9" x14ac:dyDescent="0.25">
      <c r="A180" s="12">
        <v>11</v>
      </c>
      <c r="B180" s="12">
        <f>VLOOKUP('Tabelle 1'!B202,'Degree of Symptoms'!$J$9:$K$13,2)</f>
        <v>5</v>
      </c>
      <c r="C180" s="12">
        <f>VLOOKUP('Tabelle 1'!C202,'Degree of Symptoms'!$J$13:$K$22,2)</f>
        <v>5</v>
      </c>
      <c r="D180" s="12">
        <f>VLOOKUP('Tabelle 1'!D202,'Degree of Symptoms'!$J$26:$K$30,2)</f>
        <v>5</v>
      </c>
      <c r="E180" s="17">
        <f t="shared" si="9"/>
        <v>5</v>
      </c>
      <c r="G180" s="33"/>
      <c r="H180" s="2"/>
      <c r="I180" s="2"/>
    </row>
    <row r="181" spans="1:9" x14ac:dyDescent="0.25">
      <c r="A181" s="12">
        <v>12</v>
      </c>
      <c r="B181" s="12">
        <f>VLOOKUP('Tabelle 1'!B203,'Degree of Symptoms'!$J$9:$K$13,2)</f>
        <v>5</v>
      </c>
      <c r="C181" s="12">
        <f>VLOOKUP('Tabelle 1'!C203,'Degree of Symptoms'!$J$13:$K$22,2)</f>
        <v>5</v>
      </c>
      <c r="D181" s="12">
        <f>VLOOKUP('Tabelle 1'!D203,'Degree of Symptoms'!$J$26:$K$30,2)</f>
        <v>5</v>
      </c>
      <c r="E181" s="17">
        <f t="shared" si="9"/>
        <v>5</v>
      </c>
      <c r="G181" s="33"/>
      <c r="H181" s="2"/>
      <c r="I181" s="2"/>
    </row>
    <row r="182" spans="1:9" x14ac:dyDescent="0.25">
      <c r="A182" s="12">
        <v>13</v>
      </c>
      <c r="B182" s="12">
        <f>VLOOKUP('Tabelle 1'!B204,'Degree of Symptoms'!$J$9:$K$13,2)</f>
        <v>5</v>
      </c>
      <c r="C182" s="12">
        <f>VLOOKUP('Tabelle 1'!C204,'Degree of Symptoms'!$J$13:$K$22,2)</f>
        <v>5</v>
      </c>
      <c r="D182" s="12">
        <f>VLOOKUP('Tabelle 1'!D204,'Degree of Symptoms'!$J$26:$K$30,2)</f>
        <v>5</v>
      </c>
      <c r="E182" s="17">
        <f t="shared" si="9"/>
        <v>5</v>
      </c>
      <c r="G182" s="33"/>
      <c r="H182" s="2"/>
      <c r="I182" s="2"/>
    </row>
    <row r="183" spans="1:9" x14ac:dyDescent="0.25">
      <c r="A183" s="12">
        <v>14</v>
      </c>
      <c r="B183" s="12">
        <f>VLOOKUP('Tabelle 1'!B205,'Degree of Symptoms'!$J$9:$K$13,2)</f>
        <v>5</v>
      </c>
      <c r="C183" s="12">
        <f>VLOOKUP('Tabelle 1'!C205,'Degree of Symptoms'!$J$13:$K$22,2)</f>
        <v>5</v>
      </c>
      <c r="D183" s="12">
        <f>VLOOKUP('Tabelle 1'!D205,'Degree of Symptoms'!$J$26:$K$30,2)</f>
        <v>5</v>
      </c>
      <c r="E183" s="17">
        <f t="shared" si="9"/>
        <v>5</v>
      </c>
      <c r="G183" s="33"/>
      <c r="H183" s="2"/>
      <c r="I183" s="2"/>
    </row>
    <row r="184" spans="1:9" x14ac:dyDescent="0.25">
      <c r="A184" s="12">
        <v>15</v>
      </c>
      <c r="B184" s="12">
        <f>VLOOKUP('Tabelle 1'!B206,'Degree of Symptoms'!$J$9:$K$13,2)</f>
        <v>5</v>
      </c>
      <c r="C184" s="12">
        <f>VLOOKUP('Tabelle 1'!C206,'Degree of Symptoms'!$J$13:$K$22,2)</f>
        <v>5</v>
      </c>
      <c r="D184" s="12">
        <f>VLOOKUP('Tabelle 1'!D206,'Degree of Symptoms'!$J$26:$K$30,2)</f>
        <v>5</v>
      </c>
      <c r="E184" s="17">
        <f t="shared" si="9"/>
        <v>5</v>
      </c>
    </row>
    <row r="185" spans="1:9" x14ac:dyDescent="0.25">
      <c r="A185" s="12"/>
      <c r="B185" s="12"/>
      <c r="C185" s="12"/>
      <c r="D185" s="12"/>
      <c r="E185" s="17"/>
      <c r="F185" s="2" t="s">
        <v>12</v>
      </c>
    </row>
    <row r="186" spans="1:9" x14ac:dyDescent="0.25">
      <c r="A186" s="19" t="s">
        <v>48</v>
      </c>
      <c r="B186" s="12">
        <f>AVERAGE(B170:B184)</f>
        <v>5</v>
      </c>
      <c r="C186" s="12">
        <f>AVERAGE(C170:C184)</f>
        <v>5</v>
      </c>
      <c r="D186" s="12">
        <f>AVERAGE(D170:D184)</f>
        <v>5</v>
      </c>
      <c r="E186" s="17">
        <f>AVERAGE(E170:E184)</f>
        <v>5</v>
      </c>
      <c r="F186" s="2">
        <f>'Tabelle 1'!F208</f>
        <v>15</v>
      </c>
    </row>
    <row r="187" spans="1:9" x14ac:dyDescent="0.25">
      <c r="A187" s="19" t="s">
        <v>49</v>
      </c>
      <c r="B187" s="12">
        <f>STDEV(B170:B184)</f>
        <v>0</v>
      </c>
      <c r="C187" s="12">
        <f>STDEV(C170:C184)</f>
        <v>0</v>
      </c>
      <c r="D187" s="12">
        <f>STDEV(D170:D184)</f>
        <v>0</v>
      </c>
      <c r="E187" s="17">
        <f>STDEV(E170:E184)</f>
        <v>0</v>
      </c>
    </row>
    <row r="190" spans="1:9" x14ac:dyDescent="0.25">
      <c r="A190" s="19">
        <f>'Tabelle 1'!A211</f>
        <v>10</v>
      </c>
      <c r="B190" s="19" t="s">
        <v>36</v>
      </c>
      <c r="C190" s="19" t="s">
        <v>37</v>
      </c>
      <c r="D190" s="19" t="s">
        <v>38</v>
      </c>
      <c r="E190" s="19" t="s">
        <v>39</v>
      </c>
      <c r="H190" s="33" t="s">
        <v>40</v>
      </c>
    </row>
    <row r="191" spans="1:9" x14ac:dyDescent="0.25">
      <c r="A191" s="12">
        <v>1</v>
      </c>
      <c r="B191" s="12">
        <f>VLOOKUP('Tabelle 1'!B213,'Degree of Symptoms'!$J$9:$K$13,2)</f>
        <v>5</v>
      </c>
      <c r="C191" s="12">
        <f>VLOOKUP('Tabelle 1'!C213,'Degree of Symptoms'!$J$13:$K$22,2)</f>
        <v>5</v>
      </c>
      <c r="D191" s="12">
        <f>VLOOKUP('Tabelle 1'!D213,'Degree of Symptoms'!$J$26:$K$30,2)</f>
        <v>5</v>
      </c>
      <c r="E191" s="17">
        <f t="shared" ref="E191:E205" si="10">AVERAGE(B191:D191)</f>
        <v>5</v>
      </c>
      <c r="G191" s="34" t="s">
        <v>41</v>
      </c>
      <c r="H191" s="1">
        <f>COUNTIFS($E$191:$E$205,"&lt;1,99",$E$191:$E$205,"&gt;=1")</f>
        <v>0</v>
      </c>
    </row>
    <row r="192" spans="1:9" x14ac:dyDescent="0.25">
      <c r="A192" s="12">
        <v>2</v>
      </c>
      <c r="B192" s="12">
        <f>VLOOKUP('Tabelle 1'!B214,'Degree of Symptoms'!$J$9:$K$13,2)</f>
        <v>5</v>
      </c>
      <c r="C192" s="12">
        <f>VLOOKUP('Tabelle 1'!C214,'Degree of Symptoms'!$J$13:$K$22,2)</f>
        <v>5</v>
      </c>
      <c r="D192" s="12">
        <f>VLOOKUP('Tabelle 1'!D214,'Degree of Symptoms'!$J$26:$K$30,2)</f>
        <v>5</v>
      </c>
      <c r="E192" s="17">
        <f t="shared" si="10"/>
        <v>5</v>
      </c>
      <c r="G192" s="34" t="s">
        <v>42</v>
      </c>
      <c r="H192" s="1">
        <f>COUNTIFS($E$191:$E$205,"&lt;2,99",$E$191:$E$205,"&gt;=2")</f>
        <v>0</v>
      </c>
    </row>
    <row r="193" spans="1:9" x14ac:dyDescent="0.25">
      <c r="A193" s="12">
        <v>3</v>
      </c>
      <c r="B193" s="12">
        <f>VLOOKUP('Tabelle 1'!B215,'Degree of Symptoms'!$J$9:$K$13,2)</f>
        <v>5</v>
      </c>
      <c r="C193" s="12">
        <f>VLOOKUP('Tabelle 1'!C215,'Degree of Symptoms'!$J$13:$K$22,2)</f>
        <v>5</v>
      </c>
      <c r="D193" s="12">
        <f>VLOOKUP('Tabelle 1'!D215,'Degree of Symptoms'!$J$26:$K$30,2)</f>
        <v>5</v>
      </c>
      <c r="E193" s="17">
        <f t="shared" si="10"/>
        <v>5</v>
      </c>
      <c r="G193" s="34" t="s">
        <v>44</v>
      </c>
      <c r="H193" s="1">
        <f>COUNTIFS($E$191:$E$205,"&lt;3,99",$E$191:$E$205,"&gt;=3")</f>
        <v>0</v>
      </c>
    </row>
    <row r="194" spans="1:9" x14ac:dyDescent="0.25">
      <c r="A194" s="12">
        <v>4</v>
      </c>
      <c r="B194" s="12">
        <f>VLOOKUP('Tabelle 1'!B216,'Degree of Symptoms'!$J$9:$K$13,2)</f>
        <v>5</v>
      </c>
      <c r="C194" s="12">
        <f>VLOOKUP('Tabelle 1'!C216,'Degree of Symptoms'!$J$13:$K$22,2)</f>
        <v>5</v>
      </c>
      <c r="D194" s="12">
        <f>VLOOKUP('Tabelle 1'!D216,'Degree of Symptoms'!$J$26:$K$30,2)</f>
        <v>5</v>
      </c>
      <c r="E194" s="17">
        <f t="shared" si="10"/>
        <v>5</v>
      </c>
      <c r="G194" s="34" t="s">
        <v>46</v>
      </c>
      <c r="H194" s="1">
        <f>COUNTIFS($E$191:$E$205,"&lt;4,99",$E$191:$E$205,"&gt;=4")</f>
        <v>0</v>
      </c>
    </row>
    <row r="195" spans="1:9" x14ac:dyDescent="0.25">
      <c r="A195" s="12">
        <v>5</v>
      </c>
      <c r="B195" s="12">
        <f>VLOOKUP('Tabelle 1'!B217,'Degree of Symptoms'!$J$9:$K$13,2)</f>
        <v>5</v>
      </c>
      <c r="C195" s="12">
        <f>VLOOKUP('Tabelle 1'!C217,'Degree of Symptoms'!$J$13:$K$22,2)</f>
        <v>5</v>
      </c>
      <c r="D195" s="12">
        <f>VLOOKUP('Tabelle 1'!D217,'Degree of Symptoms'!$J$26:$K$30,2)</f>
        <v>5</v>
      </c>
      <c r="E195" s="17">
        <f t="shared" si="10"/>
        <v>5</v>
      </c>
      <c r="G195" s="34">
        <v>5</v>
      </c>
      <c r="H195" s="1">
        <f>COUNTIF($E$191:$E$205,"&gt;=5")</f>
        <v>15</v>
      </c>
    </row>
    <row r="196" spans="1:9" x14ac:dyDescent="0.25">
      <c r="A196" s="12">
        <v>6</v>
      </c>
      <c r="B196" s="12">
        <f>VLOOKUP('Tabelle 1'!B218,'Degree of Symptoms'!$J$9:$K$13,2)</f>
        <v>5</v>
      </c>
      <c r="C196" s="12">
        <f>VLOOKUP('Tabelle 1'!C218,'Degree of Symptoms'!$J$13:$K$22,2)</f>
        <v>5</v>
      </c>
      <c r="D196" s="12">
        <f>VLOOKUP('Tabelle 1'!D218,'Degree of Symptoms'!$J$26:$K$30,2)</f>
        <v>5</v>
      </c>
      <c r="E196" s="17">
        <f t="shared" si="10"/>
        <v>5</v>
      </c>
      <c r="H196" s="1">
        <f>SUM(H191:H195)</f>
        <v>15</v>
      </c>
    </row>
    <row r="197" spans="1:9" x14ac:dyDescent="0.25">
      <c r="A197" s="12">
        <v>7</v>
      </c>
      <c r="B197" s="12">
        <f>VLOOKUP('Tabelle 1'!B219,'Degree of Symptoms'!$J$9:$K$13,2)</f>
        <v>5</v>
      </c>
      <c r="C197" s="12">
        <f>VLOOKUP('Tabelle 1'!C219,'Degree of Symptoms'!$J$13:$K$22,2)</f>
        <v>5</v>
      </c>
      <c r="D197" s="12">
        <f>VLOOKUP('Tabelle 1'!D219,'Degree of Symptoms'!$J$26:$K$30,2)</f>
        <v>5</v>
      </c>
      <c r="E197" s="17">
        <f t="shared" si="10"/>
        <v>5</v>
      </c>
    </row>
    <row r="198" spans="1:9" x14ac:dyDescent="0.25">
      <c r="A198" s="12">
        <v>8</v>
      </c>
      <c r="B198" s="12">
        <f>VLOOKUP('Tabelle 1'!B220,'Degree of Symptoms'!$J$9:$K$13,2)</f>
        <v>5</v>
      </c>
      <c r="C198" s="12">
        <f>VLOOKUP('Tabelle 1'!C220,'Degree of Symptoms'!$J$13:$K$22,2)</f>
        <v>5</v>
      </c>
      <c r="D198" s="12">
        <f>VLOOKUP('Tabelle 1'!D220,'Degree of Symptoms'!$J$26:$K$30,2)</f>
        <v>5</v>
      </c>
      <c r="E198" s="17">
        <f t="shared" si="10"/>
        <v>5</v>
      </c>
    </row>
    <row r="199" spans="1:9" x14ac:dyDescent="0.25">
      <c r="A199" s="12">
        <v>9</v>
      </c>
      <c r="B199" s="12">
        <f>VLOOKUP('Tabelle 1'!B221,'Degree of Symptoms'!$J$9:$K$13,2)</f>
        <v>5</v>
      </c>
      <c r="C199" s="12">
        <f>VLOOKUP('Tabelle 1'!C221,'Degree of Symptoms'!$J$13:$K$22,2)</f>
        <v>5</v>
      </c>
      <c r="D199" s="12">
        <f>VLOOKUP('Tabelle 1'!D221,'Degree of Symptoms'!$J$26:$K$30,2)</f>
        <v>5</v>
      </c>
      <c r="E199" s="17">
        <f t="shared" si="10"/>
        <v>5</v>
      </c>
      <c r="G199" s="33"/>
      <c r="H199" s="33"/>
      <c r="I199" s="33"/>
    </row>
    <row r="200" spans="1:9" x14ac:dyDescent="0.25">
      <c r="A200" s="12">
        <v>10</v>
      </c>
      <c r="B200" s="12">
        <f>VLOOKUP('Tabelle 1'!B222,'Degree of Symptoms'!$J$9:$K$13,2)</f>
        <v>5</v>
      </c>
      <c r="C200" s="12">
        <f>VLOOKUP('Tabelle 1'!C222,'Degree of Symptoms'!$J$13:$K$22,2)</f>
        <v>5</v>
      </c>
      <c r="D200" s="12">
        <f>VLOOKUP('Tabelle 1'!D222,'Degree of Symptoms'!$J$26:$K$30,2)</f>
        <v>5</v>
      </c>
      <c r="E200" s="17">
        <f t="shared" si="10"/>
        <v>5</v>
      </c>
      <c r="G200" s="33"/>
      <c r="H200" s="2"/>
      <c r="I200" s="2"/>
    </row>
    <row r="201" spans="1:9" x14ac:dyDescent="0.25">
      <c r="A201" s="12">
        <v>11</v>
      </c>
      <c r="B201" s="12">
        <f>VLOOKUP('Tabelle 1'!B223,'Degree of Symptoms'!$J$9:$K$13,2)</f>
        <v>5</v>
      </c>
      <c r="C201" s="12">
        <f>VLOOKUP('Tabelle 1'!C223,'Degree of Symptoms'!$J$13:$K$22,2)</f>
        <v>5</v>
      </c>
      <c r="D201" s="12">
        <f>VLOOKUP('Tabelle 1'!D223,'Degree of Symptoms'!$J$26:$K$30,2)</f>
        <v>5</v>
      </c>
      <c r="E201" s="17">
        <f t="shared" si="10"/>
        <v>5</v>
      </c>
      <c r="G201" s="33"/>
      <c r="H201" s="2"/>
      <c r="I201" s="2"/>
    </row>
    <row r="202" spans="1:9" x14ac:dyDescent="0.25">
      <c r="A202" s="12">
        <v>12</v>
      </c>
      <c r="B202" s="12">
        <f>VLOOKUP('Tabelle 1'!B224,'Degree of Symptoms'!$J$9:$K$13,2)</f>
        <v>5</v>
      </c>
      <c r="C202" s="12">
        <f>VLOOKUP('Tabelle 1'!C224,'Degree of Symptoms'!$J$13:$K$22,2)</f>
        <v>5</v>
      </c>
      <c r="D202" s="12">
        <f>VLOOKUP('Tabelle 1'!D224,'Degree of Symptoms'!$J$26:$K$30,2)</f>
        <v>5</v>
      </c>
      <c r="E202" s="17">
        <f t="shared" si="10"/>
        <v>5</v>
      </c>
      <c r="G202" s="33"/>
      <c r="H202" s="2"/>
      <c r="I202" s="2"/>
    </row>
    <row r="203" spans="1:9" x14ac:dyDescent="0.25">
      <c r="A203" s="12">
        <v>13</v>
      </c>
      <c r="B203" s="12">
        <f>VLOOKUP('Tabelle 1'!B225,'Degree of Symptoms'!$J$9:$K$13,2)</f>
        <v>5</v>
      </c>
      <c r="C203" s="12">
        <f>VLOOKUP('Tabelle 1'!C225,'Degree of Symptoms'!$J$13:$K$22,2)</f>
        <v>5</v>
      </c>
      <c r="D203" s="12">
        <f>VLOOKUP('Tabelle 1'!D225,'Degree of Symptoms'!$J$26:$K$30,2)</f>
        <v>5</v>
      </c>
      <c r="E203" s="17">
        <f t="shared" si="10"/>
        <v>5</v>
      </c>
      <c r="G203" s="33"/>
      <c r="H203" s="2"/>
      <c r="I203" s="2"/>
    </row>
    <row r="204" spans="1:9" x14ac:dyDescent="0.25">
      <c r="A204" s="12">
        <v>14</v>
      </c>
      <c r="B204" s="12">
        <f>VLOOKUP('Tabelle 1'!B226,'Degree of Symptoms'!$J$9:$K$13,2)</f>
        <v>5</v>
      </c>
      <c r="C204" s="12">
        <f>VLOOKUP('Tabelle 1'!C226,'Degree of Symptoms'!$J$13:$K$22,2)</f>
        <v>5</v>
      </c>
      <c r="D204" s="12">
        <f>VLOOKUP('Tabelle 1'!D226,'Degree of Symptoms'!$J$26:$K$30,2)</f>
        <v>5</v>
      </c>
      <c r="E204" s="17">
        <f t="shared" si="10"/>
        <v>5</v>
      </c>
      <c r="G204" s="33"/>
      <c r="H204" s="2"/>
      <c r="I204" s="2"/>
    </row>
    <row r="205" spans="1:9" x14ac:dyDescent="0.25">
      <c r="A205" s="12">
        <v>15</v>
      </c>
      <c r="B205" s="12">
        <f>VLOOKUP('Tabelle 1'!B227,'Degree of Symptoms'!$J$9:$K$13,2)</f>
        <v>5</v>
      </c>
      <c r="C205" s="12">
        <f>VLOOKUP('Tabelle 1'!C227,'Degree of Symptoms'!$J$13:$K$22,2)</f>
        <v>5</v>
      </c>
      <c r="D205" s="12">
        <f>VLOOKUP('Tabelle 1'!D227,'Degree of Symptoms'!$J$26:$K$30,2)</f>
        <v>5</v>
      </c>
      <c r="E205" s="17">
        <f t="shared" si="10"/>
        <v>5</v>
      </c>
    </row>
    <row r="206" spans="1:9" x14ac:dyDescent="0.25">
      <c r="A206" s="12"/>
      <c r="B206" s="12"/>
      <c r="C206" s="12"/>
      <c r="D206" s="12"/>
      <c r="E206" s="17"/>
      <c r="F206" s="2" t="s">
        <v>12</v>
      </c>
    </row>
    <row r="207" spans="1:9" x14ac:dyDescent="0.25">
      <c r="A207" s="19" t="s">
        <v>48</v>
      </c>
      <c r="B207" s="12">
        <f>AVERAGE(B191:B205)</f>
        <v>5</v>
      </c>
      <c r="C207" s="12">
        <f>AVERAGE(C191:C205)</f>
        <v>5</v>
      </c>
      <c r="D207" s="12">
        <f>AVERAGE(D191:D205)</f>
        <v>5</v>
      </c>
      <c r="E207" s="17">
        <f>AVERAGE(E191:E205)</f>
        <v>5</v>
      </c>
      <c r="F207" s="2">
        <f>'Tabelle 1'!F229</f>
        <v>15</v>
      </c>
    </row>
    <row r="208" spans="1:9" x14ac:dyDescent="0.25">
      <c r="A208" s="19" t="s">
        <v>49</v>
      </c>
      <c r="B208" s="12">
        <f>STDEV(B191:B205)</f>
        <v>0</v>
      </c>
      <c r="C208" s="12">
        <f>STDEV(C191:C205)</f>
        <v>0</v>
      </c>
      <c r="D208" s="12">
        <f>STDEV(D191:D205)</f>
        <v>0</v>
      </c>
      <c r="E208" s="17">
        <f>STDEV(E191:E205)</f>
        <v>0</v>
      </c>
    </row>
    <row r="211" spans="1:9" x14ac:dyDescent="0.25">
      <c r="A211" s="19">
        <f>'Tabelle 1'!A232</f>
        <v>11</v>
      </c>
      <c r="B211" s="19" t="s">
        <v>36</v>
      </c>
      <c r="C211" s="19" t="s">
        <v>37</v>
      </c>
      <c r="D211" s="19" t="s">
        <v>38</v>
      </c>
      <c r="E211" s="19" t="s">
        <v>39</v>
      </c>
      <c r="H211" s="33" t="s">
        <v>40</v>
      </c>
    </row>
    <row r="212" spans="1:9" x14ac:dyDescent="0.25">
      <c r="A212" s="12">
        <v>1</v>
      </c>
      <c r="B212" s="12">
        <f>VLOOKUP('Tabelle 1'!B234,'Degree of Symptoms'!$J$9:$K$13,2)</f>
        <v>5</v>
      </c>
      <c r="C212" s="12">
        <f>VLOOKUP('Tabelle 1'!C234,'Degree of Symptoms'!$J$13:$K$22,2)</f>
        <v>5</v>
      </c>
      <c r="D212" s="12">
        <f>VLOOKUP('Tabelle 1'!D234,'Degree of Symptoms'!$J$26:$K$30,2)</f>
        <v>5</v>
      </c>
      <c r="E212" s="17">
        <f t="shared" ref="E212:E226" si="11">AVERAGE(B212:D212)</f>
        <v>5</v>
      </c>
      <c r="G212" s="34" t="s">
        <v>41</v>
      </c>
      <c r="H212" s="1">
        <f>COUNTIFS($E$212:$E$226,"&lt;1,99",$E$212:$E$226,"&gt;=1")</f>
        <v>0</v>
      </c>
    </row>
    <row r="213" spans="1:9" x14ac:dyDescent="0.25">
      <c r="A213" s="12">
        <v>2</v>
      </c>
      <c r="B213" s="12">
        <f>VLOOKUP('Tabelle 1'!B235,'Degree of Symptoms'!$J$9:$K$13,2)</f>
        <v>5</v>
      </c>
      <c r="C213" s="12">
        <f>VLOOKUP('Tabelle 1'!C235,'Degree of Symptoms'!$J$13:$K$22,2)</f>
        <v>5</v>
      </c>
      <c r="D213" s="12">
        <f>VLOOKUP('Tabelle 1'!D235,'Degree of Symptoms'!$J$26:$K$30,2)</f>
        <v>5</v>
      </c>
      <c r="E213" s="17">
        <f t="shared" si="11"/>
        <v>5</v>
      </c>
      <c r="G213" s="34" t="s">
        <v>42</v>
      </c>
      <c r="H213" s="1">
        <f>COUNTIFS($E$212:$E$226,"&lt;2,99",$E$212:$E$226,"&gt;=2")</f>
        <v>0</v>
      </c>
    </row>
    <row r="214" spans="1:9" x14ac:dyDescent="0.25">
      <c r="A214" s="12">
        <v>3</v>
      </c>
      <c r="B214" s="12">
        <f>VLOOKUP('Tabelle 1'!B236,'Degree of Symptoms'!$J$9:$K$13,2)</f>
        <v>5</v>
      </c>
      <c r="C214" s="12">
        <f>VLOOKUP('Tabelle 1'!C236,'Degree of Symptoms'!$J$13:$K$22,2)</f>
        <v>5</v>
      </c>
      <c r="D214" s="12">
        <f>VLOOKUP('Tabelle 1'!D236,'Degree of Symptoms'!$J$26:$K$30,2)</f>
        <v>5</v>
      </c>
      <c r="E214" s="17">
        <f t="shared" si="11"/>
        <v>5</v>
      </c>
      <c r="G214" s="34" t="s">
        <v>44</v>
      </c>
      <c r="H214" s="1">
        <f>COUNTIFS($E$212:$E$226,"&lt;3,99",$E$212:$E$226,"&gt;=3")</f>
        <v>0</v>
      </c>
    </row>
    <row r="215" spans="1:9" x14ac:dyDescent="0.25">
      <c r="A215" s="12">
        <v>4</v>
      </c>
      <c r="B215" s="12">
        <f>VLOOKUP('Tabelle 1'!B237,'Degree of Symptoms'!$J$9:$K$13,2)</f>
        <v>5</v>
      </c>
      <c r="C215" s="12">
        <f>VLOOKUP('Tabelle 1'!C237,'Degree of Symptoms'!$J$13:$K$22,2)</f>
        <v>5</v>
      </c>
      <c r="D215" s="12">
        <f>VLOOKUP('Tabelle 1'!D237,'Degree of Symptoms'!$J$26:$K$30,2)</f>
        <v>5</v>
      </c>
      <c r="E215" s="17">
        <f t="shared" si="11"/>
        <v>5</v>
      </c>
      <c r="G215" s="34" t="s">
        <v>46</v>
      </c>
      <c r="H215" s="1">
        <f>COUNTIFS($E$212:$E$226,"&lt;4,99",$E$212:$E$226,"&gt;=4")</f>
        <v>0</v>
      </c>
    </row>
    <row r="216" spans="1:9" x14ac:dyDescent="0.25">
      <c r="A216" s="12">
        <v>5</v>
      </c>
      <c r="B216" s="12">
        <f>VLOOKUP('Tabelle 1'!B238,'Degree of Symptoms'!$J$9:$K$13,2)</f>
        <v>5</v>
      </c>
      <c r="C216" s="12">
        <f>VLOOKUP('Tabelle 1'!C238,'Degree of Symptoms'!$J$13:$K$22,2)</f>
        <v>5</v>
      </c>
      <c r="D216" s="12">
        <f>VLOOKUP('Tabelle 1'!D238,'Degree of Symptoms'!$J$26:$K$30,2)</f>
        <v>5</v>
      </c>
      <c r="E216" s="17">
        <f t="shared" si="11"/>
        <v>5</v>
      </c>
      <c r="G216" s="34">
        <v>5</v>
      </c>
      <c r="H216" s="1">
        <f>COUNTIF($E$212:$E$226,"&gt;=5")</f>
        <v>15</v>
      </c>
    </row>
    <row r="217" spans="1:9" x14ac:dyDescent="0.25">
      <c r="A217" s="12">
        <v>6</v>
      </c>
      <c r="B217" s="12">
        <f>VLOOKUP('Tabelle 1'!B239,'Degree of Symptoms'!$J$9:$K$13,2)</f>
        <v>5</v>
      </c>
      <c r="C217" s="12">
        <f>VLOOKUP('Tabelle 1'!C239,'Degree of Symptoms'!$J$13:$K$22,2)</f>
        <v>5</v>
      </c>
      <c r="D217" s="12">
        <f>VLOOKUP('Tabelle 1'!D239,'Degree of Symptoms'!$J$26:$K$30,2)</f>
        <v>5</v>
      </c>
      <c r="E217" s="17">
        <f t="shared" si="11"/>
        <v>5</v>
      </c>
      <c r="H217" s="1">
        <f>SUM(H212:H216)</f>
        <v>15</v>
      </c>
    </row>
    <row r="218" spans="1:9" x14ac:dyDescent="0.25">
      <c r="A218" s="12">
        <v>7</v>
      </c>
      <c r="B218" s="12">
        <f>VLOOKUP('Tabelle 1'!B240,'Degree of Symptoms'!$J$9:$K$13,2)</f>
        <v>5</v>
      </c>
      <c r="C218" s="12">
        <f>VLOOKUP('Tabelle 1'!C240,'Degree of Symptoms'!$J$13:$K$22,2)</f>
        <v>5</v>
      </c>
      <c r="D218" s="12">
        <f>VLOOKUP('Tabelle 1'!D240,'Degree of Symptoms'!$J$26:$K$30,2)</f>
        <v>5</v>
      </c>
      <c r="E218" s="17">
        <f t="shared" si="11"/>
        <v>5</v>
      </c>
    </row>
    <row r="219" spans="1:9" x14ac:dyDescent="0.25">
      <c r="A219" s="12">
        <v>8</v>
      </c>
      <c r="B219" s="12">
        <f>VLOOKUP('Tabelle 1'!B241,'Degree of Symptoms'!$J$9:$K$13,2)</f>
        <v>5</v>
      </c>
      <c r="C219" s="12">
        <f>VLOOKUP('Tabelle 1'!C241,'Degree of Symptoms'!$J$13:$K$22,2)</f>
        <v>5</v>
      </c>
      <c r="D219" s="12">
        <f>VLOOKUP('Tabelle 1'!D241,'Degree of Symptoms'!$J$26:$K$30,2)</f>
        <v>5</v>
      </c>
      <c r="E219" s="17">
        <f t="shared" si="11"/>
        <v>5</v>
      </c>
    </row>
    <row r="220" spans="1:9" x14ac:dyDescent="0.25">
      <c r="A220" s="12">
        <v>9</v>
      </c>
      <c r="B220" s="12">
        <f>VLOOKUP('Tabelle 1'!B242,'Degree of Symptoms'!$J$9:$K$13,2)</f>
        <v>5</v>
      </c>
      <c r="C220" s="12">
        <f>VLOOKUP('Tabelle 1'!C242,'Degree of Symptoms'!$J$13:$K$22,2)</f>
        <v>5</v>
      </c>
      <c r="D220" s="12">
        <f>VLOOKUP('Tabelle 1'!D242,'Degree of Symptoms'!$J$26:$K$30,2)</f>
        <v>5</v>
      </c>
      <c r="E220" s="17">
        <f t="shared" si="11"/>
        <v>5</v>
      </c>
      <c r="G220" s="33"/>
      <c r="H220" s="33"/>
      <c r="I220" s="33"/>
    </row>
    <row r="221" spans="1:9" x14ac:dyDescent="0.25">
      <c r="A221" s="12">
        <v>10</v>
      </c>
      <c r="B221" s="12">
        <f>VLOOKUP('Tabelle 1'!B243,'Degree of Symptoms'!$J$9:$K$13,2)</f>
        <v>5</v>
      </c>
      <c r="C221" s="12">
        <f>VLOOKUP('Tabelle 1'!C243,'Degree of Symptoms'!$J$13:$K$22,2)</f>
        <v>5</v>
      </c>
      <c r="D221" s="12">
        <f>VLOOKUP('Tabelle 1'!D243,'Degree of Symptoms'!$J$26:$K$30,2)</f>
        <v>5</v>
      </c>
      <c r="E221" s="17">
        <f t="shared" si="11"/>
        <v>5</v>
      </c>
      <c r="G221" s="33"/>
      <c r="H221" s="2"/>
      <c r="I221" s="2"/>
    </row>
    <row r="222" spans="1:9" x14ac:dyDescent="0.25">
      <c r="A222" s="12">
        <v>11</v>
      </c>
      <c r="B222" s="12">
        <f>VLOOKUP('Tabelle 1'!B244,'Degree of Symptoms'!$J$9:$K$13,2)</f>
        <v>5</v>
      </c>
      <c r="C222" s="12">
        <f>VLOOKUP('Tabelle 1'!C244,'Degree of Symptoms'!$J$13:$K$22,2)</f>
        <v>5</v>
      </c>
      <c r="D222" s="12">
        <f>VLOOKUP('Tabelle 1'!D244,'Degree of Symptoms'!$J$26:$K$30,2)</f>
        <v>5</v>
      </c>
      <c r="E222" s="17">
        <f t="shared" si="11"/>
        <v>5</v>
      </c>
      <c r="G222" s="33"/>
      <c r="H222" s="2"/>
      <c r="I222" s="2"/>
    </row>
    <row r="223" spans="1:9" x14ac:dyDescent="0.25">
      <c r="A223" s="12">
        <v>12</v>
      </c>
      <c r="B223" s="12">
        <f>VLOOKUP('Tabelle 1'!B245,'Degree of Symptoms'!$J$9:$K$13,2)</f>
        <v>5</v>
      </c>
      <c r="C223" s="12">
        <f>VLOOKUP('Tabelle 1'!C245,'Degree of Symptoms'!$J$13:$K$22,2)</f>
        <v>5</v>
      </c>
      <c r="D223" s="12">
        <f>VLOOKUP('Tabelle 1'!D245,'Degree of Symptoms'!$J$26:$K$30,2)</f>
        <v>5</v>
      </c>
      <c r="E223" s="17">
        <f t="shared" si="11"/>
        <v>5</v>
      </c>
      <c r="G223" s="33"/>
      <c r="H223" s="2"/>
      <c r="I223" s="2"/>
    </row>
    <row r="224" spans="1:9" x14ac:dyDescent="0.25">
      <c r="A224" s="12">
        <v>13</v>
      </c>
      <c r="B224" s="12">
        <f>VLOOKUP('Tabelle 1'!B246,'Degree of Symptoms'!$J$9:$K$13,2)</f>
        <v>5</v>
      </c>
      <c r="C224" s="12">
        <f>VLOOKUP('Tabelle 1'!C246,'Degree of Symptoms'!$J$13:$K$22,2)</f>
        <v>5</v>
      </c>
      <c r="D224" s="12">
        <f>VLOOKUP('Tabelle 1'!D246,'Degree of Symptoms'!$J$26:$K$30,2)</f>
        <v>5</v>
      </c>
      <c r="E224" s="17">
        <f t="shared" si="11"/>
        <v>5</v>
      </c>
      <c r="G224" s="33"/>
      <c r="H224" s="2"/>
      <c r="I224" s="2"/>
    </row>
    <row r="225" spans="1:9" x14ac:dyDescent="0.25">
      <c r="A225" s="12">
        <v>14</v>
      </c>
      <c r="B225" s="12">
        <f>VLOOKUP('Tabelle 1'!B247,'Degree of Symptoms'!$J$9:$K$13,2)</f>
        <v>5</v>
      </c>
      <c r="C225" s="12">
        <f>VLOOKUP('Tabelle 1'!C247,'Degree of Symptoms'!$J$13:$K$22,2)</f>
        <v>5</v>
      </c>
      <c r="D225" s="12">
        <f>VLOOKUP('Tabelle 1'!D247,'Degree of Symptoms'!$J$26:$K$30,2)</f>
        <v>5</v>
      </c>
      <c r="E225" s="17">
        <f t="shared" si="11"/>
        <v>5</v>
      </c>
      <c r="G225" s="33"/>
      <c r="H225" s="2"/>
      <c r="I225" s="2"/>
    </row>
    <row r="226" spans="1:9" x14ac:dyDescent="0.25">
      <c r="A226" s="12">
        <v>15</v>
      </c>
      <c r="B226" s="12">
        <f>VLOOKUP('Tabelle 1'!B248,'Degree of Symptoms'!$J$9:$K$13,2)</f>
        <v>5</v>
      </c>
      <c r="C226" s="12">
        <f>VLOOKUP('Tabelle 1'!C248,'Degree of Symptoms'!$J$13:$K$22,2)</f>
        <v>5</v>
      </c>
      <c r="D226" s="12">
        <f>VLOOKUP('Tabelle 1'!D248,'Degree of Symptoms'!$J$26:$K$30,2)</f>
        <v>5</v>
      </c>
      <c r="E226" s="17">
        <f t="shared" si="11"/>
        <v>5</v>
      </c>
    </row>
    <row r="227" spans="1:9" x14ac:dyDescent="0.25">
      <c r="A227" s="12"/>
      <c r="B227" s="12"/>
      <c r="C227" s="12"/>
      <c r="D227" s="12"/>
      <c r="E227" s="17"/>
      <c r="F227" s="2" t="s">
        <v>12</v>
      </c>
    </row>
    <row r="228" spans="1:9" x14ac:dyDescent="0.25">
      <c r="A228" s="19" t="s">
        <v>48</v>
      </c>
      <c r="B228" s="12">
        <f>AVERAGE(B212:B226)</f>
        <v>5</v>
      </c>
      <c r="C228" s="12">
        <f>AVERAGE(C212:C226)</f>
        <v>5</v>
      </c>
      <c r="D228" s="12">
        <f>AVERAGE(D212:D226)</f>
        <v>5</v>
      </c>
      <c r="E228" s="17">
        <f>AVERAGE(E212:E226)</f>
        <v>5</v>
      </c>
      <c r="F228" s="2">
        <f>'Tabelle 1'!F250</f>
        <v>15</v>
      </c>
    </row>
    <row r="229" spans="1:9" x14ac:dyDescent="0.25">
      <c r="A229" s="19" t="s">
        <v>49</v>
      </c>
      <c r="B229" s="12">
        <f>STDEV(B212:B226)</f>
        <v>0</v>
      </c>
      <c r="C229" s="12">
        <f>STDEV(C212:C226)</f>
        <v>0</v>
      </c>
      <c r="D229" s="12">
        <f>STDEV(D212:D226)</f>
        <v>0</v>
      </c>
      <c r="E229" s="17">
        <f>STDEV(E212:E226)</f>
        <v>0</v>
      </c>
    </row>
    <row r="232" spans="1:9" x14ac:dyDescent="0.25">
      <c r="A232" s="19">
        <f>'Tabelle 1'!A253</f>
        <v>12</v>
      </c>
      <c r="B232" s="19" t="s">
        <v>36</v>
      </c>
      <c r="C232" s="19" t="s">
        <v>37</v>
      </c>
      <c r="D232" s="19" t="s">
        <v>38</v>
      </c>
      <c r="E232" s="19" t="s">
        <v>39</v>
      </c>
      <c r="H232" s="33" t="s">
        <v>40</v>
      </c>
    </row>
    <row r="233" spans="1:9" x14ac:dyDescent="0.25">
      <c r="A233" s="12">
        <v>1</v>
      </c>
      <c r="B233" s="12">
        <f>VLOOKUP('Tabelle 1'!B255,'Degree of Symptoms'!$J$9:$K$13,2)</f>
        <v>5</v>
      </c>
      <c r="C233" s="12">
        <f>VLOOKUP('Tabelle 1'!C255,'Degree of Symptoms'!$J$13:$K$22,2)</f>
        <v>5</v>
      </c>
      <c r="D233" s="12">
        <f>VLOOKUP('Tabelle 1'!D255,'Degree of Symptoms'!$J$26:$K$30,2)</f>
        <v>5</v>
      </c>
      <c r="E233" s="17">
        <f t="shared" ref="E233:E247" si="12">AVERAGE(B233:D233)</f>
        <v>5</v>
      </c>
      <c r="G233" s="34" t="s">
        <v>41</v>
      </c>
      <c r="H233" s="1">
        <f>COUNTIFS($E$233:$E$247,"&lt;1,99",$E$233:$E$247,"&gt;=1")</f>
        <v>0</v>
      </c>
    </row>
    <row r="234" spans="1:9" x14ac:dyDescent="0.25">
      <c r="A234" s="12">
        <v>2</v>
      </c>
      <c r="B234" s="12">
        <f>VLOOKUP('Tabelle 1'!B256,'Degree of Symptoms'!$J$9:$K$13,2)</f>
        <v>5</v>
      </c>
      <c r="C234" s="12">
        <f>VLOOKUP('Tabelle 1'!C256,'Degree of Symptoms'!$J$13:$K$22,2)</f>
        <v>5</v>
      </c>
      <c r="D234" s="12">
        <f>VLOOKUP('Tabelle 1'!D256,'Degree of Symptoms'!$J$26:$K$30,2)</f>
        <v>5</v>
      </c>
      <c r="E234" s="17">
        <f t="shared" si="12"/>
        <v>5</v>
      </c>
      <c r="G234" s="34" t="s">
        <v>42</v>
      </c>
      <c r="H234" s="1">
        <f>COUNTIFS($E$233:$E$247,"&lt;2,99",$E$233:$E$247,"&gt;=2")</f>
        <v>0</v>
      </c>
    </row>
    <row r="235" spans="1:9" x14ac:dyDescent="0.25">
      <c r="A235" s="12">
        <v>3</v>
      </c>
      <c r="B235" s="12">
        <f>VLOOKUP('Tabelle 1'!B257,'Degree of Symptoms'!$J$9:$K$13,2)</f>
        <v>5</v>
      </c>
      <c r="C235" s="12">
        <f>VLOOKUP('Tabelle 1'!C257,'Degree of Symptoms'!$J$13:$K$22,2)</f>
        <v>5</v>
      </c>
      <c r="D235" s="12">
        <f>VLOOKUP('Tabelle 1'!D257,'Degree of Symptoms'!$J$26:$K$30,2)</f>
        <v>5</v>
      </c>
      <c r="E235" s="17">
        <f t="shared" si="12"/>
        <v>5</v>
      </c>
      <c r="G235" s="34" t="s">
        <v>44</v>
      </c>
      <c r="H235" s="1">
        <f>COUNTIFS($E$233:$E$247,"&lt;3,99",$E$233:$E$247,"&gt;=3")</f>
        <v>0</v>
      </c>
    </row>
    <row r="236" spans="1:9" x14ac:dyDescent="0.25">
      <c r="A236" s="12">
        <v>4</v>
      </c>
      <c r="B236" s="12">
        <f>VLOOKUP('Tabelle 1'!B258,'Degree of Symptoms'!$J$9:$K$13,2)</f>
        <v>5</v>
      </c>
      <c r="C236" s="12">
        <f>VLOOKUP('Tabelle 1'!C258,'Degree of Symptoms'!$J$13:$K$22,2)</f>
        <v>5</v>
      </c>
      <c r="D236" s="12">
        <f>VLOOKUP('Tabelle 1'!D258,'Degree of Symptoms'!$J$26:$K$30,2)</f>
        <v>5</v>
      </c>
      <c r="E236" s="17">
        <f t="shared" si="12"/>
        <v>5</v>
      </c>
      <c r="G236" s="34" t="s">
        <v>46</v>
      </c>
      <c r="H236" s="1">
        <f>COUNTIFS($E$233:$E$247,"&lt;4,99",$E$233:$E$247,"&gt;=4")</f>
        <v>0</v>
      </c>
    </row>
    <row r="237" spans="1:9" x14ac:dyDescent="0.25">
      <c r="A237" s="12">
        <v>5</v>
      </c>
      <c r="B237" s="12">
        <f>VLOOKUP('Tabelle 1'!B259,'Degree of Symptoms'!$J$9:$K$13,2)</f>
        <v>5</v>
      </c>
      <c r="C237" s="12">
        <f>VLOOKUP('Tabelle 1'!C259,'Degree of Symptoms'!$J$13:$K$22,2)</f>
        <v>5</v>
      </c>
      <c r="D237" s="12">
        <f>VLOOKUP('Tabelle 1'!D259,'Degree of Symptoms'!$J$26:$K$30,2)</f>
        <v>5</v>
      </c>
      <c r="E237" s="17">
        <f t="shared" si="12"/>
        <v>5</v>
      </c>
      <c r="G237" s="34">
        <v>5</v>
      </c>
      <c r="H237" s="1">
        <f>COUNTIF($E$233:$E$247,"&gt;=5")</f>
        <v>15</v>
      </c>
    </row>
    <row r="238" spans="1:9" x14ac:dyDescent="0.25">
      <c r="A238" s="12">
        <v>6</v>
      </c>
      <c r="B238" s="12">
        <f>VLOOKUP('Tabelle 1'!B260,'Degree of Symptoms'!$J$9:$K$13,2)</f>
        <v>5</v>
      </c>
      <c r="C238" s="12">
        <f>VLOOKUP('Tabelle 1'!C260,'Degree of Symptoms'!$J$13:$K$22,2)</f>
        <v>5</v>
      </c>
      <c r="D238" s="12">
        <f>VLOOKUP('Tabelle 1'!D260,'Degree of Symptoms'!$J$26:$K$30,2)</f>
        <v>5</v>
      </c>
      <c r="E238" s="17">
        <f t="shared" si="12"/>
        <v>5</v>
      </c>
      <c r="H238" s="1">
        <f>SUM(H233:H237)</f>
        <v>15</v>
      </c>
    </row>
    <row r="239" spans="1:9" x14ac:dyDescent="0.25">
      <c r="A239" s="12">
        <v>7</v>
      </c>
      <c r="B239" s="12">
        <f>VLOOKUP('Tabelle 1'!B261,'Degree of Symptoms'!$J$9:$K$13,2)</f>
        <v>5</v>
      </c>
      <c r="C239" s="12">
        <f>VLOOKUP('Tabelle 1'!C261,'Degree of Symptoms'!$J$13:$K$22,2)</f>
        <v>5</v>
      </c>
      <c r="D239" s="12">
        <f>VLOOKUP('Tabelle 1'!D261,'Degree of Symptoms'!$J$26:$K$30,2)</f>
        <v>5</v>
      </c>
      <c r="E239" s="17">
        <f t="shared" si="12"/>
        <v>5</v>
      </c>
    </row>
    <row r="240" spans="1:9" x14ac:dyDescent="0.25">
      <c r="A240" s="12">
        <v>8</v>
      </c>
      <c r="B240" s="12">
        <f>VLOOKUP('Tabelle 1'!B262,'Degree of Symptoms'!$J$9:$K$13,2)</f>
        <v>5</v>
      </c>
      <c r="C240" s="12">
        <f>VLOOKUP('Tabelle 1'!C262,'Degree of Symptoms'!$J$13:$K$22,2)</f>
        <v>5</v>
      </c>
      <c r="D240" s="12">
        <f>VLOOKUP('Tabelle 1'!D262,'Degree of Symptoms'!$J$26:$K$30,2)</f>
        <v>5</v>
      </c>
      <c r="E240" s="17">
        <f t="shared" si="12"/>
        <v>5</v>
      </c>
    </row>
    <row r="241" spans="1:9" x14ac:dyDescent="0.25">
      <c r="A241" s="12">
        <v>9</v>
      </c>
      <c r="B241" s="12">
        <f>VLOOKUP('Tabelle 1'!B263,'Degree of Symptoms'!$J$9:$K$13,2)</f>
        <v>5</v>
      </c>
      <c r="C241" s="12">
        <f>VLOOKUP('Tabelle 1'!C263,'Degree of Symptoms'!$J$13:$K$22,2)</f>
        <v>5</v>
      </c>
      <c r="D241" s="12">
        <f>VLOOKUP('Tabelle 1'!D263,'Degree of Symptoms'!$J$26:$K$30,2)</f>
        <v>5</v>
      </c>
      <c r="E241" s="17">
        <f t="shared" si="12"/>
        <v>5</v>
      </c>
      <c r="G241" s="33"/>
      <c r="H241" s="33"/>
      <c r="I241" s="33"/>
    </row>
    <row r="242" spans="1:9" x14ac:dyDescent="0.25">
      <c r="A242" s="12">
        <v>10</v>
      </c>
      <c r="B242" s="12">
        <f>VLOOKUP('Tabelle 1'!B264,'Degree of Symptoms'!$J$9:$K$13,2)</f>
        <v>5</v>
      </c>
      <c r="C242" s="12">
        <f>VLOOKUP('Tabelle 1'!C264,'Degree of Symptoms'!$J$13:$K$22,2)</f>
        <v>5</v>
      </c>
      <c r="D242" s="12">
        <f>VLOOKUP('Tabelle 1'!D264,'Degree of Symptoms'!$J$26:$K$30,2)</f>
        <v>5</v>
      </c>
      <c r="E242" s="17">
        <f t="shared" si="12"/>
        <v>5</v>
      </c>
      <c r="G242" s="33"/>
      <c r="H242" s="2"/>
      <c r="I242" s="2"/>
    </row>
    <row r="243" spans="1:9" x14ac:dyDescent="0.25">
      <c r="A243" s="12">
        <v>11</v>
      </c>
      <c r="B243" s="12">
        <f>VLOOKUP('Tabelle 1'!B265,'Degree of Symptoms'!$J$9:$K$13,2)</f>
        <v>5</v>
      </c>
      <c r="C243" s="12">
        <f>VLOOKUP('Tabelle 1'!C265,'Degree of Symptoms'!$J$13:$K$22,2)</f>
        <v>5</v>
      </c>
      <c r="D243" s="12">
        <f>VLOOKUP('Tabelle 1'!D265,'Degree of Symptoms'!$J$26:$K$30,2)</f>
        <v>5</v>
      </c>
      <c r="E243" s="17">
        <f t="shared" si="12"/>
        <v>5</v>
      </c>
      <c r="G243" s="33"/>
      <c r="H243" s="2"/>
      <c r="I243" s="2"/>
    </row>
    <row r="244" spans="1:9" x14ac:dyDescent="0.25">
      <c r="A244" s="12">
        <v>12</v>
      </c>
      <c r="B244" s="12">
        <f>VLOOKUP('Tabelle 1'!B266,'Degree of Symptoms'!$J$9:$K$13,2)</f>
        <v>5</v>
      </c>
      <c r="C244" s="12">
        <f>VLOOKUP('Tabelle 1'!C266,'Degree of Symptoms'!$J$13:$K$22,2)</f>
        <v>5</v>
      </c>
      <c r="D244" s="12">
        <f>VLOOKUP('Tabelle 1'!D266,'Degree of Symptoms'!$J$26:$K$30,2)</f>
        <v>5</v>
      </c>
      <c r="E244" s="17">
        <f t="shared" si="12"/>
        <v>5</v>
      </c>
      <c r="G244" s="33"/>
      <c r="H244" s="2"/>
      <c r="I244" s="2"/>
    </row>
    <row r="245" spans="1:9" x14ac:dyDescent="0.25">
      <c r="A245" s="12">
        <v>13</v>
      </c>
      <c r="B245" s="12">
        <f>VLOOKUP('Tabelle 1'!B267,'Degree of Symptoms'!$J$9:$K$13,2)</f>
        <v>5</v>
      </c>
      <c r="C245" s="12">
        <f>VLOOKUP('Tabelle 1'!C267,'Degree of Symptoms'!$J$13:$K$22,2)</f>
        <v>5</v>
      </c>
      <c r="D245" s="12">
        <f>VLOOKUP('Tabelle 1'!D267,'Degree of Symptoms'!$J$26:$K$30,2)</f>
        <v>5</v>
      </c>
      <c r="E245" s="17">
        <f t="shared" si="12"/>
        <v>5</v>
      </c>
      <c r="G245" s="33"/>
      <c r="H245" s="2"/>
      <c r="I245" s="2"/>
    </row>
    <row r="246" spans="1:9" x14ac:dyDescent="0.25">
      <c r="A246" s="12">
        <v>14</v>
      </c>
      <c r="B246" s="12">
        <f>VLOOKUP('Tabelle 1'!B268,'Degree of Symptoms'!$J$9:$K$13,2)</f>
        <v>5</v>
      </c>
      <c r="C246" s="12">
        <f>VLOOKUP('Tabelle 1'!C268,'Degree of Symptoms'!$J$13:$K$22,2)</f>
        <v>5</v>
      </c>
      <c r="D246" s="12">
        <f>VLOOKUP('Tabelle 1'!D268,'Degree of Symptoms'!$J$26:$K$30,2)</f>
        <v>5</v>
      </c>
      <c r="E246" s="17">
        <f t="shared" si="12"/>
        <v>5</v>
      </c>
      <c r="G246" s="33"/>
      <c r="H246" s="2"/>
      <c r="I246" s="2"/>
    </row>
    <row r="247" spans="1:9" x14ac:dyDescent="0.25">
      <c r="A247" s="12">
        <v>15</v>
      </c>
      <c r="B247" s="12">
        <f>VLOOKUP('Tabelle 1'!B269,'Degree of Symptoms'!$J$9:$K$13,2)</f>
        <v>5</v>
      </c>
      <c r="C247" s="12">
        <f>VLOOKUP('Tabelle 1'!C269,'Degree of Symptoms'!$J$13:$K$22,2)</f>
        <v>5</v>
      </c>
      <c r="D247" s="12">
        <f>VLOOKUP('Tabelle 1'!D269,'Degree of Symptoms'!$J$26:$K$30,2)</f>
        <v>5</v>
      </c>
      <c r="E247" s="17">
        <f t="shared" si="12"/>
        <v>5</v>
      </c>
    </row>
    <row r="248" spans="1:9" x14ac:dyDescent="0.25">
      <c r="A248" s="12"/>
      <c r="B248" s="12"/>
      <c r="C248" s="12"/>
      <c r="D248" s="12"/>
      <c r="E248" s="17"/>
      <c r="F248" s="2" t="s">
        <v>12</v>
      </c>
    </row>
    <row r="249" spans="1:9" x14ac:dyDescent="0.25">
      <c r="A249" s="19" t="s">
        <v>48</v>
      </c>
      <c r="B249" s="12">
        <f>AVERAGE(B233:B247)</f>
        <v>5</v>
      </c>
      <c r="C249" s="12">
        <f>AVERAGE(C233:C247)</f>
        <v>5</v>
      </c>
      <c r="D249" s="12">
        <f>AVERAGE(D233:D247)</f>
        <v>5</v>
      </c>
      <c r="E249" s="17">
        <f>AVERAGE(E233:E247)</f>
        <v>5</v>
      </c>
      <c r="F249" s="2">
        <f>'Tabelle 1'!F271</f>
        <v>15</v>
      </c>
    </row>
    <row r="250" spans="1:9" x14ac:dyDescent="0.25">
      <c r="A250" s="19" t="s">
        <v>49</v>
      </c>
      <c r="B250" s="12">
        <f>STDEV(B233:B247)</f>
        <v>0</v>
      </c>
      <c r="C250" s="12">
        <f>STDEV(C233:C247)</f>
        <v>0</v>
      </c>
      <c r="D250" s="12">
        <f>STDEV(D233:D247)</f>
        <v>0</v>
      </c>
      <c r="E250" s="17">
        <f>STDEV(E233:E247)</f>
        <v>0</v>
      </c>
    </row>
    <row r="251" spans="1:9" x14ac:dyDescent="0.25">
      <c r="E251" s="14"/>
    </row>
    <row r="252" spans="1:9" x14ac:dyDescent="0.25">
      <c r="E252" s="14"/>
    </row>
    <row r="253" spans="1:9" x14ac:dyDescent="0.25">
      <c r="E253" s="14"/>
    </row>
    <row r="254" spans="1:9" x14ac:dyDescent="0.25">
      <c r="E254" s="14"/>
    </row>
    <row r="255" spans="1:9" x14ac:dyDescent="0.25">
      <c r="E255" s="14"/>
    </row>
    <row r="256" spans="1:9" x14ac:dyDescent="0.25">
      <c r="E256" s="14"/>
    </row>
    <row r="257" spans="5:5" x14ac:dyDescent="0.25">
      <c r="E257" s="14"/>
    </row>
    <row r="258" spans="5:5" x14ac:dyDescent="0.25">
      <c r="E258" s="14"/>
    </row>
    <row r="259" spans="5:5" x14ac:dyDescent="0.25">
      <c r="E259" s="14"/>
    </row>
    <row r="260" spans="5:5" x14ac:dyDescent="0.25">
      <c r="E260" s="14"/>
    </row>
    <row r="261" spans="5:5" x14ac:dyDescent="0.25">
      <c r="E261" s="14"/>
    </row>
    <row r="262" spans="5:5" x14ac:dyDescent="0.25">
      <c r="E262" s="14"/>
    </row>
    <row r="263" spans="5:5" x14ac:dyDescent="0.25">
      <c r="E263" s="14"/>
    </row>
    <row r="264" spans="5:5" x14ac:dyDescent="0.25">
      <c r="E264" s="14"/>
    </row>
    <row r="265" spans="5:5" x14ac:dyDescent="0.25">
      <c r="E265" s="14"/>
    </row>
    <row r="266" spans="5:5" x14ac:dyDescent="0.25">
      <c r="E266" s="14"/>
    </row>
    <row r="267" spans="5:5" x14ac:dyDescent="0.25">
      <c r="E267" s="14"/>
    </row>
    <row r="268" spans="5:5" x14ac:dyDescent="0.25">
      <c r="E268" s="14"/>
    </row>
    <row r="269" spans="5:5" x14ac:dyDescent="0.25">
      <c r="E269" s="14"/>
    </row>
  </sheetData>
  <sheetProtection selectLockedCells="1" selectUnlockedCells="1"/>
  <pageMargins left="0.7" right="0.7" top="0.78749999999999998" bottom="0.78749999999999998" header="0.51180555555555551" footer="0.51180555555555551"/>
  <pageSetup paperSize="9" firstPageNumber="0" orientation="portrait" horizontalDpi="300" verticalDpi="300"/>
  <headerFooter alignWithMargins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Tabelle 1</vt:lpstr>
      <vt:lpstr>Summary</vt:lpstr>
      <vt:lpstr>Degree of Symptoms</vt:lpstr>
      <vt:lpstr>Diagramm con</vt:lpstr>
      <vt:lpstr>Tabelle1 (con)</vt:lpstr>
      <vt:lpstr>Tabelle1 (sin)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Chavez Rodriguez, Luciana</cp:lastModifiedBy>
  <dcterms:modified xsi:type="dcterms:W3CDTF">2025-06-22T15:48:30Z</dcterms:modified>
</cp:coreProperties>
</file>