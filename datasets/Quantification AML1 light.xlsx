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ia\OneDrive - Wageningen University &amp; Research\UCI_projects\Project_8 (Reviews)\Family\Pere\doctorado\datasets\"/>
    </mc:Choice>
  </mc:AlternateContent>
  <xr:revisionPtr revIDLastSave="0" documentId="13_ncr:1_{7673ADDF-6B2D-4860-A7D4-B3A83F21C10B}" xr6:coauthVersionLast="47" xr6:coauthVersionMax="47" xr10:uidLastSave="{00000000-0000-0000-0000-000000000000}"/>
  <bookViews>
    <workbookView xWindow="-108" yWindow="-108" windowWidth="23256" windowHeight="12456" activeTab="3" xr2:uid="{855ABFB9-E5B8-4F45-9060-84DA7EEEF79A}"/>
  </bookViews>
  <sheets>
    <sheet name="Inner circle" sheetId="1" r:id="rId1"/>
    <sheet name="Three circles" sheetId="2" r:id="rId2"/>
    <sheet name="Normalization" sheetId="3" r:id="rId3"/>
    <sheet name="ESTADISTICAA" sheetId="5" r:id="rId4"/>
    <sheet name="Data + Julia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1" i="3" l="1"/>
  <c r="T17" i="3"/>
  <c r="T7" i="3"/>
  <c r="T13" i="3"/>
  <c r="H7" i="4"/>
  <c r="H6" i="4"/>
  <c r="H5" i="4"/>
  <c r="H4" i="4"/>
  <c r="G7" i="4"/>
  <c r="G6" i="4"/>
  <c r="G5" i="4"/>
  <c r="G4" i="4"/>
  <c r="T10" i="3"/>
  <c r="P5" i="3"/>
  <c r="P6" i="3"/>
  <c r="P7" i="3"/>
  <c r="P4" i="3"/>
  <c r="O5" i="3"/>
  <c r="O6" i="3"/>
  <c r="O7" i="3"/>
  <c r="O4" i="3"/>
  <c r="T15" i="3" s="1"/>
  <c r="G19" i="3"/>
  <c r="F19" i="3"/>
  <c r="T19" i="3" s="1"/>
  <c r="G18" i="3"/>
  <c r="F18" i="3"/>
  <c r="T18" i="3" s="1"/>
  <c r="G17" i="3"/>
  <c r="F17" i="3"/>
  <c r="G16" i="3"/>
  <c r="F16" i="3"/>
  <c r="G15" i="3"/>
  <c r="F15" i="3"/>
  <c r="G14" i="3"/>
  <c r="F14" i="3"/>
  <c r="G13" i="3"/>
  <c r="F13" i="3"/>
  <c r="G12" i="3"/>
  <c r="F12" i="3"/>
  <c r="G11" i="3"/>
  <c r="F11" i="3"/>
  <c r="G10" i="3"/>
  <c r="F10" i="3"/>
  <c r="G9" i="3"/>
  <c r="F9" i="3"/>
  <c r="T9" i="3" s="1"/>
  <c r="G8" i="3"/>
  <c r="F8" i="3"/>
  <c r="T8" i="3" s="1"/>
  <c r="G7" i="3"/>
  <c r="F7" i="3"/>
  <c r="G6" i="3"/>
  <c r="F6" i="3"/>
  <c r="T6" i="3" s="1"/>
  <c r="G5" i="3"/>
  <c r="F5" i="3"/>
  <c r="T5" i="3" s="1"/>
  <c r="G4" i="3"/>
  <c r="F4" i="3"/>
  <c r="T4" i="3" s="1"/>
  <c r="Y4" i="3" s="1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3" i="2"/>
  <c r="H19" i="2"/>
  <c r="H39" i="2"/>
  <c r="F27" i="2"/>
  <c r="H27" i="2" s="1"/>
  <c r="F28" i="2"/>
  <c r="H28" i="2" s="1"/>
  <c r="F29" i="2"/>
  <c r="H29" i="2" s="1"/>
  <c r="F30" i="2"/>
  <c r="H30" i="2" s="1"/>
  <c r="F31" i="2"/>
  <c r="H31" i="2" s="1"/>
  <c r="F32" i="2"/>
  <c r="H32" i="2" s="1"/>
  <c r="F33" i="2"/>
  <c r="H33" i="2" s="1"/>
  <c r="F34" i="2"/>
  <c r="H34" i="2" s="1"/>
  <c r="F35" i="2"/>
  <c r="H35" i="2" s="1"/>
  <c r="F36" i="2"/>
  <c r="H36" i="2" s="1"/>
  <c r="F37" i="2"/>
  <c r="H37" i="2" s="1"/>
  <c r="F38" i="2"/>
  <c r="H38" i="2" s="1"/>
  <c r="F39" i="2"/>
  <c r="F40" i="2"/>
  <c r="H40" i="2" s="1"/>
  <c r="F41" i="2"/>
  <c r="H41" i="2" s="1"/>
  <c r="F42" i="2"/>
  <c r="H42" i="2" s="1"/>
  <c r="F43" i="2"/>
  <c r="H43" i="2" s="1"/>
  <c r="F44" i="2"/>
  <c r="H44" i="2" s="1"/>
  <c r="F45" i="2"/>
  <c r="H45" i="2" s="1"/>
  <c r="F46" i="2"/>
  <c r="H46" i="2" s="1"/>
  <c r="F47" i="2"/>
  <c r="H47" i="2" s="1"/>
  <c r="F48" i="2"/>
  <c r="H48" i="2" s="1"/>
  <c r="F49" i="2"/>
  <c r="H49" i="2" s="1"/>
  <c r="F50" i="2"/>
  <c r="H50" i="2" s="1"/>
  <c r="F4" i="2"/>
  <c r="H4" i="2" s="1"/>
  <c r="F5" i="2"/>
  <c r="H5" i="2" s="1"/>
  <c r="F6" i="2"/>
  <c r="H6" i="2" s="1"/>
  <c r="F7" i="2"/>
  <c r="H7" i="2" s="1"/>
  <c r="F8" i="2"/>
  <c r="H8" i="2" s="1"/>
  <c r="F9" i="2"/>
  <c r="H9" i="2" s="1"/>
  <c r="F10" i="2"/>
  <c r="H10" i="2" s="1"/>
  <c r="F11" i="2"/>
  <c r="H11" i="2" s="1"/>
  <c r="F12" i="2"/>
  <c r="H12" i="2" s="1"/>
  <c r="F13" i="2"/>
  <c r="H13" i="2" s="1"/>
  <c r="F14" i="2"/>
  <c r="H14" i="2" s="1"/>
  <c r="F15" i="2"/>
  <c r="H15" i="2" s="1"/>
  <c r="F16" i="2"/>
  <c r="H16" i="2" s="1"/>
  <c r="F17" i="2"/>
  <c r="H17" i="2" s="1"/>
  <c r="F18" i="2"/>
  <c r="H18" i="2" s="1"/>
  <c r="F19" i="2"/>
  <c r="F20" i="2"/>
  <c r="H20" i="2" s="1"/>
  <c r="F21" i="2"/>
  <c r="H21" i="2" s="1"/>
  <c r="F22" i="2"/>
  <c r="H22" i="2" s="1"/>
  <c r="F23" i="2"/>
  <c r="H23" i="2" s="1"/>
  <c r="F24" i="2"/>
  <c r="H24" i="2" s="1"/>
  <c r="F25" i="2"/>
  <c r="H25" i="2" s="1"/>
  <c r="F26" i="2"/>
  <c r="H26" i="2" s="1"/>
  <c r="F3" i="2"/>
  <c r="H3" i="2" s="1"/>
  <c r="Y5" i="3" l="1"/>
  <c r="X5" i="3"/>
  <c r="T16" i="3"/>
  <c r="T12" i="3"/>
  <c r="T14" i="3"/>
  <c r="Y6" i="3"/>
  <c r="X6" i="3"/>
  <c r="X4" i="3"/>
  <c r="Y7" i="3" l="1"/>
  <c r="X7" i="3"/>
</calcChain>
</file>

<file path=xl/sharedStrings.xml><?xml version="1.0" encoding="utf-8"?>
<sst xmlns="http://schemas.openxmlformats.org/spreadsheetml/2006/main" count="244" uniqueCount="102">
  <si>
    <t xml:space="preserve"> </t>
  </si>
  <si>
    <t>Area</t>
  </si>
  <si>
    <t>Mean</t>
  </si>
  <si>
    <t>Min</t>
  </si>
  <si>
    <t>Max</t>
  </si>
  <si>
    <t>WTa-1</t>
  </si>
  <si>
    <t>WTa-2</t>
  </si>
  <si>
    <t>WTa-3</t>
  </si>
  <si>
    <t>WTb-1</t>
  </si>
  <si>
    <t>WTb-2</t>
  </si>
  <si>
    <t>WTb-3</t>
  </si>
  <si>
    <t>WTc-1</t>
  </si>
  <si>
    <t>WTc-2</t>
  </si>
  <si>
    <t>WTc-3</t>
  </si>
  <si>
    <t>WTd-1</t>
  </si>
  <si>
    <t>WTd-2</t>
  </si>
  <si>
    <t>WTd-3</t>
  </si>
  <si>
    <t>ΔAML1 c2 1-1</t>
  </si>
  <si>
    <t>ΔAML1 c2 1-2</t>
  </si>
  <si>
    <t>ΔAML1 c2 1-3</t>
  </si>
  <si>
    <t>ΔAML1 c2 2-1</t>
  </si>
  <si>
    <t>ΔAML1 c2 2-2</t>
  </si>
  <si>
    <t>ΔAML1 c2 2-3</t>
  </si>
  <si>
    <t>ΔAML1 c3 1-1</t>
  </si>
  <si>
    <t>ΔAML1 c3 1-2</t>
  </si>
  <si>
    <t>ΔAML1 c3 1-3</t>
  </si>
  <si>
    <t>ΔAML1 c3 2-1</t>
  </si>
  <si>
    <t>ΔAML1 c3 2-2</t>
  </si>
  <si>
    <t>ΔAML1 c3 2-3</t>
  </si>
  <si>
    <t>comp.AML1 c2 1-1</t>
  </si>
  <si>
    <t>comp.AML1 c2 1-2</t>
  </si>
  <si>
    <t>comp.AML1 c2 1-3</t>
  </si>
  <si>
    <t>comp.AML1 c2 2-1</t>
  </si>
  <si>
    <t>comp.AML1 c2 2-2</t>
  </si>
  <si>
    <t>comp.AML1 c2 2-3</t>
  </si>
  <si>
    <t>comp.AML1 c10 1-1</t>
  </si>
  <si>
    <t>comp.AML1 c10 1-2</t>
  </si>
  <si>
    <t>comp.AML1 c10 1-3</t>
  </si>
  <si>
    <t>comp.AML1 c10 2-1</t>
  </si>
  <si>
    <t>comp.AML1 c10 2-2</t>
  </si>
  <si>
    <t>comp.AML1 c10 2-3</t>
  </si>
  <si>
    <t>AML1-GFP c12 1-1</t>
  </si>
  <si>
    <t>AML1-GFP c12 1-2</t>
  </si>
  <si>
    <t>AML1-GFP c12 1-3</t>
  </si>
  <si>
    <t>AML1-GFP c12 2-1</t>
  </si>
  <si>
    <t>AML1-GFP c12 2-2</t>
  </si>
  <si>
    <t>AML1-GFP c12 2-3</t>
  </si>
  <si>
    <t>AML1-GFP c14 1-1</t>
  </si>
  <si>
    <t>AML1-GFP c14 1-2</t>
  </si>
  <si>
    <t>AML1-GFP c14 1-3</t>
  </si>
  <si>
    <t>AML1-GFP c14 2-1</t>
  </si>
  <si>
    <t>AML1-GFP c14 2-2</t>
  </si>
  <si>
    <t>AML1-GFP c14 2-3</t>
  </si>
  <si>
    <t>Technical Rep</t>
  </si>
  <si>
    <t>Bright 1</t>
  </si>
  <si>
    <t>Bright 2</t>
  </si>
  <si>
    <t>Bright 3</t>
  </si>
  <si>
    <t>Average</t>
  </si>
  <si>
    <t>Inner Circle</t>
  </si>
  <si>
    <t xml:space="preserve">Normalization </t>
  </si>
  <si>
    <t>Biological Rep</t>
  </si>
  <si>
    <t>Background Mean</t>
  </si>
  <si>
    <t>SD</t>
  </si>
  <si>
    <t>WTa</t>
  </si>
  <si>
    <t>WTb</t>
  </si>
  <si>
    <t>WTc</t>
  </si>
  <si>
    <t>WTd</t>
  </si>
  <si>
    <t>ΔAML1 c2-1</t>
  </si>
  <si>
    <t>ΔAML1 c2-2</t>
  </si>
  <si>
    <t>ΔAML1 c3-1</t>
  </si>
  <si>
    <t>ΔAML1 c3-2</t>
  </si>
  <si>
    <t>comp.AML1 c2-1</t>
  </si>
  <si>
    <t>comp.AML1 c2-2</t>
  </si>
  <si>
    <t>comp.AML1 c10-1</t>
  </si>
  <si>
    <t>comp.AML1 c10-2</t>
  </si>
  <si>
    <t>AML1-GFP c12-1</t>
  </si>
  <si>
    <t>AML1-GFP c12-2</t>
  </si>
  <si>
    <t>AML1-GFP c14-1</t>
  </si>
  <si>
    <t>AML1-GFP c14-2</t>
  </si>
  <si>
    <t>Strain</t>
  </si>
  <si>
    <t>WT</t>
  </si>
  <si>
    <t xml:space="preserve">ΔAML1 </t>
  </si>
  <si>
    <t>comp.AML1</t>
  </si>
  <si>
    <t>AML1-GFP</t>
  </si>
  <si>
    <t>Normalized (Rel to WT)</t>
  </si>
  <si>
    <t>Average (Rel to WT)</t>
  </si>
  <si>
    <t>WT 1</t>
  </si>
  <si>
    <t>WT 2</t>
  </si>
  <si>
    <t>WT 3</t>
  </si>
  <si>
    <t>ΔAML1-1</t>
  </si>
  <si>
    <t>ΔAML1-2</t>
  </si>
  <si>
    <t>ΔAML1-3</t>
  </si>
  <si>
    <t>AML1-C</t>
  </si>
  <si>
    <t>ΔAML1</t>
  </si>
  <si>
    <t xml:space="preserve">AML1-GFP </t>
  </si>
  <si>
    <t>Biological.Rep</t>
  </si>
  <si>
    <t>Normalized</t>
  </si>
  <si>
    <t>Treatment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</si>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</sst>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00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</font>
    <font>
      <sz val="8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0" fontId="18" fillId="0" borderId="0" xfId="0" applyFont="1"/>
    <xf numFmtId="164" fontId="0" fillId="0" borderId="0" xfId="0" applyNumberFormat="1"/>
    <xf numFmtId="165" fontId="0" fillId="0" borderId="0" xfId="0" applyNumberForma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165" fontId="0" fillId="33" borderId="0" xfId="0" applyNumberFormat="1" applyFill="1"/>
    <xf numFmtId="166" fontId="0" fillId="0" borderId="0" xfId="0" applyNumberFormat="1"/>
    <xf numFmtId="0" fontId="0" fillId="34" borderId="0" xfId="0" applyFill="1"/>
    <xf numFmtId="166" fontId="0" fillId="34" borderId="0" xfId="0" applyNumberFormat="1" applyFill="1"/>
    <xf numFmtId="0" fontId="18" fillId="33" borderId="0" xfId="0" applyFont="1" applyFill="1"/>
    <xf numFmtId="166" fontId="0" fillId="33" borderId="0" xfId="0" applyNumberFormat="1" applyFill="1"/>
    <xf numFmtId="0" fontId="0" fillId="35" borderId="0" xfId="0" applyFill="1"/>
    <xf numFmtId="166" fontId="0" fillId="35" borderId="0" xfId="0" applyNumberFormat="1" applyFill="1"/>
    <xf numFmtId="0" fontId="0" fillId="36" borderId="0" xfId="0" applyFill="1"/>
    <xf numFmtId="166" fontId="0" fillId="36" borderId="0" xfId="0" applyNumberFormat="1" applyFill="1"/>
    <xf numFmtId="0" fontId="0" fillId="37" borderId="0" xfId="0" applyFill="1"/>
    <xf numFmtId="166" fontId="0" fillId="37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Normalization!$Y$4:$Y$7</c:f>
                <c:numCache>
                  <c:formatCode>General</c:formatCode>
                  <c:ptCount val="4"/>
                  <c:pt idx="0">
                    <c:v>0.17244016844017793</c:v>
                  </c:pt>
                  <c:pt idx="1">
                    <c:v>7.9300263199132415E-2</c:v>
                  </c:pt>
                  <c:pt idx="2">
                    <c:v>0.12324618551469185</c:v>
                  </c:pt>
                  <c:pt idx="3">
                    <c:v>0.1387150735519215</c:v>
                  </c:pt>
                </c:numCache>
              </c:numRef>
            </c:plus>
            <c:minus>
              <c:numRef>
                <c:f>Normalization!$Y$4:$Y$7</c:f>
                <c:numCache>
                  <c:formatCode>General</c:formatCode>
                  <c:ptCount val="4"/>
                  <c:pt idx="0">
                    <c:v>0.17244016844017793</c:v>
                  </c:pt>
                  <c:pt idx="1">
                    <c:v>7.9300263199132415E-2</c:v>
                  </c:pt>
                  <c:pt idx="2">
                    <c:v>0.12324618551469185</c:v>
                  </c:pt>
                  <c:pt idx="3">
                    <c:v>0.1387150735519215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Normalization!$W$4:$W$7</c:f>
              <c:strCache>
                <c:ptCount val="4"/>
                <c:pt idx="0">
                  <c:v>WT</c:v>
                </c:pt>
                <c:pt idx="1">
                  <c:v>ΔAML1 </c:v>
                </c:pt>
                <c:pt idx="2">
                  <c:v>comp.AML1</c:v>
                </c:pt>
                <c:pt idx="3">
                  <c:v>AML1-GFP</c:v>
                </c:pt>
              </c:strCache>
            </c:strRef>
          </c:cat>
          <c:val>
            <c:numRef>
              <c:f>Normalization!$X$4:$X$7</c:f>
              <c:numCache>
                <c:formatCode>0.000</c:formatCode>
                <c:ptCount val="4"/>
                <c:pt idx="0">
                  <c:v>1</c:v>
                </c:pt>
                <c:pt idx="1">
                  <c:v>0.69156778776076122</c:v>
                </c:pt>
                <c:pt idx="2">
                  <c:v>1.100259012136753</c:v>
                </c:pt>
                <c:pt idx="3">
                  <c:v>0.48368740270896993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22-48FE-9BB0-A806F3C982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3662480"/>
        <c:axId val="1333665360"/>
      </c:barChart>
      <c:catAx>
        <c:axId val="1333662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333665360"/>
        <c:crosses val="autoZero"/>
        <c:auto val="1"/>
        <c:lblAlgn val="ctr"/>
        <c:lblOffset val="100"/>
        <c:noMultiLvlLbl val="0"/>
      </c:catAx>
      <c:valAx>
        <c:axId val="1333665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333662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'Data + Julia'!$H$4:$H$7</c:f>
                <c:numCache>
                  <c:formatCode>General</c:formatCode>
                  <c:ptCount val="4"/>
                  <c:pt idx="0">
                    <c:v>0.13793983878863758</c:v>
                  </c:pt>
                  <c:pt idx="1">
                    <c:v>0.18256482747454988</c:v>
                  </c:pt>
                  <c:pt idx="2">
                    <c:v>0.12324618551469185</c:v>
                  </c:pt>
                  <c:pt idx="3">
                    <c:v>0.1387150735519215</c:v>
                  </c:pt>
                </c:numCache>
              </c:numRef>
            </c:plus>
            <c:minus>
              <c:numRef>
                <c:f>'Data + Julia'!$H$4:$H$7</c:f>
                <c:numCache>
                  <c:formatCode>General</c:formatCode>
                  <c:ptCount val="4"/>
                  <c:pt idx="0">
                    <c:v>0.13793983878863758</c:v>
                  </c:pt>
                  <c:pt idx="1">
                    <c:v>0.18256482747454988</c:v>
                  </c:pt>
                  <c:pt idx="2">
                    <c:v>0.12324618551469185</c:v>
                  </c:pt>
                  <c:pt idx="3">
                    <c:v>0.1387150735519215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'Data + Julia'!$F$4:$F$7</c:f>
              <c:strCache>
                <c:ptCount val="4"/>
                <c:pt idx="0">
                  <c:v>WT</c:v>
                </c:pt>
                <c:pt idx="1">
                  <c:v>ΔAML1 </c:v>
                </c:pt>
                <c:pt idx="2">
                  <c:v>comp.AML1</c:v>
                </c:pt>
                <c:pt idx="3">
                  <c:v>AML1-GFP</c:v>
                </c:pt>
              </c:strCache>
            </c:strRef>
          </c:cat>
          <c:val>
            <c:numRef>
              <c:f>'Data + Julia'!$G$4:$G$7</c:f>
              <c:numCache>
                <c:formatCode>0.000</c:formatCode>
                <c:ptCount val="4"/>
                <c:pt idx="0">
                  <c:v>1</c:v>
                </c:pt>
                <c:pt idx="1">
                  <c:v>0.54303942097803248</c:v>
                </c:pt>
                <c:pt idx="2">
                  <c:v>1.100259012136753</c:v>
                </c:pt>
                <c:pt idx="3">
                  <c:v>0.48368740270896993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81-460B-91D2-BBC3F1B3C5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6936992"/>
        <c:axId val="1576937472"/>
      </c:barChart>
      <c:catAx>
        <c:axId val="1576936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576937472"/>
        <c:crosses val="autoZero"/>
        <c:auto val="1"/>
        <c:lblAlgn val="ctr"/>
        <c:lblOffset val="100"/>
        <c:noMultiLvlLbl val="0"/>
      </c:catAx>
      <c:valAx>
        <c:axId val="1576937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576936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22860</xdr:colOff>
      <xdr:row>9</xdr:row>
      <xdr:rowOff>41910</xdr:rowOff>
    </xdr:from>
    <xdr:to>
      <xdr:col>30</xdr:col>
      <xdr:colOff>15240</xdr:colOff>
      <xdr:row>28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1CC1B6-AEA0-1B1A-04A9-25DB4AA94D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9</xdr:row>
      <xdr:rowOff>3810</xdr:rowOff>
    </xdr:from>
    <xdr:to>
      <xdr:col>12</xdr:col>
      <xdr:colOff>601980</xdr:colOff>
      <xdr:row>28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B0A3DC-9B4F-A5B6-F4FF-7D53E24936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6AA49-DD0E-4756-8607-AD02CF98B2FE}">
  <dimension ref="A1:E49"/>
  <sheetViews>
    <sheetView workbookViewId="0">
      <selection activeCell="J21" sqref="J21"/>
    </sheetView>
  </sheetViews>
  <sheetFormatPr defaultRowHeight="14.4" x14ac:dyDescent="0.3"/>
  <cols>
    <col min="1" max="1" width="19.66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58112</v>
      </c>
      <c r="C2" s="2">
        <v>181.35499999999999</v>
      </c>
      <c r="D2">
        <v>157</v>
      </c>
      <c r="E2">
        <v>197</v>
      </c>
    </row>
    <row r="3" spans="1:5" x14ac:dyDescent="0.3">
      <c r="A3" t="s">
        <v>6</v>
      </c>
      <c r="B3">
        <v>58112</v>
      </c>
      <c r="C3" s="2">
        <v>177.37899999999999</v>
      </c>
      <c r="D3">
        <v>160</v>
      </c>
      <c r="E3">
        <v>193</v>
      </c>
    </row>
    <row r="4" spans="1:5" x14ac:dyDescent="0.3">
      <c r="A4" t="s">
        <v>7</v>
      </c>
      <c r="B4">
        <v>58112</v>
      </c>
      <c r="C4" s="2">
        <v>184.84700000000001</v>
      </c>
      <c r="D4">
        <v>168</v>
      </c>
      <c r="E4">
        <v>199</v>
      </c>
    </row>
    <row r="5" spans="1:5" x14ac:dyDescent="0.3">
      <c r="A5" t="s">
        <v>8</v>
      </c>
      <c r="B5">
        <v>58112</v>
      </c>
      <c r="C5" s="2">
        <v>180.76</v>
      </c>
      <c r="D5">
        <v>149</v>
      </c>
      <c r="E5">
        <v>199</v>
      </c>
    </row>
    <row r="6" spans="1:5" x14ac:dyDescent="0.3">
      <c r="A6" t="s">
        <v>9</v>
      </c>
      <c r="B6">
        <v>58112</v>
      </c>
      <c r="C6" s="2">
        <v>181.488</v>
      </c>
      <c r="D6">
        <v>133</v>
      </c>
      <c r="E6">
        <v>198</v>
      </c>
    </row>
    <row r="7" spans="1:5" x14ac:dyDescent="0.3">
      <c r="A7" t="s">
        <v>10</v>
      </c>
      <c r="B7">
        <v>58112</v>
      </c>
      <c r="C7" s="2">
        <v>174.654</v>
      </c>
      <c r="D7">
        <v>160</v>
      </c>
      <c r="E7">
        <v>189</v>
      </c>
    </row>
    <row r="8" spans="1:5" x14ac:dyDescent="0.3">
      <c r="A8" t="s">
        <v>11</v>
      </c>
      <c r="B8">
        <v>58112</v>
      </c>
      <c r="C8" s="2">
        <v>186.54599999999999</v>
      </c>
      <c r="D8">
        <v>172</v>
      </c>
      <c r="E8">
        <v>198</v>
      </c>
    </row>
    <row r="9" spans="1:5" x14ac:dyDescent="0.3">
      <c r="A9" t="s">
        <v>12</v>
      </c>
      <c r="B9">
        <v>58112</v>
      </c>
      <c r="C9" s="2">
        <v>172.386</v>
      </c>
      <c r="D9">
        <v>147</v>
      </c>
      <c r="E9">
        <v>196</v>
      </c>
    </row>
    <row r="10" spans="1:5" x14ac:dyDescent="0.3">
      <c r="A10" t="s">
        <v>13</v>
      </c>
      <c r="B10">
        <v>58112</v>
      </c>
      <c r="C10" s="2">
        <v>176.47800000000001</v>
      </c>
      <c r="D10">
        <v>159</v>
      </c>
      <c r="E10">
        <v>193</v>
      </c>
    </row>
    <row r="11" spans="1:5" x14ac:dyDescent="0.3">
      <c r="A11" t="s">
        <v>14</v>
      </c>
      <c r="B11">
        <v>58112</v>
      </c>
      <c r="C11" s="2">
        <v>185.84800000000001</v>
      </c>
      <c r="D11">
        <v>140</v>
      </c>
      <c r="E11">
        <v>201</v>
      </c>
    </row>
    <row r="12" spans="1:5" x14ac:dyDescent="0.3">
      <c r="A12" t="s">
        <v>15</v>
      </c>
      <c r="B12">
        <v>58112</v>
      </c>
      <c r="C12" s="2">
        <v>192.50399999999999</v>
      </c>
      <c r="D12">
        <v>181</v>
      </c>
      <c r="E12">
        <v>204</v>
      </c>
    </row>
    <row r="13" spans="1:5" x14ac:dyDescent="0.3">
      <c r="A13" t="s">
        <v>16</v>
      </c>
      <c r="B13">
        <v>58112</v>
      </c>
      <c r="C13" s="2">
        <v>187.572</v>
      </c>
      <c r="D13">
        <v>179</v>
      </c>
      <c r="E13">
        <v>196</v>
      </c>
    </row>
    <row r="14" spans="1:5" x14ac:dyDescent="0.3">
      <c r="A14" s="1" t="s">
        <v>17</v>
      </c>
      <c r="B14">
        <v>58112</v>
      </c>
      <c r="C14" s="2">
        <v>201.21600000000001</v>
      </c>
      <c r="D14">
        <v>195</v>
      </c>
      <c r="E14">
        <v>208</v>
      </c>
    </row>
    <row r="15" spans="1:5" x14ac:dyDescent="0.3">
      <c r="A15" s="1" t="s">
        <v>18</v>
      </c>
      <c r="B15">
        <v>58112</v>
      </c>
      <c r="C15" s="2">
        <v>195.53</v>
      </c>
      <c r="D15">
        <v>187</v>
      </c>
      <c r="E15">
        <v>205</v>
      </c>
    </row>
    <row r="16" spans="1:5" x14ac:dyDescent="0.3">
      <c r="A16" s="1" t="s">
        <v>19</v>
      </c>
      <c r="B16">
        <v>58112</v>
      </c>
      <c r="C16" s="2">
        <v>184.238</v>
      </c>
      <c r="D16">
        <v>176</v>
      </c>
      <c r="E16">
        <v>194</v>
      </c>
    </row>
    <row r="17" spans="1:5" x14ac:dyDescent="0.3">
      <c r="A17" s="1" t="s">
        <v>20</v>
      </c>
      <c r="B17">
        <v>58112</v>
      </c>
      <c r="C17" s="2">
        <v>196.04900000000001</v>
      </c>
      <c r="D17">
        <v>173</v>
      </c>
      <c r="E17">
        <v>210</v>
      </c>
    </row>
    <row r="18" spans="1:5" x14ac:dyDescent="0.3">
      <c r="A18" s="1" t="s">
        <v>21</v>
      </c>
      <c r="B18">
        <v>58112</v>
      </c>
      <c r="C18" s="2">
        <v>196.08699999999999</v>
      </c>
      <c r="D18">
        <v>185</v>
      </c>
      <c r="E18">
        <v>209</v>
      </c>
    </row>
    <row r="19" spans="1:5" x14ac:dyDescent="0.3">
      <c r="A19" s="1" t="s">
        <v>22</v>
      </c>
      <c r="B19">
        <v>58112</v>
      </c>
      <c r="C19" s="2">
        <v>180.17699999999999</v>
      </c>
      <c r="D19">
        <v>152</v>
      </c>
      <c r="E19">
        <v>192</v>
      </c>
    </row>
    <row r="20" spans="1:5" x14ac:dyDescent="0.3">
      <c r="A20" s="1" t="s">
        <v>23</v>
      </c>
      <c r="B20">
        <v>58112</v>
      </c>
      <c r="C20" s="2">
        <v>191.285</v>
      </c>
      <c r="D20">
        <v>177</v>
      </c>
      <c r="E20">
        <v>203</v>
      </c>
    </row>
    <row r="21" spans="1:5" x14ac:dyDescent="0.3">
      <c r="A21" s="1" t="s">
        <v>24</v>
      </c>
      <c r="B21">
        <v>35140</v>
      </c>
      <c r="C21" s="2">
        <v>197.06800000000001</v>
      </c>
      <c r="D21">
        <v>175</v>
      </c>
      <c r="E21">
        <v>209</v>
      </c>
    </row>
    <row r="22" spans="1:5" x14ac:dyDescent="0.3">
      <c r="A22" s="1" t="s">
        <v>25</v>
      </c>
      <c r="B22">
        <v>58112</v>
      </c>
      <c r="C22" s="2">
        <v>182.541</v>
      </c>
      <c r="D22">
        <v>171</v>
      </c>
      <c r="E22">
        <v>191</v>
      </c>
    </row>
    <row r="23" spans="1:5" x14ac:dyDescent="0.3">
      <c r="A23" s="1" t="s">
        <v>26</v>
      </c>
      <c r="B23">
        <v>58112</v>
      </c>
      <c r="C23" s="2">
        <v>192.239</v>
      </c>
      <c r="D23">
        <v>185</v>
      </c>
      <c r="E23">
        <v>200</v>
      </c>
    </row>
    <row r="24" spans="1:5" x14ac:dyDescent="0.3">
      <c r="A24" s="1" t="s">
        <v>27</v>
      </c>
      <c r="B24">
        <v>58112</v>
      </c>
      <c r="C24" s="2">
        <v>195.738</v>
      </c>
      <c r="D24">
        <v>187</v>
      </c>
      <c r="E24">
        <v>206</v>
      </c>
    </row>
    <row r="25" spans="1:5" x14ac:dyDescent="0.3">
      <c r="A25" s="1" t="s">
        <v>28</v>
      </c>
      <c r="B25">
        <v>58112</v>
      </c>
      <c r="C25" s="2">
        <v>174.61099999999999</v>
      </c>
      <c r="D25">
        <v>150</v>
      </c>
      <c r="E25">
        <v>188</v>
      </c>
    </row>
    <row r="26" spans="1:5" x14ac:dyDescent="0.3">
      <c r="A26" t="s">
        <v>29</v>
      </c>
      <c r="B26">
        <v>58112</v>
      </c>
      <c r="C26" s="2">
        <v>170.625</v>
      </c>
      <c r="D26">
        <v>144</v>
      </c>
      <c r="E26">
        <v>194</v>
      </c>
    </row>
    <row r="27" spans="1:5" x14ac:dyDescent="0.3">
      <c r="A27" t="s">
        <v>30</v>
      </c>
      <c r="B27">
        <v>58112</v>
      </c>
      <c r="C27" s="2">
        <v>186.71899999999999</v>
      </c>
      <c r="D27">
        <v>170</v>
      </c>
      <c r="E27">
        <v>201</v>
      </c>
    </row>
    <row r="28" spans="1:5" x14ac:dyDescent="0.3">
      <c r="A28" t="s">
        <v>31</v>
      </c>
      <c r="B28">
        <v>58112</v>
      </c>
      <c r="C28" s="2">
        <v>175.99799999999999</v>
      </c>
      <c r="D28">
        <v>160</v>
      </c>
      <c r="E28">
        <v>190</v>
      </c>
    </row>
    <row r="29" spans="1:5" x14ac:dyDescent="0.3">
      <c r="A29" t="s">
        <v>32</v>
      </c>
      <c r="B29">
        <v>58112</v>
      </c>
      <c r="C29" s="2">
        <v>177.108</v>
      </c>
      <c r="D29">
        <v>147</v>
      </c>
      <c r="E29">
        <v>197</v>
      </c>
    </row>
    <row r="30" spans="1:5" x14ac:dyDescent="0.3">
      <c r="A30" t="s">
        <v>33</v>
      </c>
      <c r="B30">
        <v>58112</v>
      </c>
      <c r="C30" s="2">
        <v>177.893</v>
      </c>
      <c r="D30">
        <v>151</v>
      </c>
      <c r="E30">
        <v>197</v>
      </c>
    </row>
    <row r="31" spans="1:5" x14ac:dyDescent="0.3">
      <c r="A31" t="s">
        <v>34</v>
      </c>
      <c r="B31">
        <v>58112</v>
      </c>
      <c r="C31" s="2">
        <v>175.62799999999999</v>
      </c>
      <c r="D31">
        <v>156</v>
      </c>
      <c r="E31">
        <v>191</v>
      </c>
    </row>
    <row r="32" spans="1:5" x14ac:dyDescent="0.3">
      <c r="A32" t="s">
        <v>35</v>
      </c>
      <c r="B32">
        <v>58112</v>
      </c>
      <c r="C32" s="2">
        <v>194.13800000000001</v>
      </c>
      <c r="D32">
        <v>182</v>
      </c>
      <c r="E32">
        <v>207</v>
      </c>
    </row>
    <row r="33" spans="1:5" x14ac:dyDescent="0.3">
      <c r="A33" t="s">
        <v>36</v>
      </c>
      <c r="B33">
        <v>58112</v>
      </c>
      <c r="C33" s="2">
        <v>178.36099999999999</v>
      </c>
      <c r="D33">
        <v>158</v>
      </c>
      <c r="E33">
        <v>196</v>
      </c>
    </row>
    <row r="34" spans="1:5" x14ac:dyDescent="0.3">
      <c r="A34" t="s">
        <v>37</v>
      </c>
      <c r="B34">
        <v>58112</v>
      </c>
      <c r="C34" s="2">
        <v>173.90600000000001</v>
      </c>
      <c r="D34">
        <v>160</v>
      </c>
      <c r="E34">
        <v>188</v>
      </c>
    </row>
    <row r="35" spans="1:5" x14ac:dyDescent="0.3">
      <c r="A35" t="s">
        <v>38</v>
      </c>
      <c r="B35">
        <v>58112</v>
      </c>
      <c r="C35" s="2">
        <v>198.387</v>
      </c>
      <c r="D35">
        <v>190</v>
      </c>
      <c r="E35">
        <v>208</v>
      </c>
    </row>
    <row r="36" spans="1:5" x14ac:dyDescent="0.3">
      <c r="A36" t="s">
        <v>39</v>
      </c>
      <c r="B36">
        <v>58112</v>
      </c>
      <c r="C36" s="2">
        <v>186.023</v>
      </c>
      <c r="D36">
        <v>167</v>
      </c>
      <c r="E36">
        <v>200</v>
      </c>
    </row>
    <row r="37" spans="1:5" x14ac:dyDescent="0.3">
      <c r="A37" t="s">
        <v>40</v>
      </c>
      <c r="B37">
        <v>58112</v>
      </c>
      <c r="C37" s="2">
        <v>169.97</v>
      </c>
      <c r="D37">
        <v>153</v>
      </c>
      <c r="E37">
        <v>191</v>
      </c>
    </row>
    <row r="38" spans="1:5" x14ac:dyDescent="0.3">
      <c r="A38" t="s">
        <v>41</v>
      </c>
      <c r="B38">
        <v>58112</v>
      </c>
      <c r="C38" s="2">
        <v>206.45500000000001</v>
      </c>
      <c r="D38">
        <v>199</v>
      </c>
      <c r="E38">
        <v>211</v>
      </c>
    </row>
    <row r="39" spans="1:5" x14ac:dyDescent="0.3">
      <c r="A39" t="s">
        <v>42</v>
      </c>
      <c r="B39">
        <v>58112</v>
      </c>
      <c r="C39" s="2">
        <v>209.6</v>
      </c>
      <c r="D39">
        <v>206</v>
      </c>
      <c r="E39">
        <v>213</v>
      </c>
    </row>
    <row r="40" spans="1:5" x14ac:dyDescent="0.3">
      <c r="A40" t="s">
        <v>43</v>
      </c>
      <c r="B40">
        <v>58112</v>
      </c>
      <c r="C40" s="2">
        <v>180.58500000000001</v>
      </c>
      <c r="D40">
        <v>168</v>
      </c>
      <c r="E40">
        <v>188</v>
      </c>
    </row>
    <row r="41" spans="1:5" x14ac:dyDescent="0.3">
      <c r="A41" t="s">
        <v>44</v>
      </c>
      <c r="B41">
        <v>58112</v>
      </c>
      <c r="C41" s="2">
        <v>204.00899999999999</v>
      </c>
      <c r="D41">
        <v>195</v>
      </c>
      <c r="E41">
        <v>211</v>
      </c>
    </row>
    <row r="42" spans="1:5" x14ac:dyDescent="0.3">
      <c r="A42" t="s">
        <v>45</v>
      </c>
      <c r="B42">
        <v>58112</v>
      </c>
      <c r="C42" s="2">
        <v>200.77600000000001</v>
      </c>
      <c r="D42">
        <v>195</v>
      </c>
      <c r="E42">
        <v>209</v>
      </c>
    </row>
    <row r="43" spans="1:5" x14ac:dyDescent="0.3">
      <c r="A43" t="s">
        <v>46</v>
      </c>
      <c r="B43">
        <v>58112</v>
      </c>
      <c r="C43" s="2">
        <v>198.82</v>
      </c>
      <c r="D43">
        <v>196</v>
      </c>
      <c r="E43">
        <v>209</v>
      </c>
    </row>
    <row r="44" spans="1:5" x14ac:dyDescent="0.3">
      <c r="A44" t="s">
        <v>47</v>
      </c>
      <c r="B44">
        <v>58112</v>
      </c>
      <c r="C44" s="2">
        <v>191.678</v>
      </c>
      <c r="D44">
        <v>177</v>
      </c>
      <c r="E44">
        <v>205</v>
      </c>
    </row>
    <row r="45" spans="1:5" x14ac:dyDescent="0.3">
      <c r="A45" t="s">
        <v>48</v>
      </c>
      <c r="B45">
        <v>58112</v>
      </c>
      <c r="C45" s="2">
        <v>198.65700000000001</v>
      </c>
      <c r="D45">
        <v>183</v>
      </c>
      <c r="E45">
        <v>208</v>
      </c>
    </row>
    <row r="46" spans="1:5" x14ac:dyDescent="0.3">
      <c r="A46" t="s">
        <v>49</v>
      </c>
      <c r="B46">
        <v>58112</v>
      </c>
      <c r="C46" s="2">
        <v>184.99799999999999</v>
      </c>
      <c r="D46">
        <v>169</v>
      </c>
      <c r="E46">
        <v>199</v>
      </c>
    </row>
    <row r="47" spans="1:5" x14ac:dyDescent="0.3">
      <c r="A47" t="s">
        <v>50</v>
      </c>
      <c r="B47">
        <v>58112</v>
      </c>
      <c r="C47" s="2">
        <v>202.46299999999999</v>
      </c>
      <c r="D47">
        <v>196</v>
      </c>
      <c r="E47">
        <v>209</v>
      </c>
    </row>
    <row r="48" spans="1:5" x14ac:dyDescent="0.3">
      <c r="A48" t="s">
        <v>51</v>
      </c>
      <c r="B48">
        <v>58112</v>
      </c>
      <c r="C48" s="2">
        <v>200.37899999999999</v>
      </c>
      <c r="D48">
        <v>193</v>
      </c>
      <c r="E48">
        <v>207</v>
      </c>
    </row>
    <row r="49" spans="1:5" x14ac:dyDescent="0.3">
      <c r="A49" t="s">
        <v>52</v>
      </c>
      <c r="B49">
        <v>58112</v>
      </c>
      <c r="C49" s="2">
        <v>192.79900000000001</v>
      </c>
      <c r="D49">
        <v>185</v>
      </c>
      <c r="E49">
        <v>199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AA0B4-2C2B-44DF-A32A-20DBEC7D2307}">
  <dimension ref="B2:P50"/>
  <sheetViews>
    <sheetView workbookViewId="0">
      <selection activeCell="H3" sqref="H3"/>
    </sheetView>
  </sheetViews>
  <sheetFormatPr defaultRowHeight="14.4" x14ac:dyDescent="0.3"/>
  <cols>
    <col min="1" max="1" width="7.88671875" customWidth="1"/>
    <col min="2" max="2" width="17.77734375" customWidth="1"/>
    <col min="3" max="3" width="10.5546875" customWidth="1"/>
    <col min="4" max="4" width="9.77734375" customWidth="1"/>
    <col min="5" max="5" width="9.88671875" customWidth="1"/>
    <col min="6" max="6" width="10.5546875" customWidth="1"/>
    <col min="7" max="7" width="11.6640625" customWidth="1"/>
    <col min="8" max="8" width="14.44140625" customWidth="1"/>
    <col min="11" max="11" width="16.77734375" customWidth="1"/>
    <col min="15" max="15" width="12.33203125" customWidth="1"/>
  </cols>
  <sheetData>
    <row r="2" spans="2:16" s="6" customFormat="1" ht="28.8" x14ac:dyDescent="0.3">
      <c r="B2" s="4" t="s">
        <v>53</v>
      </c>
      <c r="C2" s="4" t="s">
        <v>54</v>
      </c>
      <c r="D2" s="4" t="s">
        <v>55</v>
      </c>
      <c r="E2" s="4" t="s">
        <v>56</v>
      </c>
      <c r="F2" s="4" t="s">
        <v>57</v>
      </c>
      <c r="G2" s="4" t="s">
        <v>58</v>
      </c>
      <c r="H2" s="4" t="s">
        <v>59</v>
      </c>
      <c r="K2" s="4" t="s">
        <v>60</v>
      </c>
      <c r="L2" s="4">
        <v>1</v>
      </c>
      <c r="M2" s="4">
        <v>2</v>
      </c>
      <c r="N2" s="4">
        <v>3</v>
      </c>
      <c r="O2" s="7" t="s">
        <v>61</v>
      </c>
      <c r="P2" s="4" t="s">
        <v>62</v>
      </c>
    </row>
    <row r="3" spans="2:16" x14ac:dyDescent="0.3">
      <c r="B3" t="s">
        <v>5</v>
      </c>
      <c r="C3" s="2">
        <v>212.143</v>
      </c>
      <c r="D3" s="2">
        <v>210.90899999999999</v>
      </c>
      <c r="E3" s="2">
        <v>216.965</v>
      </c>
      <c r="F3" s="2">
        <f>AVERAGE(C3:E3)</f>
        <v>213.33900000000003</v>
      </c>
      <c r="G3" s="2">
        <v>181.35499999999999</v>
      </c>
      <c r="H3" s="3">
        <f>G3-F3</f>
        <v>-31.984000000000037</v>
      </c>
      <c r="K3" t="s">
        <v>63</v>
      </c>
      <c r="L3" s="3">
        <v>-31.984000000000037</v>
      </c>
      <c r="M3" s="3">
        <v>-23.561000000000035</v>
      </c>
      <c r="N3" s="3">
        <v>-27.32966666666664</v>
      </c>
      <c r="O3" s="3">
        <f>AVERAGE(L3:N3)</f>
        <v>-27.624888888888904</v>
      </c>
      <c r="P3" s="3">
        <f>_xlfn.STDEV.P(L3:N3)</f>
        <v>3.4450059864844449</v>
      </c>
    </row>
    <row r="4" spans="2:16" x14ac:dyDescent="0.3">
      <c r="B4" t="s">
        <v>6</v>
      </c>
      <c r="C4" s="2">
        <v>200.399</v>
      </c>
      <c r="D4" s="2">
        <v>193.35300000000001</v>
      </c>
      <c r="E4" s="2">
        <v>209.06800000000001</v>
      </c>
      <c r="F4" s="2">
        <f t="shared" ref="F4:F50" si="0">AVERAGE(C4:E4)</f>
        <v>200.94000000000003</v>
      </c>
      <c r="G4" s="2">
        <v>177.37899999999999</v>
      </c>
      <c r="H4" s="3">
        <f t="shared" ref="H4:H50" si="1">G4-F4</f>
        <v>-23.561000000000035</v>
      </c>
      <c r="K4" t="s">
        <v>64</v>
      </c>
      <c r="L4" s="3">
        <v>-31.231999999999999</v>
      </c>
      <c r="M4" s="3">
        <v>-29.477666666666636</v>
      </c>
      <c r="N4" s="3">
        <v>-24.611666666666679</v>
      </c>
      <c r="O4" s="3">
        <f t="shared" ref="O4:O18" si="2">AVERAGE(L4:N4)</f>
        <v>-28.440444444444438</v>
      </c>
      <c r="P4" s="3">
        <f t="shared" ref="P4:P18" si="3">_xlfn.STDEV.P(L4:N4)</f>
        <v>2.8004851740147618</v>
      </c>
    </row>
    <row r="5" spans="2:16" x14ac:dyDescent="0.3">
      <c r="B5" t="s">
        <v>7</v>
      </c>
      <c r="C5" s="2">
        <v>215.108</v>
      </c>
      <c r="D5" s="2">
        <v>206.245</v>
      </c>
      <c r="E5" s="2">
        <v>215.17699999999999</v>
      </c>
      <c r="F5" s="2">
        <f t="shared" si="0"/>
        <v>212.17666666666665</v>
      </c>
      <c r="G5" s="2">
        <v>184.84700000000001</v>
      </c>
      <c r="H5" s="3">
        <f t="shared" si="1"/>
        <v>-27.32966666666664</v>
      </c>
      <c r="K5" t="s">
        <v>65</v>
      </c>
      <c r="L5" s="3">
        <v>-22.764000000000038</v>
      </c>
      <c r="M5" s="3">
        <v>-37.051666666666677</v>
      </c>
      <c r="N5" s="3">
        <v>-27.196333333333342</v>
      </c>
      <c r="O5" s="3">
        <f t="shared" si="2"/>
        <v>-29.004000000000019</v>
      </c>
      <c r="P5" s="3">
        <f t="shared" si="3"/>
        <v>5.9713258593480196</v>
      </c>
    </row>
    <row r="6" spans="2:16" x14ac:dyDescent="0.3">
      <c r="B6" t="s">
        <v>8</v>
      </c>
      <c r="C6" s="2">
        <v>210.39099999999999</v>
      </c>
      <c r="D6" s="2">
        <v>209.75399999999999</v>
      </c>
      <c r="E6" s="2">
        <v>215.83099999999999</v>
      </c>
      <c r="F6" s="2">
        <f t="shared" si="0"/>
        <v>211.99199999999999</v>
      </c>
      <c r="G6" s="2">
        <v>180.76</v>
      </c>
      <c r="H6" s="3">
        <f t="shared" si="1"/>
        <v>-31.231999999999999</v>
      </c>
      <c r="K6" t="s">
        <v>66</v>
      </c>
      <c r="L6" s="3">
        <v>-22.667333333333346</v>
      </c>
      <c r="M6" s="3">
        <v>-16.908333333333331</v>
      </c>
      <c r="N6" s="3">
        <v>-14.854333333333329</v>
      </c>
      <c r="O6" s="3">
        <f t="shared" si="2"/>
        <v>-18.143333333333334</v>
      </c>
      <c r="P6" s="3">
        <f t="shared" si="3"/>
        <v>3.3070289788066174</v>
      </c>
    </row>
    <row r="7" spans="2:16" x14ac:dyDescent="0.3">
      <c r="B7" t="s">
        <v>9</v>
      </c>
      <c r="C7" s="2">
        <v>213.608</v>
      </c>
      <c r="D7" s="2">
        <v>205.137</v>
      </c>
      <c r="E7" s="2">
        <v>214.15199999999999</v>
      </c>
      <c r="F7" s="2">
        <f t="shared" si="0"/>
        <v>210.96566666666664</v>
      </c>
      <c r="G7" s="2">
        <v>181.488</v>
      </c>
      <c r="H7" s="3">
        <f t="shared" si="1"/>
        <v>-29.477666666666636</v>
      </c>
      <c r="K7" s="1" t="s">
        <v>67</v>
      </c>
      <c r="L7" s="3">
        <v>-11.684999999999974</v>
      </c>
      <c r="M7" s="3">
        <v>-15.085000000000008</v>
      </c>
      <c r="N7" s="3">
        <v>-16.968999999999994</v>
      </c>
      <c r="O7" s="3">
        <f t="shared" si="2"/>
        <v>-14.579666666666659</v>
      </c>
      <c r="P7" s="3">
        <f t="shared" si="3"/>
        <v>2.1865780469847396</v>
      </c>
    </row>
    <row r="8" spans="2:16" x14ac:dyDescent="0.3">
      <c r="B8" t="s">
        <v>10</v>
      </c>
      <c r="C8" s="2">
        <v>198.958</v>
      </c>
      <c r="D8" s="2">
        <v>191.905</v>
      </c>
      <c r="E8" s="2">
        <v>206.934</v>
      </c>
      <c r="F8" s="2">
        <f t="shared" si="0"/>
        <v>199.26566666666668</v>
      </c>
      <c r="G8" s="2">
        <v>174.654</v>
      </c>
      <c r="H8" s="3">
        <f t="shared" si="1"/>
        <v>-24.611666666666679</v>
      </c>
      <c r="K8" s="1" t="s">
        <v>68</v>
      </c>
      <c r="L8" s="3">
        <v>-16.979333333333329</v>
      </c>
      <c r="M8" s="3">
        <v>-18.682000000000016</v>
      </c>
      <c r="N8" s="3">
        <v>-20.731333333333311</v>
      </c>
      <c r="O8" s="3">
        <f t="shared" si="2"/>
        <v>-18.797555555555551</v>
      </c>
      <c r="P8" s="3">
        <f t="shared" si="3"/>
        <v>1.5339254251353021</v>
      </c>
    </row>
    <row r="9" spans="2:16" x14ac:dyDescent="0.3">
      <c r="B9" t="s">
        <v>11</v>
      </c>
      <c r="C9" s="2">
        <v>210.87899999999999</v>
      </c>
      <c r="D9" s="2">
        <v>204.13900000000001</v>
      </c>
      <c r="E9" s="2">
        <v>212.91200000000001</v>
      </c>
      <c r="F9" s="2">
        <f t="shared" si="0"/>
        <v>209.31000000000003</v>
      </c>
      <c r="G9" s="2">
        <v>186.54599999999999</v>
      </c>
      <c r="H9" s="3">
        <f t="shared" si="1"/>
        <v>-22.764000000000038</v>
      </c>
      <c r="K9" s="1" t="s">
        <v>69</v>
      </c>
      <c r="L9" s="3">
        <v>-19.52266666666668</v>
      </c>
      <c r="M9" s="3">
        <v>-15.267666666666685</v>
      </c>
      <c r="N9" s="3">
        <v>-18.853000000000009</v>
      </c>
      <c r="O9" s="3">
        <f t="shared" si="2"/>
        <v>-17.881111111111125</v>
      </c>
      <c r="P9" s="3">
        <f t="shared" si="3"/>
        <v>1.86809747412696</v>
      </c>
    </row>
    <row r="10" spans="2:16" x14ac:dyDescent="0.3">
      <c r="B10" t="s">
        <v>12</v>
      </c>
      <c r="C10" s="2">
        <v>209.35499999999999</v>
      </c>
      <c r="D10" s="2">
        <v>204.67</v>
      </c>
      <c r="E10" s="2">
        <v>214.28800000000001</v>
      </c>
      <c r="F10" s="2">
        <f t="shared" si="0"/>
        <v>209.43766666666667</v>
      </c>
      <c r="G10" s="2">
        <v>172.386</v>
      </c>
      <c r="H10" s="3">
        <f t="shared" si="1"/>
        <v>-37.051666666666677</v>
      </c>
      <c r="K10" s="1" t="s">
        <v>70</v>
      </c>
      <c r="L10" s="3">
        <v>-17.772333333333336</v>
      </c>
      <c r="M10" s="3">
        <v>-16.402333333333303</v>
      </c>
      <c r="N10" s="3">
        <v>-26.186000000000007</v>
      </c>
      <c r="O10" s="3">
        <f t="shared" si="2"/>
        <v>-20.120222222222214</v>
      </c>
      <c r="P10" s="3">
        <f t="shared" si="3"/>
        <v>4.3254649104296412</v>
      </c>
    </row>
    <row r="11" spans="2:16" x14ac:dyDescent="0.3">
      <c r="B11" t="s">
        <v>13</v>
      </c>
      <c r="C11" s="2">
        <v>203.19399999999999</v>
      </c>
      <c r="D11" s="2">
        <v>198.90600000000001</v>
      </c>
      <c r="E11" s="2">
        <v>208.923</v>
      </c>
      <c r="F11" s="2">
        <f t="shared" si="0"/>
        <v>203.67433333333335</v>
      </c>
      <c r="G11" s="2">
        <v>176.47800000000001</v>
      </c>
      <c r="H11" s="3">
        <f t="shared" si="1"/>
        <v>-27.196333333333342</v>
      </c>
      <c r="K11" t="s">
        <v>71</v>
      </c>
      <c r="L11" s="3">
        <v>-41.705333333333328</v>
      </c>
      <c r="M11" s="3">
        <v>-25.441000000000003</v>
      </c>
      <c r="N11" s="3">
        <v>-24.91166666666669</v>
      </c>
      <c r="O11" s="3">
        <f t="shared" si="2"/>
        <v>-30.686000000000007</v>
      </c>
      <c r="P11" s="3">
        <f t="shared" si="3"/>
        <v>7.794841404321093</v>
      </c>
    </row>
    <row r="12" spans="2:16" x14ac:dyDescent="0.3">
      <c r="B12" t="s">
        <v>14</v>
      </c>
      <c r="C12" s="2">
        <v>210.77699999999999</v>
      </c>
      <c r="D12" s="2">
        <v>202.012</v>
      </c>
      <c r="E12" s="2">
        <v>212.75700000000001</v>
      </c>
      <c r="F12" s="2">
        <f t="shared" si="0"/>
        <v>208.51533333333336</v>
      </c>
      <c r="G12" s="2">
        <v>185.84800000000001</v>
      </c>
      <c r="H12" s="3">
        <f t="shared" si="1"/>
        <v>-22.667333333333346</v>
      </c>
      <c r="K12" t="s">
        <v>72</v>
      </c>
      <c r="L12" s="3">
        <v>-35.932666666666648</v>
      </c>
      <c r="M12" s="3">
        <v>-34.268333333333345</v>
      </c>
      <c r="N12" s="3">
        <v>-26.436666666666667</v>
      </c>
      <c r="O12" s="3">
        <f t="shared" si="2"/>
        <v>-32.212555555555554</v>
      </c>
      <c r="P12" s="3">
        <f t="shared" si="3"/>
        <v>4.1403035882009052</v>
      </c>
    </row>
    <row r="13" spans="2:16" x14ac:dyDescent="0.3">
      <c r="B13" t="s">
        <v>15</v>
      </c>
      <c r="C13" s="2">
        <v>209.04499999999999</v>
      </c>
      <c r="D13" s="2">
        <v>204.92400000000001</v>
      </c>
      <c r="E13" s="2">
        <v>214.268</v>
      </c>
      <c r="F13" s="2">
        <f t="shared" si="0"/>
        <v>209.41233333333332</v>
      </c>
      <c r="G13" s="2">
        <v>192.50399999999999</v>
      </c>
      <c r="H13" s="3">
        <f t="shared" si="1"/>
        <v>-16.908333333333331</v>
      </c>
      <c r="K13" t="s">
        <v>73</v>
      </c>
      <c r="L13" s="3">
        <v>-18.803666666666686</v>
      </c>
      <c r="M13" s="3">
        <v>-33.102666666666664</v>
      </c>
      <c r="N13" s="3">
        <v>-26.976333333333343</v>
      </c>
      <c r="O13" s="3">
        <f t="shared" si="2"/>
        <v>-26.294222222222231</v>
      </c>
      <c r="P13" s="3">
        <f t="shared" si="3"/>
        <v>5.8574344170991104</v>
      </c>
    </row>
    <row r="14" spans="2:16" x14ac:dyDescent="0.3">
      <c r="B14" t="s">
        <v>16</v>
      </c>
      <c r="C14" s="2">
        <v>202.52199999999999</v>
      </c>
      <c r="D14" s="2">
        <v>195.67099999999999</v>
      </c>
      <c r="E14" s="2">
        <v>209.08600000000001</v>
      </c>
      <c r="F14" s="2">
        <f t="shared" si="0"/>
        <v>202.42633333333333</v>
      </c>
      <c r="G14" s="2">
        <v>187.572</v>
      </c>
      <c r="H14" s="3">
        <f t="shared" si="1"/>
        <v>-14.854333333333329</v>
      </c>
      <c r="K14" t="s">
        <v>74</v>
      </c>
      <c r="L14" s="3">
        <v>-15.369999999999976</v>
      </c>
      <c r="M14" s="3">
        <v>-26.50200000000001</v>
      </c>
      <c r="N14" s="3">
        <v>-31.231666666666683</v>
      </c>
      <c r="O14" s="3">
        <f t="shared" si="2"/>
        <v>-24.367888888888888</v>
      </c>
      <c r="P14" s="3">
        <f t="shared" si="3"/>
        <v>6.6490069452531708</v>
      </c>
    </row>
    <row r="15" spans="2:16" x14ac:dyDescent="0.3">
      <c r="B15" s="1" t="s">
        <v>17</v>
      </c>
      <c r="C15" s="2">
        <v>212.624</v>
      </c>
      <c r="D15" s="2">
        <v>208.86099999999999</v>
      </c>
      <c r="E15" s="2">
        <v>217.21799999999999</v>
      </c>
      <c r="F15" s="2">
        <f t="shared" si="0"/>
        <v>212.90099999999998</v>
      </c>
      <c r="G15" s="2">
        <v>201.21600000000001</v>
      </c>
      <c r="H15" s="3">
        <f t="shared" si="1"/>
        <v>-11.684999999999974</v>
      </c>
      <c r="K15" t="s">
        <v>75</v>
      </c>
      <c r="L15" s="3">
        <v>-7.9946666666666317</v>
      </c>
      <c r="M15" s="3">
        <v>-4.6556666666666615</v>
      </c>
      <c r="N15" s="3">
        <v>-20.25866666666667</v>
      </c>
      <c r="O15" s="3">
        <f t="shared" si="2"/>
        <v>-10.969666666666654</v>
      </c>
      <c r="P15" s="3">
        <f t="shared" si="3"/>
        <v>6.7082720576911692</v>
      </c>
    </row>
    <row r="16" spans="2:16" x14ac:dyDescent="0.3">
      <c r="B16" s="1" t="s">
        <v>18</v>
      </c>
      <c r="C16" s="2">
        <v>214.23099999999999</v>
      </c>
      <c r="D16" s="2">
        <v>204.785</v>
      </c>
      <c r="E16" s="2">
        <v>212.82900000000001</v>
      </c>
      <c r="F16" s="2">
        <f t="shared" si="0"/>
        <v>210.61500000000001</v>
      </c>
      <c r="G16" s="2">
        <v>195.53</v>
      </c>
      <c r="H16" s="3">
        <f t="shared" si="1"/>
        <v>-15.085000000000008</v>
      </c>
      <c r="K16" t="s">
        <v>76</v>
      </c>
      <c r="L16" s="3">
        <v>-10.979666666666674</v>
      </c>
      <c r="M16" s="3">
        <v>-10.731333333333311</v>
      </c>
      <c r="N16" s="3">
        <v>-5.1523333333333596</v>
      </c>
      <c r="O16" s="3">
        <f t="shared" si="2"/>
        <v>-8.954444444444448</v>
      </c>
      <c r="P16" s="3">
        <f t="shared" si="3"/>
        <v>2.6904093910328859</v>
      </c>
    </row>
    <row r="17" spans="2:16" x14ac:dyDescent="0.3">
      <c r="B17" s="1" t="s">
        <v>19</v>
      </c>
      <c r="C17" s="2">
        <v>200.006</v>
      </c>
      <c r="D17" s="2">
        <v>195.15199999999999</v>
      </c>
      <c r="E17" s="2">
        <v>208.46299999999999</v>
      </c>
      <c r="F17" s="2">
        <f t="shared" si="0"/>
        <v>201.20699999999999</v>
      </c>
      <c r="G17" s="2">
        <v>184.238</v>
      </c>
      <c r="H17" s="3">
        <f t="shared" si="1"/>
        <v>-16.968999999999994</v>
      </c>
      <c r="K17" t="s">
        <v>77</v>
      </c>
      <c r="L17" s="3">
        <v>-22.191666666666691</v>
      </c>
      <c r="M17" s="3">
        <v>-14.332666666666682</v>
      </c>
      <c r="N17" s="3">
        <v>-18.831333333333333</v>
      </c>
      <c r="O17" s="3">
        <f t="shared" si="2"/>
        <v>-18.451888888888902</v>
      </c>
      <c r="P17" s="3">
        <f t="shared" si="3"/>
        <v>3.2196225259922184</v>
      </c>
    </row>
    <row r="18" spans="2:16" x14ac:dyDescent="0.3">
      <c r="B18" s="1" t="s">
        <v>20</v>
      </c>
      <c r="C18" s="2">
        <v>212.41200000000001</v>
      </c>
      <c r="D18" s="2">
        <v>210.685</v>
      </c>
      <c r="E18" s="2">
        <v>215.988</v>
      </c>
      <c r="F18" s="2">
        <f t="shared" si="0"/>
        <v>213.02833333333334</v>
      </c>
      <c r="G18" s="2">
        <v>196.04900000000001</v>
      </c>
      <c r="H18" s="3">
        <f t="shared" si="1"/>
        <v>-16.979333333333329</v>
      </c>
      <c r="K18" t="s">
        <v>78</v>
      </c>
      <c r="L18" s="3">
        <v>-11.708333333333343</v>
      </c>
      <c r="M18" s="3">
        <v>-11.808000000000021</v>
      </c>
      <c r="N18" s="3">
        <v>-11.123666666666679</v>
      </c>
      <c r="O18" s="3">
        <f t="shared" si="2"/>
        <v>-11.546666666666681</v>
      </c>
      <c r="P18" s="3">
        <f t="shared" si="3"/>
        <v>0.30186101781130209</v>
      </c>
    </row>
    <row r="19" spans="2:16" x14ac:dyDescent="0.3">
      <c r="B19" s="1" t="s">
        <v>21</v>
      </c>
      <c r="C19" s="2">
        <v>216.953</v>
      </c>
      <c r="D19" s="2">
        <v>210.49</v>
      </c>
      <c r="E19" s="2">
        <v>216.864</v>
      </c>
      <c r="F19" s="2">
        <f t="shared" si="0"/>
        <v>214.76900000000001</v>
      </c>
      <c r="G19" s="2">
        <v>196.08699999999999</v>
      </c>
      <c r="H19" s="3">
        <f t="shared" si="1"/>
        <v>-18.682000000000016</v>
      </c>
    </row>
    <row r="20" spans="2:16" x14ac:dyDescent="0.3">
      <c r="B20" s="1" t="s">
        <v>22</v>
      </c>
      <c r="C20" s="2">
        <v>200.50399999999999</v>
      </c>
      <c r="D20" s="2">
        <v>193.661</v>
      </c>
      <c r="E20" s="2">
        <v>208.56</v>
      </c>
      <c r="F20" s="2">
        <f t="shared" si="0"/>
        <v>200.9083333333333</v>
      </c>
      <c r="G20" s="2">
        <v>180.17699999999999</v>
      </c>
      <c r="H20" s="3">
        <f t="shared" si="1"/>
        <v>-20.731333333333311</v>
      </c>
    </row>
    <row r="21" spans="2:16" x14ac:dyDescent="0.3">
      <c r="B21" s="1" t="s">
        <v>23</v>
      </c>
      <c r="C21" s="2">
        <v>215.28299999999999</v>
      </c>
      <c r="D21" s="2">
        <v>204.636</v>
      </c>
      <c r="E21" s="2">
        <v>212.50399999999999</v>
      </c>
      <c r="F21" s="2">
        <f t="shared" si="0"/>
        <v>210.80766666666668</v>
      </c>
      <c r="G21" s="2">
        <v>191.285</v>
      </c>
      <c r="H21" s="3">
        <f t="shared" si="1"/>
        <v>-19.52266666666668</v>
      </c>
    </row>
    <row r="22" spans="2:16" x14ac:dyDescent="0.3">
      <c r="B22" s="1" t="s">
        <v>24</v>
      </c>
      <c r="C22" s="2">
        <v>211.33</v>
      </c>
      <c r="D22" s="2">
        <v>208.779</v>
      </c>
      <c r="E22" s="2">
        <v>216.898</v>
      </c>
      <c r="F22" s="2">
        <f t="shared" si="0"/>
        <v>212.3356666666667</v>
      </c>
      <c r="G22" s="2">
        <v>197.06800000000001</v>
      </c>
      <c r="H22" s="3">
        <f t="shared" si="1"/>
        <v>-15.267666666666685</v>
      </c>
    </row>
    <row r="23" spans="2:16" x14ac:dyDescent="0.3">
      <c r="B23" s="1" t="s">
        <v>25</v>
      </c>
      <c r="C23" s="2">
        <v>200.75700000000001</v>
      </c>
      <c r="D23" s="2">
        <v>195.59299999999999</v>
      </c>
      <c r="E23" s="2">
        <v>207.83199999999999</v>
      </c>
      <c r="F23" s="2">
        <f t="shared" si="0"/>
        <v>201.39400000000001</v>
      </c>
      <c r="G23" s="2">
        <v>182.541</v>
      </c>
      <c r="H23" s="3">
        <f t="shared" si="1"/>
        <v>-18.853000000000009</v>
      </c>
    </row>
    <row r="24" spans="2:16" x14ac:dyDescent="0.3">
      <c r="B24" s="1" t="s">
        <v>26</v>
      </c>
      <c r="C24" s="2">
        <v>213.71100000000001</v>
      </c>
      <c r="D24" s="2">
        <v>204.964</v>
      </c>
      <c r="E24" s="2">
        <v>211.35900000000001</v>
      </c>
      <c r="F24" s="2">
        <f t="shared" si="0"/>
        <v>210.01133333333334</v>
      </c>
      <c r="G24" s="2">
        <v>192.239</v>
      </c>
      <c r="H24" s="3">
        <f t="shared" si="1"/>
        <v>-17.772333333333336</v>
      </c>
    </row>
    <row r="25" spans="2:16" x14ac:dyDescent="0.3">
      <c r="B25" s="1" t="s">
        <v>27</v>
      </c>
      <c r="C25" s="2">
        <v>212.30600000000001</v>
      </c>
      <c r="D25" s="2">
        <v>206.84399999999999</v>
      </c>
      <c r="E25" s="2">
        <v>217.27099999999999</v>
      </c>
      <c r="F25" s="2">
        <f t="shared" si="0"/>
        <v>212.1403333333333</v>
      </c>
      <c r="G25" s="2">
        <v>195.738</v>
      </c>
      <c r="H25" s="3">
        <f t="shared" si="1"/>
        <v>-16.402333333333303</v>
      </c>
    </row>
    <row r="26" spans="2:16" x14ac:dyDescent="0.3">
      <c r="B26" s="1" t="s">
        <v>28</v>
      </c>
      <c r="C26" s="2">
        <v>200.678</v>
      </c>
      <c r="D26" s="2">
        <v>193.79900000000001</v>
      </c>
      <c r="E26" s="2">
        <v>207.91399999999999</v>
      </c>
      <c r="F26" s="2">
        <f t="shared" si="0"/>
        <v>200.797</v>
      </c>
      <c r="G26" s="2">
        <v>174.61099999999999</v>
      </c>
      <c r="H26" s="3">
        <f t="shared" si="1"/>
        <v>-26.186000000000007</v>
      </c>
    </row>
    <row r="27" spans="2:16" x14ac:dyDescent="0.3">
      <c r="B27" t="s">
        <v>29</v>
      </c>
      <c r="C27" s="2">
        <v>211.631</v>
      </c>
      <c r="D27" s="2">
        <v>210.392</v>
      </c>
      <c r="E27" s="2">
        <v>214.96799999999999</v>
      </c>
      <c r="F27" s="2">
        <f t="shared" si="0"/>
        <v>212.33033333333333</v>
      </c>
      <c r="G27" s="2">
        <v>170.625</v>
      </c>
      <c r="H27" s="3">
        <f t="shared" si="1"/>
        <v>-41.705333333333328</v>
      </c>
    </row>
    <row r="28" spans="2:16" x14ac:dyDescent="0.3">
      <c r="B28" t="s">
        <v>30</v>
      </c>
      <c r="C28" s="2">
        <v>213.88900000000001</v>
      </c>
      <c r="D28" s="2">
        <v>208.48599999999999</v>
      </c>
      <c r="E28" s="2">
        <v>214.10499999999999</v>
      </c>
      <c r="F28" s="2">
        <f t="shared" si="0"/>
        <v>212.16</v>
      </c>
      <c r="G28" s="2">
        <v>186.71899999999999</v>
      </c>
      <c r="H28" s="3">
        <f t="shared" si="1"/>
        <v>-25.441000000000003</v>
      </c>
    </row>
    <row r="29" spans="2:16" x14ac:dyDescent="0.3">
      <c r="B29" t="s">
        <v>31</v>
      </c>
      <c r="C29" s="2">
        <v>200.31299999999999</v>
      </c>
      <c r="D29" s="2">
        <v>193.69300000000001</v>
      </c>
      <c r="E29" s="2">
        <v>208.72300000000001</v>
      </c>
      <c r="F29" s="2">
        <f t="shared" si="0"/>
        <v>200.90966666666668</v>
      </c>
      <c r="G29" s="2">
        <v>175.99799999999999</v>
      </c>
      <c r="H29" s="3">
        <f t="shared" si="1"/>
        <v>-24.91166666666669</v>
      </c>
    </row>
    <row r="30" spans="2:16" x14ac:dyDescent="0.3">
      <c r="B30" t="s">
        <v>32</v>
      </c>
      <c r="C30" s="2">
        <v>211.91800000000001</v>
      </c>
      <c r="D30" s="2">
        <v>209.809</v>
      </c>
      <c r="E30" s="2">
        <v>217.39500000000001</v>
      </c>
      <c r="F30" s="2">
        <f t="shared" si="0"/>
        <v>213.04066666666665</v>
      </c>
      <c r="G30" s="2">
        <v>177.108</v>
      </c>
      <c r="H30" s="3">
        <f t="shared" si="1"/>
        <v>-35.932666666666648</v>
      </c>
    </row>
    <row r="31" spans="2:16" x14ac:dyDescent="0.3">
      <c r="B31" t="s">
        <v>33</v>
      </c>
      <c r="C31" s="2">
        <v>216</v>
      </c>
      <c r="D31" s="2">
        <v>206.71600000000001</v>
      </c>
      <c r="E31" s="2">
        <v>213.768</v>
      </c>
      <c r="F31" s="2">
        <f t="shared" si="0"/>
        <v>212.16133333333335</v>
      </c>
      <c r="G31" s="2">
        <v>177.893</v>
      </c>
      <c r="H31" s="3">
        <f t="shared" si="1"/>
        <v>-34.268333333333345</v>
      </c>
    </row>
    <row r="32" spans="2:16" x14ac:dyDescent="0.3">
      <c r="B32" t="s">
        <v>34</v>
      </c>
      <c r="C32" s="2">
        <v>201.04900000000001</v>
      </c>
      <c r="D32" s="2">
        <v>195.44399999999999</v>
      </c>
      <c r="E32" s="2">
        <v>209.70099999999999</v>
      </c>
      <c r="F32" s="2">
        <f t="shared" si="0"/>
        <v>202.06466666666665</v>
      </c>
      <c r="G32" s="2">
        <v>175.62799999999999</v>
      </c>
      <c r="H32" s="3">
        <f t="shared" si="1"/>
        <v>-26.436666666666667</v>
      </c>
    </row>
    <row r="33" spans="2:8" x14ac:dyDescent="0.3">
      <c r="B33" t="s">
        <v>35</v>
      </c>
      <c r="C33" s="2">
        <v>211.124</v>
      </c>
      <c r="D33" s="2">
        <v>210.92699999999999</v>
      </c>
      <c r="E33" s="2">
        <v>216.774</v>
      </c>
      <c r="F33" s="2">
        <f t="shared" si="0"/>
        <v>212.94166666666669</v>
      </c>
      <c r="G33" s="2">
        <v>194.13800000000001</v>
      </c>
      <c r="H33" s="3">
        <f t="shared" si="1"/>
        <v>-18.803666666666686</v>
      </c>
    </row>
    <row r="34" spans="2:8" x14ac:dyDescent="0.3">
      <c r="B34" t="s">
        <v>36</v>
      </c>
      <c r="C34" s="2">
        <v>214.03299999999999</v>
      </c>
      <c r="D34" s="2">
        <v>207.34399999999999</v>
      </c>
      <c r="E34" s="2">
        <v>213.01400000000001</v>
      </c>
      <c r="F34" s="2">
        <f t="shared" si="0"/>
        <v>211.46366666666665</v>
      </c>
      <c r="G34" s="2">
        <v>178.36099999999999</v>
      </c>
      <c r="H34" s="3">
        <f t="shared" si="1"/>
        <v>-33.102666666666664</v>
      </c>
    </row>
    <row r="35" spans="2:8" x14ac:dyDescent="0.3">
      <c r="B35" t="s">
        <v>37</v>
      </c>
      <c r="C35" s="2">
        <v>200.726</v>
      </c>
      <c r="D35" s="2">
        <v>193.72</v>
      </c>
      <c r="E35" s="2">
        <v>208.20099999999999</v>
      </c>
      <c r="F35" s="2">
        <f t="shared" si="0"/>
        <v>200.88233333333335</v>
      </c>
      <c r="G35" s="2">
        <v>173.90600000000001</v>
      </c>
      <c r="H35" s="3">
        <f t="shared" si="1"/>
        <v>-26.976333333333343</v>
      </c>
    </row>
    <row r="36" spans="2:8" x14ac:dyDescent="0.3">
      <c r="B36" t="s">
        <v>38</v>
      </c>
      <c r="C36" s="2">
        <v>214.078</v>
      </c>
      <c r="D36" s="2">
        <v>210.48599999999999</v>
      </c>
      <c r="E36" s="2">
        <v>216.70699999999999</v>
      </c>
      <c r="F36" s="2">
        <f t="shared" si="0"/>
        <v>213.75699999999998</v>
      </c>
      <c r="G36" s="2">
        <v>198.387</v>
      </c>
      <c r="H36" s="3">
        <f t="shared" si="1"/>
        <v>-15.369999999999976</v>
      </c>
    </row>
    <row r="37" spans="2:8" x14ac:dyDescent="0.3">
      <c r="B37" t="s">
        <v>39</v>
      </c>
      <c r="C37" s="2">
        <v>215.316</v>
      </c>
      <c r="D37" s="2">
        <v>206.76900000000001</v>
      </c>
      <c r="E37" s="2">
        <v>215.49</v>
      </c>
      <c r="F37" s="2">
        <f t="shared" si="0"/>
        <v>212.52500000000001</v>
      </c>
      <c r="G37" s="2">
        <v>186.023</v>
      </c>
      <c r="H37" s="3">
        <f t="shared" si="1"/>
        <v>-26.50200000000001</v>
      </c>
    </row>
    <row r="38" spans="2:8" x14ac:dyDescent="0.3">
      <c r="B38" t="s">
        <v>40</v>
      </c>
      <c r="C38" s="2">
        <v>200.33</v>
      </c>
      <c r="D38" s="2">
        <v>194.21899999999999</v>
      </c>
      <c r="E38" s="2">
        <v>209.05600000000001</v>
      </c>
      <c r="F38" s="2">
        <f t="shared" si="0"/>
        <v>201.20166666666668</v>
      </c>
      <c r="G38" s="2">
        <v>169.97</v>
      </c>
      <c r="H38" s="3">
        <f t="shared" si="1"/>
        <v>-31.231666666666683</v>
      </c>
    </row>
    <row r="39" spans="2:8" x14ac:dyDescent="0.3">
      <c r="B39" t="s">
        <v>41</v>
      </c>
      <c r="C39" s="2">
        <v>213.16300000000001</v>
      </c>
      <c r="D39" s="2">
        <v>213.03</v>
      </c>
      <c r="E39" s="2">
        <v>217.15600000000001</v>
      </c>
      <c r="F39" s="2">
        <f t="shared" si="0"/>
        <v>214.44966666666664</v>
      </c>
      <c r="G39" s="2">
        <v>206.45500000000001</v>
      </c>
      <c r="H39" s="3">
        <f t="shared" si="1"/>
        <v>-7.9946666666666317</v>
      </c>
    </row>
    <row r="40" spans="2:8" x14ac:dyDescent="0.3">
      <c r="B40" t="s">
        <v>42</v>
      </c>
      <c r="C40" s="2">
        <v>215.65299999999999</v>
      </c>
      <c r="D40" s="2">
        <v>210.815</v>
      </c>
      <c r="E40" s="2">
        <v>216.29900000000001</v>
      </c>
      <c r="F40" s="2">
        <f t="shared" si="0"/>
        <v>214.25566666666666</v>
      </c>
      <c r="G40" s="2">
        <v>209.6</v>
      </c>
      <c r="H40" s="3">
        <f t="shared" si="1"/>
        <v>-4.6556666666666615</v>
      </c>
    </row>
    <row r="41" spans="2:8" x14ac:dyDescent="0.3">
      <c r="B41" t="s">
        <v>43</v>
      </c>
      <c r="C41" s="2">
        <v>200.501</v>
      </c>
      <c r="D41" s="2">
        <v>192.77199999999999</v>
      </c>
      <c r="E41" s="2">
        <v>209.25800000000001</v>
      </c>
      <c r="F41" s="2">
        <f t="shared" si="0"/>
        <v>200.84366666666668</v>
      </c>
      <c r="G41" s="2">
        <v>180.58500000000001</v>
      </c>
      <c r="H41" s="3">
        <f t="shared" si="1"/>
        <v>-20.25866666666667</v>
      </c>
    </row>
    <row r="42" spans="2:8" x14ac:dyDescent="0.3">
      <c r="B42" t="s">
        <v>44</v>
      </c>
      <c r="C42" s="2">
        <v>215.41399999999999</v>
      </c>
      <c r="D42" s="2">
        <v>212.816</v>
      </c>
      <c r="E42" s="2">
        <v>216.73599999999999</v>
      </c>
      <c r="F42" s="2">
        <f t="shared" si="0"/>
        <v>214.98866666666666</v>
      </c>
      <c r="G42" s="2">
        <v>204.00899999999999</v>
      </c>
      <c r="H42" s="3">
        <f t="shared" si="1"/>
        <v>-10.979666666666674</v>
      </c>
    </row>
    <row r="43" spans="2:8" x14ac:dyDescent="0.3">
      <c r="B43" t="s">
        <v>45</v>
      </c>
      <c r="C43" s="2">
        <v>212.41200000000001</v>
      </c>
      <c r="D43" s="2">
        <v>207.55699999999999</v>
      </c>
      <c r="E43" s="2">
        <v>214.553</v>
      </c>
      <c r="F43" s="2">
        <f t="shared" si="0"/>
        <v>211.50733333333332</v>
      </c>
      <c r="G43" s="2">
        <v>200.77600000000001</v>
      </c>
      <c r="H43" s="3">
        <f t="shared" si="1"/>
        <v>-10.731333333333311</v>
      </c>
    </row>
    <row r="44" spans="2:8" x14ac:dyDescent="0.3">
      <c r="B44" t="s">
        <v>46</v>
      </c>
      <c r="C44" s="2">
        <v>204.483</v>
      </c>
      <c r="D44" s="2">
        <v>196.45699999999999</v>
      </c>
      <c r="E44" s="2">
        <v>210.977</v>
      </c>
      <c r="F44" s="2">
        <f t="shared" si="0"/>
        <v>203.97233333333335</v>
      </c>
      <c r="G44" s="2">
        <v>198.82</v>
      </c>
      <c r="H44" s="3">
        <f t="shared" si="1"/>
        <v>-5.1523333333333596</v>
      </c>
    </row>
    <row r="45" spans="2:8" x14ac:dyDescent="0.3">
      <c r="B45" t="s">
        <v>47</v>
      </c>
      <c r="C45" s="2">
        <v>213.37299999999999</v>
      </c>
      <c r="D45" s="2">
        <v>211.56700000000001</v>
      </c>
      <c r="E45" s="2">
        <v>216.66900000000001</v>
      </c>
      <c r="F45" s="2">
        <f t="shared" si="0"/>
        <v>213.86966666666669</v>
      </c>
      <c r="G45" s="2">
        <v>191.678</v>
      </c>
      <c r="H45" s="3">
        <f t="shared" si="1"/>
        <v>-22.191666666666691</v>
      </c>
    </row>
    <row r="46" spans="2:8" x14ac:dyDescent="0.3">
      <c r="B46" t="s">
        <v>48</v>
      </c>
      <c r="C46" s="2">
        <v>216.31</v>
      </c>
      <c r="D46" s="2">
        <v>209.77500000000001</v>
      </c>
      <c r="E46" s="2">
        <v>212.88399999999999</v>
      </c>
      <c r="F46" s="2">
        <f t="shared" si="0"/>
        <v>212.98966666666669</v>
      </c>
      <c r="G46" s="2">
        <v>198.65700000000001</v>
      </c>
      <c r="H46" s="3">
        <f t="shared" si="1"/>
        <v>-14.332666666666682</v>
      </c>
    </row>
    <row r="47" spans="2:8" x14ac:dyDescent="0.3">
      <c r="B47" t="s">
        <v>49</v>
      </c>
      <c r="C47" s="2">
        <v>204.10900000000001</v>
      </c>
      <c r="D47" s="2">
        <v>196.2</v>
      </c>
      <c r="E47" s="2">
        <v>211.179</v>
      </c>
      <c r="F47" s="2">
        <f t="shared" si="0"/>
        <v>203.82933333333332</v>
      </c>
      <c r="G47" s="2">
        <v>184.99799999999999</v>
      </c>
      <c r="H47" s="3">
        <f t="shared" si="1"/>
        <v>-18.831333333333333</v>
      </c>
    </row>
    <row r="48" spans="2:8" x14ac:dyDescent="0.3">
      <c r="B48" t="s">
        <v>50</v>
      </c>
      <c r="C48" s="2">
        <v>213.512</v>
      </c>
      <c r="D48" s="2">
        <v>211.73699999999999</v>
      </c>
      <c r="E48" s="2">
        <v>217.26499999999999</v>
      </c>
      <c r="F48" s="2">
        <f t="shared" si="0"/>
        <v>214.17133333333334</v>
      </c>
      <c r="G48" s="2">
        <v>202.46299999999999</v>
      </c>
      <c r="H48" s="3">
        <f t="shared" si="1"/>
        <v>-11.708333333333343</v>
      </c>
    </row>
    <row r="49" spans="2:8" x14ac:dyDescent="0.3">
      <c r="B49" t="s">
        <v>51</v>
      </c>
      <c r="C49" s="2">
        <v>215.999</v>
      </c>
      <c r="D49" s="2">
        <v>206.38800000000001</v>
      </c>
      <c r="E49" s="2">
        <v>214.17400000000001</v>
      </c>
      <c r="F49" s="2">
        <f t="shared" si="0"/>
        <v>212.18700000000001</v>
      </c>
      <c r="G49" s="2">
        <v>200.37899999999999</v>
      </c>
      <c r="H49" s="3">
        <f t="shared" si="1"/>
        <v>-11.808000000000021</v>
      </c>
    </row>
    <row r="50" spans="2:8" x14ac:dyDescent="0.3">
      <c r="B50" t="s">
        <v>52</v>
      </c>
      <c r="C50" s="2">
        <v>203.374</v>
      </c>
      <c r="D50" s="2">
        <v>197.63900000000001</v>
      </c>
      <c r="E50" s="2">
        <v>210.755</v>
      </c>
      <c r="F50" s="2">
        <f t="shared" si="0"/>
        <v>203.92266666666669</v>
      </c>
      <c r="G50" s="2">
        <v>192.79900000000001</v>
      </c>
      <c r="H50" s="3">
        <f t="shared" si="1"/>
        <v>-11.123666666666679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B8385-90B9-4DE4-9763-DCD3176A237F}">
  <dimension ref="B3:Y19"/>
  <sheetViews>
    <sheetView topLeftCell="L1" workbookViewId="0">
      <selection activeCell="T4" sqref="T4:T19"/>
    </sheetView>
  </sheetViews>
  <sheetFormatPr defaultRowHeight="14.4" x14ac:dyDescent="0.3"/>
  <cols>
    <col min="2" max="2" width="16.5546875" customWidth="1"/>
    <col min="6" max="6" width="12.21875" customWidth="1"/>
    <col min="10" max="10" width="12.5546875" customWidth="1"/>
    <col min="19" max="19" width="17" customWidth="1"/>
    <col min="20" max="20" width="12.33203125" customWidth="1"/>
    <col min="23" max="23" width="12.33203125" customWidth="1"/>
    <col min="24" max="24" width="10.77734375" customWidth="1"/>
  </cols>
  <sheetData>
    <row r="3" spans="2:25" ht="43.2" x14ac:dyDescent="0.3">
      <c r="B3" s="4" t="s">
        <v>60</v>
      </c>
      <c r="C3" s="4">
        <v>1</v>
      </c>
      <c r="D3" s="4">
        <v>2</v>
      </c>
      <c r="E3" s="4">
        <v>3</v>
      </c>
      <c r="F3" s="7" t="s">
        <v>61</v>
      </c>
      <c r="G3" s="4" t="s">
        <v>62</v>
      </c>
      <c r="J3" s="4" t="s">
        <v>79</v>
      </c>
      <c r="K3" s="4">
        <v>1</v>
      </c>
      <c r="L3" s="4">
        <v>2</v>
      </c>
      <c r="M3" s="4">
        <v>3</v>
      </c>
      <c r="N3" s="4">
        <v>4</v>
      </c>
      <c r="O3" s="4" t="s">
        <v>2</v>
      </c>
      <c r="P3" s="4" t="s">
        <v>62</v>
      </c>
      <c r="S3" s="5" t="s">
        <v>60</v>
      </c>
      <c r="T3" s="7" t="s">
        <v>84</v>
      </c>
      <c r="W3" s="7" t="s">
        <v>79</v>
      </c>
      <c r="X3" s="7" t="s">
        <v>85</v>
      </c>
      <c r="Y3" s="4" t="s">
        <v>62</v>
      </c>
    </row>
    <row r="4" spans="2:25" x14ac:dyDescent="0.3">
      <c r="B4" t="s">
        <v>63</v>
      </c>
      <c r="C4" s="3">
        <v>-31.984000000000037</v>
      </c>
      <c r="D4" s="3">
        <v>-23.561000000000035</v>
      </c>
      <c r="E4" s="3">
        <v>-27.32966666666664</v>
      </c>
      <c r="F4" s="3">
        <f>AVERAGE(C4:E4)</f>
        <v>-27.624888888888904</v>
      </c>
      <c r="G4" s="3">
        <f>_xlfn.STDEV.P(C4:E4)</f>
        <v>3.4450059864844449</v>
      </c>
      <c r="J4" t="s">
        <v>80</v>
      </c>
      <c r="K4" s="3">
        <v>-27.624888888888904</v>
      </c>
      <c r="L4" s="3">
        <v>-28.440444444444438</v>
      </c>
      <c r="M4" s="3">
        <v>-29.004000000000019</v>
      </c>
      <c r="N4" s="3">
        <v>-18.143333333333334</v>
      </c>
      <c r="O4" s="8">
        <f>AVERAGE(K4:N4)</f>
        <v>-25.803166666666673</v>
      </c>
      <c r="P4" s="3">
        <f>_xlfn.STDEV.P(K4:N4)</f>
        <v>4.4495024062899828</v>
      </c>
      <c r="S4" s="10" t="s">
        <v>63</v>
      </c>
      <c r="T4" s="11">
        <f>F4/O4</f>
        <v>1.0706007229948094</v>
      </c>
      <c r="W4" t="s">
        <v>80</v>
      </c>
      <c r="X4" s="3">
        <f>AVERAGE(T4:T7)</f>
        <v>1</v>
      </c>
      <c r="Y4" s="3">
        <f>_xlfn.STDEV.P(T4:T7)</f>
        <v>0.17244016844017793</v>
      </c>
    </row>
    <row r="5" spans="2:25" x14ac:dyDescent="0.3">
      <c r="B5" t="s">
        <v>64</v>
      </c>
      <c r="C5" s="3">
        <v>-31.231999999999999</v>
      </c>
      <c r="D5" s="3">
        <v>-29.477666666666636</v>
      </c>
      <c r="E5" s="3">
        <v>-24.611666666666679</v>
      </c>
      <c r="F5" s="3">
        <f t="shared" ref="F5:F19" si="0">AVERAGE(C5:E5)</f>
        <v>-28.440444444444438</v>
      </c>
      <c r="G5" s="3">
        <f t="shared" ref="G5:G19" si="1">_xlfn.STDEV.P(C5:E5)</f>
        <v>2.8004851740147618</v>
      </c>
      <c r="J5" s="1" t="s">
        <v>81</v>
      </c>
      <c r="K5" s="3">
        <v>-14.579666666666659</v>
      </c>
      <c r="L5" s="3">
        <v>-18.797555555555551</v>
      </c>
      <c r="M5" s="3">
        <v>-17.881111111111125</v>
      </c>
      <c r="N5" s="3">
        <v>-20.120222222222214</v>
      </c>
      <c r="O5" s="3">
        <f t="shared" ref="O5:O7" si="2">AVERAGE(K5:N5)</f>
        <v>-17.844638888888888</v>
      </c>
      <c r="P5" s="3">
        <f t="shared" ref="P5:P7" si="3">_xlfn.STDEV.P(K5:N5)</f>
        <v>2.0461979080377355</v>
      </c>
      <c r="S5" s="10" t="s">
        <v>64</v>
      </c>
      <c r="T5" s="11">
        <f>F5/O4</f>
        <v>1.1022075240549711</v>
      </c>
      <c r="W5" s="1" t="s">
        <v>81</v>
      </c>
      <c r="X5" s="3">
        <f>AVERAGE(T8:T11)</f>
        <v>0.69156778776076122</v>
      </c>
      <c r="Y5" s="3">
        <f>_xlfn.STDEV.P(T8:T11)</f>
        <v>7.9300263199132415E-2</v>
      </c>
    </row>
    <row r="6" spans="2:25" x14ac:dyDescent="0.3">
      <c r="B6" t="s">
        <v>65</v>
      </c>
      <c r="C6" s="3">
        <v>-22.764000000000038</v>
      </c>
      <c r="D6" s="3">
        <v>-37.051666666666677</v>
      </c>
      <c r="E6" s="3">
        <v>-27.196333333333342</v>
      </c>
      <c r="F6" s="3">
        <f t="shared" si="0"/>
        <v>-29.004000000000019</v>
      </c>
      <c r="G6" s="3">
        <f t="shared" si="1"/>
        <v>5.9713258593480196</v>
      </c>
      <c r="J6" s="1" t="s">
        <v>82</v>
      </c>
      <c r="K6" s="3">
        <v>-30.686000000000007</v>
      </c>
      <c r="L6" s="3">
        <v>-32.212555555555554</v>
      </c>
      <c r="M6" s="3">
        <v>-26.294222222222231</v>
      </c>
      <c r="N6" s="3">
        <v>-24.367888888888888</v>
      </c>
      <c r="O6" s="3">
        <f t="shared" si="2"/>
        <v>-28.390166666666669</v>
      </c>
      <c r="P6" s="3">
        <f t="shared" si="3"/>
        <v>3.1801418658665326</v>
      </c>
      <c r="S6" s="10" t="s">
        <v>65</v>
      </c>
      <c r="T6" s="11">
        <f>F6/O4</f>
        <v>1.1240480819537659</v>
      </c>
      <c r="W6" s="1" t="s">
        <v>82</v>
      </c>
      <c r="X6" s="3">
        <f>AVERAGE(T12:T15)</f>
        <v>1.100259012136753</v>
      </c>
      <c r="Y6" s="3">
        <f>_xlfn.STDEV.P(T12:T15)</f>
        <v>0.12324618551469185</v>
      </c>
    </row>
    <row r="7" spans="2:25" x14ac:dyDescent="0.3">
      <c r="B7" t="s">
        <v>66</v>
      </c>
      <c r="C7" s="3">
        <v>-22.667333333333346</v>
      </c>
      <c r="D7" s="3">
        <v>-16.908333333333331</v>
      </c>
      <c r="E7" s="3">
        <v>-14.854333333333329</v>
      </c>
      <c r="F7" s="3">
        <f t="shared" si="0"/>
        <v>-18.143333333333334</v>
      </c>
      <c r="G7" s="3">
        <f t="shared" si="1"/>
        <v>3.3070289788066174</v>
      </c>
      <c r="J7" s="1" t="s">
        <v>83</v>
      </c>
      <c r="K7" s="3">
        <v>-10.969666666666654</v>
      </c>
      <c r="L7" s="3">
        <v>-8.954444444444448</v>
      </c>
      <c r="M7" s="3">
        <v>-18.451888888888902</v>
      </c>
      <c r="N7" s="3">
        <v>-11.546666666666681</v>
      </c>
      <c r="O7" s="3">
        <f t="shared" si="2"/>
        <v>-12.480666666666671</v>
      </c>
      <c r="P7" s="3">
        <f t="shared" si="3"/>
        <v>3.5792881620391479</v>
      </c>
      <c r="S7" s="10" t="s">
        <v>66</v>
      </c>
      <c r="T7" s="11">
        <f>F7/O4</f>
        <v>0.70314367099645381</v>
      </c>
      <c r="W7" s="1" t="s">
        <v>83</v>
      </c>
      <c r="X7" s="3">
        <f>AVERAGE(T16:T19)</f>
        <v>0.48368740270896993</v>
      </c>
      <c r="Y7" s="3">
        <f>_xlfn.STDEV.P(T16:T19)</f>
        <v>0.1387150735519215</v>
      </c>
    </row>
    <row r="8" spans="2:25" x14ac:dyDescent="0.3">
      <c r="B8" s="1" t="s">
        <v>67</v>
      </c>
      <c r="C8" s="3">
        <v>-11.684999999999974</v>
      </c>
      <c r="D8" s="3">
        <v>-15.085000000000008</v>
      </c>
      <c r="E8" s="3">
        <v>-16.968999999999994</v>
      </c>
      <c r="F8" s="3">
        <f t="shared" si="0"/>
        <v>-14.579666666666659</v>
      </c>
      <c r="G8" s="3">
        <f t="shared" si="1"/>
        <v>2.1865780469847396</v>
      </c>
      <c r="S8" s="12" t="s">
        <v>67</v>
      </c>
      <c r="T8" s="13">
        <f>F8/O4</f>
        <v>0.56503400745386501</v>
      </c>
    </row>
    <row r="9" spans="2:25" x14ac:dyDescent="0.3">
      <c r="B9" s="1" t="s">
        <v>68</v>
      </c>
      <c r="C9" s="3">
        <v>-16.979333333333329</v>
      </c>
      <c r="D9" s="3">
        <v>-18.682000000000016</v>
      </c>
      <c r="E9" s="3">
        <v>-20.731333333333311</v>
      </c>
      <c r="F9" s="3">
        <f t="shared" si="0"/>
        <v>-18.797555555555551</v>
      </c>
      <c r="G9" s="3">
        <f t="shared" si="1"/>
        <v>1.5339254251353021</v>
      </c>
      <c r="S9" s="12" t="s">
        <v>68</v>
      </c>
      <c r="T9" s="13">
        <f>F9/O4</f>
        <v>0.72849800950357047</v>
      </c>
    </row>
    <row r="10" spans="2:25" x14ac:dyDescent="0.3">
      <c r="B10" s="1" t="s">
        <v>69</v>
      </c>
      <c r="C10" s="3">
        <v>-19.52266666666668</v>
      </c>
      <c r="D10" s="3">
        <v>-15.267666666666685</v>
      </c>
      <c r="E10" s="3">
        <v>-18.853000000000009</v>
      </c>
      <c r="F10" s="3">
        <f t="shared" si="0"/>
        <v>-17.881111111111125</v>
      </c>
      <c r="G10" s="3">
        <f t="shared" si="1"/>
        <v>1.86809747412696</v>
      </c>
      <c r="S10" s="12" t="s">
        <v>69</v>
      </c>
      <c r="T10" s="13">
        <f>F10/O4</f>
        <v>0.6929812662959115</v>
      </c>
    </row>
    <row r="11" spans="2:25" x14ac:dyDescent="0.3">
      <c r="B11" s="1" t="s">
        <v>70</v>
      </c>
      <c r="C11" s="3">
        <v>-17.772333333333336</v>
      </c>
      <c r="D11" s="3">
        <v>-16.402333333333303</v>
      </c>
      <c r="E11" s="3">
        <v>-26.186000000000007</v>
      </c>
      <c r="F11" s="3">
        <f t="shared" si="0"/>
        <v>-20.120222222222214</v>
      </c>
      <c r="G11" s="3">
        <f t="shared" si="1"/>
        <v>4.3254649104296412</v>
      </c>
      <c r="S11" s="12" t="s">
        <v>70</v>
      </c>
      <c r="T11" s="13">
        <f>F11/O4</f>
        <v>0.77975786778969802</v>
      </c>
    </row>
    <row r="12" spans="2:25" x14ac:dyDescent="0.3">
      <c r="B12" t="s">
        <v>71</v>
      </c>
      <c r="C12" s="3">
        <v>-41.705333333333328</v>
      </c>
      <c r="D12" s="3">
        <v>-25.441000000000003</v>
      </c>
      <c r="E12" s="3">
        <v>-24.91166666666669</v>
      </c>
      <c r="F12" s="3">
        <f t="shared" si="0"/>
        <v>-30.686000000000007</v>
      </c>
      <c r="G12" s="3">
        <f t="shared" si="1"/>
        <v>7.794841404321093</v>
      </c>
      <c r="S12" s="14" t="s">
        <v>71</v>
      </c>
      <c r="T12" s="15">
        <f>F12/O4</f>
        <v>1.1892338795625859</v>
      </c>
    </row>
    <row r="13" spans="2:25" x14ac:dyDescent="0.3">
      <c r="B13" t="s">
        <v>72</v>
      </c>
      <c r="C13" s="3">
        <v>-35.932666666666648</v>
      </c>
      <c r="D13" s="3">
        <v>-34.268333333333345</v>
      </c>
      <c r="E13" s="3">
        <v>-26.436666666666667</v>
      </c>
      <c r="F13" s="3">
        <f t="shared" si="0"/>
        <v>-32.212555555555554</v>
      </c>
      <c r="G13" s="3">
        <f t="shared" si="1"/>
        <v>4.1403035882009052</v>
      </c>
      <c r="S13" s="14" t="s">
        <v>72</v>
      </c>
      <c r="T13" s="15">
        <f>F13/O4</f>
        <v>1.2483954381137539</v>
      </c>
    </row>
    <row r="14" spans="2:25" x14ac:dyDescent="0.3">
      <c r="B14" t="s">
        <v>73</v>
      </c>
      <c r="C14" s="3">
        <v>-18.803666666666686</v>
      </c>
      <c r="D14" s="3">
        <v>-33.102666666666664</v>
      </c>
      <c r="E14" s="3">
        <v>-26.976333333333343</v>
      </c>
      <c r="F14" s="3">
        <f t="shared" si="0"/>
        <v>-26.294222222222231</v>
      </c>
      <c r="G14" s="3">
        <f t="shared" si="1"/>
        <v>5.8574344170991104</v>
      </c>
      <c r="S14" s="14" t="s">
        <v>73</v>
      </c>
      <c r="T14" s="15">
        <f>F14/O4</f>
        <v>1.0190308252432412</v>
      </c>
    </row>
    <row r="15" spans="2:25" x14ac:dyDescent="0.3">
      <c r="B15" t="s">
        <v>74</v>
      </c>
      <c r="C15" s="3">
        <v>-15.369999999999976</v>
      </c>
      <c r="D15" s="3">
        <v>-26.50200000000001</v>
      </c>
      <c r="E15" s="3">
        <v>-31.231666666666683</v>
      </c>
      <c r="F15" s="3">
        <f t="shared" si="0"/>
        <v>-24.367888888888888</v>
      </c>
      <c r="G15" s="3">
        <f t="shared" si="1"/>
        <v>6.6490069452531708</v>
      </c>
      <c r="S15" s="14" t="s">
        <v>74</v>
      </c>
      <c r="T15" s="15">
        <f>F15/O4</f>
        <v>0.94437590562743134</v>
      </c>
    </row>
    <row r="16" spans="2:25" x14ac:dyDescent="0.3">
      <c r="B16" t="s">
        <v>75</v>
      </c>
      <c r="C16" s="3">
        <v>-7.9946666666666317</v>
      </c>
      <c r="D16" s="3">
        <v>-4.6556666666666615</v>
      </c>
      <c r="E16" s="3">
        <v>-20.25866666666667</v>
      </c>
      <c r="F16" s="3">
        <f t="shared" si="0"/>
        <v>-10.969666666666654</v>
      </c>
      <c r="G16" s="3">
        <f t="shared" si="1"/>
        <v>6.7082720576911692</v>
      </c>
      <c r="S16" s="16" t="s">
        <v>75</v>
      </c>
      <c r="T16" s="17">
        <f>F16/O4</f>
        <v>0.42512869867393477</v>
      </c>
    </row>
    <row r="17" spans="2:20" x14ac:dyDescent="0.3">
      <c r="B17" t="s">
        <v>76</v>
      </c>
      <c r="C17" s="3">
        <v>-10.979666666666674</v>
      </c>
      <c r="D17" s="3">
        <v>-10.731333333333311</v>
      </c>
      <c r="E17" s="3">
        <v>-5.1523333333333596</v>
      </c>
      <c r="F17" s="3">
        <f t="shared" si="0"/>
        <v>-8.954444444444448</v>
      </c>
      <c r="G17" s="3">
        <f t="shared" si="1"/>
        <v>2.6904093910328859</v>
      </c>
      <c r="S17" s="16" t="s">
        <v>76</v>
      </c>
      <c r="T17" s="17">
        <f>F17/O4</f>
        <v>0.34702889610878945</v>
      </c>
    </row>
    <row r="18" spans="2:20" x14ac:dyDescent="0.3">
      <c r="B18" t="s">
        <v>77</v>
      </c>
      <c r="C18" s="3">
        <v>-22.191666666666691</v>
      </c>
      <c r="D18" s="3">
        <v>-14.332666666666682</v>
      </c>
      <c r="E18" s="3">
        <v>-18.831333333333333</v>
      </c>
      <c r="F18" s="3">
        <f t="shared" si="0"/>
        <v>-18.451888888888902</v>
      </c>
      <c r="G18" s="3">
        <f t="shared" si="1"/>
        <v>3.2196225259922184</v>
      </c>
      <c r="S18" s="16" t="s">
        <v>77</v>
      </c>
      <c r="T18" s="17">
        <f>F18/O4</f>
        <v>0.71510172093433877</v>
      </c>
    </row>
    <row r="19" spans="2:20" x14ac:dyDescent="0.3">
      <c r="B19" t="s">
        <v>78</v>
      </c>
      <c r="C19" s="3">
        <v>-11.708333333333343</v>
      </c>
      <c r="D19" s="3">
        <v>-11.808000000000021</v>
      </c>
      <c r="E19" s="3">
        <v>-11.123666666666679</v>
      </c>
      <c r="F19" s="3">
        <f t="shared" si="0"/>
        <v>-11.546666666666681</v>
      </c>
      <c r="G19" s="3">
        <f t="shared" si="1"/>
        <v>0.30186101781130209</v>
      </c>
      <c r="S19" s="16" t="s">
        <v>78</v>
      </c>
      <c r="T19" s="17">
        <f>F19/O4</f>
        <v>0.44749029511881661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0163B-58A1-49C8-869C-F8F3653A7C8A}">
  <dimension ref="A1:C17"/>
  <sheetViews>
    <sheetView tabSelected="1" workbookViewId="0">
      <selection activeCell="D12" sqref="D12"/>
    </sheetView>
  </sheetViews>
  <sheetFormatPr defaultRowHeight="14.4" x14ac:dyDescent="0.3"/>
  <cols>
    <col min="1" max="1" width="15.77734375" customWidth="1"/>
  </cols>
  <sheetData>
    <row r="1" spans="1:3" x14ac:dyDescent="0.3">
      <c r="A1" t="s">
        <v>95</v>
      </c>
      <c r="B1" t="s">
        <v>96</v>
      </c>
      <c r="C1" t="s">
        <v>97</v>
      </c>
    </row>
    <row r="2" spans="1:3" x14ac:dyDescent="0.3">
      <c r="A2" t="s">
        <v>80</v>
      </c>
      <c r="B2">
        <v>1.0706007229948094</v>
      </c>
      <c r="C2" t="s">
        <v>98</v>
      </c>
    </row>
    <row r="3" spans="1:3" x14ac:dyDescent="0.3">
      <c r="A3" t="s">
        <v>80</v>
      </c>
      <c r="B3">
        <v>1.1022075240549711</v>
      </c>
      <c r="C3" t="s">
        <v>98</v>
      </c>
    </row>
    <row r="4" spans="1:3" x14ac:dyDescent="0.3">
      <c r="A4" t="s">
        <v>80</v>
      </c>
      <c r="B4">
        <v>1.1240480819537659</v>
      </c>
      <c r="C4" t="s">
        <v>98</v>
      </c>
    </row>
    <row r="5" spans="1:3" x14ac:dyDescent="0.3">
      <c r="A5" t="s">
        <v>80</v>
      </c>
      <c r="B5">
        <v>0.70314367099645381</v>
      </c>
      <c r="C5" t="s">
        <v>98</v>
      </c>
    </row>
    <row r="6" spans="1:3" x14ac:dyDescent="0.3">
      <c r="A6" t="s">
        <v>81</v>
      </c>
      <c r="B6">
        <v>0.56503400745386501</v>
      </c>
      <c r="C6" t="s">
        <v>99</v>
      </c>
    </row>
    <row r="7" spans="1:3" x14ac:dyDescent="0.3">
      <c r="A7" t="s">
        <v>81</v>
      </c>
      <c r="B7">
        <v>0.72849800950357047</v>
      </c>
      <c r="C7" t="s">
        <v>99</v>
      </c>
    </row>
    <row r="8" spans="1:3" x14ac:dyDescent="0.3">
      <c r="A8" t="s">
        <v>93</v>
      </c>
      <c r="B8">
        <v>0.6929812662959115</v>
      </c>
      <c r="C8" t="s">
        <v>99</v>
      </c>
    </row>
    <row r="9" spans="1:3" x14ac:dyDescent="0.3">
      <c r="A9" t="s">
        <v>93</v>
      </c>
      <c r="B9">
        <v>0.77975786778969802</v>
      </c>
      <c r="C9" t="s">
        <v>99</v>
      </c>
    </row>
    <row r="10" spans="1:3" x14ac:dyDescent="0.3">
      <c r="A10" t="s">
        <v>92</v>
      </c>
      <c r="B10">
        <v>1.1892338795625859</v>
      </c>
      <c r="C10" t="s">
        <v>100</v>
      </c>
    </row>
    <row r="11" spans="1:3" x14ac:dyDescent="0.3">
      <c r="A11" t="s">
        <v>92</v>
      </c>
      <c r="B11">
        <v>1.2483954381137539</v>
      </c>
      <c r="C11" t="s">
        <v>100</v>
      </c>
    </row>
    <row r="12" spans="1:3" x14ac:dyDescent="0.3">
      <c r="A12" t="s">
        <v>92</v>
      </c>
      <c r="B12">
        <v>1.0190308252432412</v>
      </c>
      <c r="C12" t="s">
        <v>100</v>
      </c>
    </row>
    <row r="13" spans="1:3" x14ac:dyDescent="0.3">
      <c r="A13" t="s">
        <v>92</v>
      </c>
      <c r="B13">
        <v>0.94437590562743134</v>
      </c>
      <c r="C13" t="s">
        <v>100</v>
      </c>
    </row>
    <row r="14" spans="1:3" x14ac:dyDescent="0.3">
      <c r="A14" t="s">
        <v>94</v>
      </c>
      <c r="B14">
        <v>0.42512869867393477</v>
      </c>
      <c r="C14" t="s">
        <v>101</v>
      </c>
    </row>
    <row r="15" spans="1:3" x14ac:dyDescent="0.3">
      <c r="A15" t="s">
        <v>94</v>
      </c>
      <c r="B15">
        <v>0.34702889610878945</v>
      </c>
      <c r="C15" t="s">
        <v>101</v>
      </c>
    </row>
    <row r="16" spans="1:3" x14ac:dyDescent="0.3">
      <c r="A16" t="s">
        <v>94</v>
      </c>
      <c r="B16">
        <v>0.71510172093433877</v>
      </c>
      <c r="C16" t="s">
        <v>101</v>
      </c>
    </row>
    <row r="17" spans="1:3" x14ac:dyDescent="0.3">
      <c r="A17" t="s">
        <v>94</v>
      </c>
      <c r="B17">
        <v>0.44749029511881661</v>
      </c>
      <c r="C17" t="s">
        <v>101</v>
      </c>
    </row>
  </sheetData>
  <phoneticPr fontId="19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9DBFF-1F08-4959-861A-D06C15328FA5}">
  <dimension ref="B3:H25"/>
  <sheetViews>
    <sheetView topLeftCell="A3" workbookViewId="0">
      <selection activeCell="S20" sqref="S20"/>
    </sheetView>
  </sheetViews>
  <sheetFormatPr defaultRowHeight="14.4" x14ac:dyDescent="0.3"/>
  <cols>
    <col min="2" max="2" width="17.88671875" customWidth="1"/>
    <col min="3" max="3" width="12.77734375" customWidth="1"/>
    <col min="6" max="6" width="13.109375" customWidth="1"/>
    <col min="7" max="7" width="10.6640625" customWidth="1"/>
  </cols>
  <sheetData>
    <row r="3" spans="2:8" ht="31.2" customHeight="1" x14ac:dyDescent="0.3">
      <c r="B3" s="7" t="s">
        <v>60</v>
      </c>
      <c r="C3" s="7" t="s">
        <v>84</v>
      </c>
      <c r="F3" s="7" t="s">
        <v>79</v>
      </c>
      <c r="G3" s="7" t="s">
        <v>85</v>
      </c>
      <c r="H3" s="4" t="s">
        <v>62</v>
      </c>
    </row>
    <row r="4" spans="2:8" x14ac:dyDescent="0.3">
      <c r="B4" t="s">
        <v>63</v>
      </c>
      <c r="C4" s="9">
        <v>1.0706007229948094</v>
      </c>
      <c r="F4" t="s">
        <v>80</v>
      </c>
      <c r="G4" s="3">
        <f>AVERAGE(C4:C10)</f>
        <v>1</v>
      </c>
      <c r="H4" s="3">
        <f>_xlfn.STDEV.P(C4:C10)</f>
        <v>0.13793983878863758</v>
      </c>
    </row>
    <row r="5" spans="2:8" x14ac:dyDescent="0.3">
      <c r="B5" t="s">
        <v>64</v>
      </c>
      <c r="C5" s="9">
        <v>1.1022075240549711</v>
      </c>
      <c r="F5" s="1" t="s">
        <v>81</v>
      </c>
      <c r="G5" s="3">
        <f>AVERAGE(C11:C17)</f>
        <v>0.54303942097803248</v>
      </c>
      <c r="H5" s="3">
        <f>_xlfn.STDEV.P(C11:C17)</f>
        <v>0.18256482747454988</v>
      </c>
    </row>
    <row r="6" spans="2:8" x14ac:dyDescent="0.3">
      <c r="B6" t="s">
        <v>65</v>
      </c>
      <c r="C6" s="9">
        <v>1.1240480819537659</v>
      </c>
      <c r="F6" s="1" t="s">
        <v>82</v>
      </c>
      <c r="G6" s="3">
        <f>AVERAGE(C18:C21)</f>
        <v>1.100259012136753</v>
      </c>
      <c r="H6" s="3">
        <f>_xlfn.STDEV.P(C18:C21)</f>
        <v>0.12324618551469185</v>
      </c>
    </row>
    <row r="7" spans="2:8" x14ac:dyDescent="0.3">
      <c r="B7" t="s">
        <v>66</v>
      </c>
      <c r="C7" s="9">
        <v>0.70314367099645381</v>
      </c>
      <c r="F7" s="1" t="s">
        <v>83</v>
      </c>
      <c r="G7" s="3">
        <f>AVERAGE(C22:C25)</f>
        <v>0.48368740270896993</v>
      </c>
      <c r="H7" s="3">
        <f>_xlfn.STDEV.P(C22:C25)</f>
        <v>0.1387150735519215</v>
      </c>
    </row>
    <row r="8" spans="2:8" x14ac:dyDescent="0.3">
      <c r="B8" s="18" t="s">
        <v>86</v>
      </c>
      <c r="C8" s="19">
        <v>1.0913290573473662</v>
      </c>
    </row>
    <row r="9" spans="2:8" x14ac:dyDescent="0.3">
      <c r="B9" s="18" t="s">
        <v>87</v>
      </c>
      <c r="C9" s="19">
        <v>0.98381302239999002</v>
      </c>
    </row>
    <row r="10" spans="2:8" x14ac:dyDescent="0.3">
      <c r="B10" s="18" t="s">
        <v>88</v>
      </c>
      <c r="C10" s="19">
        <v>0.92485792025264368</v>
      </c>
    </row>
    <row r="11" spans="2:8" x14ac:dyDescent="0.3">
      <c r="B11" t="s">
        <v>67</v>
      </c>
      <c r="C11" s="9">
        <v>0.56503400745386501</v>
      </c>
    </row>
    <row r="12" spans="2:8" x14ac:dyDescent="0.3">
      <c r="B12" t="s">
        <v>68</v>
      </c>
      <c r="C12" s="9">
        <v>0.72849800950357047</v>
      </c>
    </row>
    <row r="13" spans="2:8" x14ac:dyDescent="0.3">
      <c r="B13" t="s">
        <v>69</v>
      </c>
      <c r="C13" s="9">
        <v>0.6929812662959115</v>
      </c>
    </row>
    <row r="14" spans="2:8" x14ac:dyDescent="0.3">
      <c r="B14" t="s">
        <v>70</v>
      </c>
      <c r="C14" s="9">
        <v>0.77975786778969802</v>
      </c>
    </row>
    <row r="15" spans="2:8" x14ac:dyDescent="0.3">
      <c r="B15" s="18" t="s">
        <v>89</v>
      </c>
      <c r="C15" s="19">
        <v>0.34597119908129381</v>
      </c>
    </row>
    <row r="16" spans="2:8" x14ac:dyDescent="0.3">
      <c r="B16" s="18" t="s">
        <v>90</v>
      </c>
      <c r="C16" s="19">
        <v>0.37808937811156251</v>
      </c>
    </row>
    <row r="17" spans="2:3" x14ac:dyDescent="0.3">
      <c r="B17" s="18" t="s">
        <v>91</v>
      </c>
      <c r="C17" s="19">
        <v>0.31094421861032623</v>
      </c>
    </row>
    <row r="18" spans="2:3" x14ac:dyDescent="0.3">
      <c r="B18" t="s">
        <v>71</v>
      </c>
      <c r="C18" s="9">
        <v>1.1892338795625859</v>
      </c>
    </row>
    <row r="19" spans="2:3" x14ac:dyDescent="0.3">
      <c r="B19" t="s">
        <v>72</v>
      </c>
      <c r="C19" s="9">
        <v>1.2483954381137539</v>
      </c>
    </row>
    <row r="20" spans="2:3" x14ac:dyDescent="0.3">
      <c r="B20" t="s">
        <v>73</v>
      </c>
      <c r="C20" s="9">
        <v>1.0190308252432412</v>
      </c>
    </row>
    <row r="21" spans="2:3" x14ac:dyDescent="0.3">
      <c r="B21" t="s">
        <v>74</v>
      </c>
      <c r="C21" s="9">
        <v>0.94437590562743134</v>
      </c>
    </row>
    <row r="22" spans="2:3" x14ac:dyDescent="0.3">
      <c r="B22" t="s">
        <v>75</v>
      </c>
      <c r="C22" s="9">
        <v>0.42512869867393477</v>
      </c>
    </row>
    <row r="23" spans="2:3" x14ac:dyDescent="0.3">
      <c r="B23" t="s">
        <v>76</v>
      </c>
      <c r="C23" s="9">
        <v>0.34702889610878945</v>
      </c>
    </row>
    <row r="24" spans="2:3" x14ac:dyDescent="0.3">
      <c r="B24" t="s">
        <v>77</v>
      </c>
      <c r="C24" s="9">
        <v>0.71510172093433877</v>
      </c>
    </row>
    <row r="25" spans="2:3" x14ac:dyDescent="0.3">
      <c r="B25" t="s">
        <v>78</v>
      </c>
      <c r="C25" s="9">
        <v>0.44749029511881661</v>
      </c>
    </row>
  </sheetData>
  <pageMargins left="0.7" right="0.7" top="0.75" bottom="0.75" header="0.3" footer="0.3"/>
  <ignoredErrors>
    <ignoredError sqref="G4:G5 G6:G7 H4:H7" formulaRang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Inner circle</vt:lpstr>
      <vt:lpstr>Three circles</vt:lpstr>
      <vt:lpstr>Normalization</vt:lpstr>
      <vt:lpstr>ESTADISTICAA</vt:lpstr>
      <vt:lpstr>Data + Julia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Chávez</dc:creator>
  <cp:lastModifiedBy>Chavez Rodriguez, Luciana</cp:lastModifiedBy>
  <dcterms:created xsi:type="dcterms:W3CDTF">2025-08-02T18:30:06Z</dcterms:created>
  <dcterms:modified xsi:type="dcterms:W3CDTF">2025-08-19T19:48:48Z</dcterms:modified>
</cp:coreProperties>
</file>