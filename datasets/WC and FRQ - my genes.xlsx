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E78A1E4D-3297-4833-ABF8-F6058C5CB57B}" xr6:coauthVersionLast="47" xr6:coauthVersionMax="47" xr10:uidLastSave="{00000000-0000-0000-0000-000000000000}"/>
  <bookViews>
    <workbookView xWindow="-108" yWindow="-108" windowWidth="23256" windowHeight="12456" xr2:uid="{39CA3BDF-BE99-47F2-97A0-DB88A4BAC8D5}"/>
  </bookViews>
  <sheets>
    <sheet name="SXM-L" sheetId="1" r:id="rId1"/>
    <sheet name="PDM-L" sheetId="2" r:id="rId2"/>
    <sheet name="PLATE" sheetId="3" r:id="rId3"/>
    <sheet name="statist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J22" i="3"/>
  <c r="I22" i="3"/>
  <c r="K21" i="3"/>
  <c r="J21" i="3"/>
  <c r="I21" i="3"/>
  <c r="K20" i="3"/>
  <c r="K24" i="3" s="1"/>
  <c r="J20" i="3"/>
  <c r="J24" i="3" s="1"/>
  <c r="I20" i="3"/>
  <c r="I24" i="3" s="1"/>
  <c r="K16" i="3"/>
  <c r="J16" i="3"/>
  <c r="I16" i="3"/>
  <c r="K15" i="3"/>
  <c r="J15" i="3"/>
  <c r="K14" i="3"/>
  <c r="J14" i="3"/>
  <c r="I14" i="3"/>
  <c r="K13" i="3"/>
  <c r="J13" i="3"/>
  <c r="I13" i="3"/>
  <c r="K12" i="3"/>
  <c r="J12" i="3"/>
  <c r="I12" i="3"/>
  <c r="I15" i="3" s="1"/>
  <c r="K6" i="3"/>
  <c r="J6" i="3"/>
  <c r="J8" i="3" s="1"/>
  <c r="I6" i="3"/>
  <c r="I8" i="3" s="1"/>
  <c r="K5" i="3"/>
  <c r="K8" i="3" s="1"/>
  <c r="J5" i="3"/>
  <c r="I5" i="3"/>
  <c r="K4" i="3"/>
  <c r="J4" i="3"/>
  <c r="I4" i="3"/>
  <c r="E24" i="3"/>
  <c r="D24" i="3"/>
  <c r="C24" i="3"/>
  <c r="E23" i="3"/>
  <c r="D23" i="3"/>
  <c r="C23" i="3"/>
  <c r="E16" i="3"/>
  <c r="D16" i="3"/>
  <c r="C16" i="3"/>
  <c r="E15" i="3"/>
  <c r="D15" i="3"/>
  <c r="C15" i="3"/>
  <c r="E8" i="3"/>
  <c r="D8" i="3"/>
  <c r="C8" i="3"/>
  <c r="E7" i="3"/>
  <c r="D7" i="3"/>
  <c r="C7" i="3"/>
  <c r="K22" i="2"/>
  <c r="J22" i="2"/>
  <c r="I22" i="2"/>
  <c r="K21" i="2"/>
  <c r="J21" i="2"/>
  <c r="I21" i="2"/>
  <c r="K20" i="2"/>
  <c r="J20" i="2"/>
  <c r="I20" i="2"/>
  <c r="I23" i="2" s="1"/>
  <c r="K14" i="2"/>
  <c r="J14" i="2"/>
  <c r="I14" i="2"/>
  <c r="K13" i="2"/>
  <c r="J13" i="2"/>
  <c r="I13" i="2"/>
  <c r="K12" i="2"/>
  <c r="K16" i="2" s="1"/>
  <c r="J12" i="2"/>
  <c r="J16" i="2" s="1"/>
  <c r="I12" i="2"/>
  <c r="K6" i="2"/>
  <c r="J6" i="2"/>
  <c r="I6" i="2"/>
  <c r="K5" i="2"/>
  <c r="J5" i="2"/>
  <c r="I5" i="2"/>
  <c r="K4" i="2"/>
  <c r="J4" i="2"/>
  <c r="I4" i="2"/>
  <c r="E24" i="2"/>
  <c r="D24" i="2"/>
  <c r="C24" i="2"/>
  <c r="E23" i="2"/>
  <c r="D23" i="2"/>
  <c r="C23" i="2"/>
  <c r="E16" i="2"/>
  <c r="D16" i="2"/>
  <c r="C16" i="2"/>
  <c r="E15" i="2"/>
  <c r="D15" i="2"/>
  <c r="C15" i="2"/>
  <c r="E8" i="2"/>
  <c r="D8" i="2"/>
  <c r="C8" i="2"/>
  <c r="E7" i="2"/>
  <c r="D7" i="2"/>
  <c r="C7" i="2"/>
  <c r="J20" i="1"/>
  <c r="K20" i="1"/>
  <c r="J21" i="1"/>
  <c r="K21" i="1"/>
  <c r="J22" i="1"/>
  <c r="K22" i="1"/>
  <c r="I21" i="1"/>
  <c r="I22" i="1"/>
  <c r="I20" i="1"/>
  <c r="I24" i="1" s="1"/>
  <c r="J12" i="1"/>
  <c r="K12" i="1"/>
  <c r="J13" i="1"/>
  <c r="K13" i="1"/>
  <c r="J14" i="1"/>
  <c r="K14" i="1"/>
  <c r="I13" i="1"/>
  <c r="I14" i="1"/>
  <c r="I12" i="1"/>
  <c r="J4" i="1"/>
  <c r="K4" i="1"/>
  <c r="J5" i="1"/>
  <c r="K5" i="1"/>
  <c r="J6" i="1"/>
  <c r="J8" i="1" s="1"/>
  <c r="K6" i="1"/>
  <c r="I5" i="1"/>
  <c r="I6" i="1"/>
  <c r="I4" i="1"/>
  <c r="J7" i="1"/>
  <c r="I7" i="1"/>
  <c r="E24" i="1"/>
  <c r="D24" i="1"/>
  <c r="C24" i="1"/>
  <c r="E23" i="1"/>
  <c r="D23" i="1"/>
  <c r="C23" i="1"/>
  <c r="E16" i="1"/>
  <c r="D16" i="1"/>
  <c r="C16" i="1"/>
  <c r="E15" i="1"/>
  <c r="D15" i="1"/>
  <c r="C15" i="1"/>
  <c r="E8" i="1"/>
  <c r="D8" i="1"/>
  <c r="C8" i="1"/>
  <c r="E7" i="1"/>
  <c r="D7" i="1"/>
  <c r="C7" i="1"/>
  <c r="I23" i="3" l="1"/>
  <c r="J23" i="3"/>
  <c r="I7" i="3"/>
  <c r="K7" i="3"/>
  <c r="K23" i="3"/>
  <c r="J7" i="3"/>
  <c r="I16" i="1"/>
  <c r="J16" i="1"/>
  <c r="K8" i="1"/>
  <c r="I23" i="1"/>
  <c r="I8" i="1"/>
  <c r="K7" i="1"/>
  <c r="K15" i="1"/>
  <c r="J15" i="1"/>
  <c r="K24" i="1"/>
  <c r="J23" i="1"/>
  <c r="I15" i="1"/>
  <c r="I16" i="2"/>
  <c r="I8" i="2"/>
  <c r="J15" i="2"/>
  <c r="I15" i="2"/>
  <c r="K15" i="2"/>
  <c r="K8" i="2"/>
  <c r="J24" i="2"/>
  <c r="K24" i="2"/>
  <c r="K7" i="2"/>
  <c r="I7" i="2"/>
  <c r="J8" i="2"/>
  <c r="J7" i="2"/>
  <c r="J23" i="2"/>
  <c r="K23" i="2"/>
  <c r="I24" i="2"/>
  <c r="J24" i="1"/>
  <c r="K23" i="1"/>
  <c r="K16" i="1"/>
</calcChain>
</file>

<file path=xl/sharedStrings.xml><?xml version="1.0" encoding="utf-8"?>
<sst xmlns="http://schemas.openxmlformats.org/spreadsheetml/2006/main" count="455" uniqueCount="24">
  <si>
    <t>WT</t>
  </si>
  <si>
    <t>ΔFRQ</t>
  </si>
  <si>
    <t>ΔWC1</t>
  </si>
  <si>
    <t>AML1</t>
  </si>
  <si>
    <t>AVERAGE</t>
  </si>
  <si>
    <t>SD</t>
  </si>
  <si>
    <t>LLM1</t>
  </si>
  <si>
    <t>NML1</t>
  </si>
  <si>
    <t>SXM REL</t>
  </si>
  <si>
    <t>PDM REL</t>
  </si>
  <si>
    <t>PDM log2</t>
  </si>
  <si>
    <t>PLATE REL</t>
  </si>
  <si>
    <t>PLATE log2</t>
  </si>
  <si>
    <t>Stage</t>
  </si>
  <si>
    <t>Genes</t>
  </si>
  <si>
    <t>Treatment</t>
  </si>
  <si>
    <t>Expression</t>
  </si>
  <si>
    <t>Plot</t>
  </si>
  <si>
    <t>SXM</t>
  </si>
  <si>
    <t>a</t>
  </si>
  <si>
    <t>b</t>
  </si>
  <si>
    <t>c</t>
  </si>
  <si>
    <t>PDM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</si>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</sst>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0;\-###0.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horizontal="right" vertical="center"/>
    </xf>
    <xf numFmtId="1" fontId="0" fillId="3" borderId="0" xfId="0" applyNumberFormat="1" applyFill="1" applyAlignment="1">
      <alignment horizontal="righ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Normal 2" xfId="1" xr:uid="{9C94EC84-6DA7-4ED2-AB3D-16FC84D1D7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'SXM-L'!$I$3:$K$3</c:f>
              <c:strCache>
                <c:ptCount val="3"/>
                <c:pt idx="0">
                  <c:v>WT</c:v>
                </c:pt>
                <c:pt idx="1">
                  <c:v>ΔFRQ</c:v>
                </c:pt>
                <c:pt idx="2">
                  <c:v>ΔWC1</c:v>
                </c:pt>
              </c:strCache>
            </c:strRef>
          </c:cat>
          <c:val>
            <c:numRef>
              <c:f>'SXM-L'!$I$7:$K$7</c:f>
              <c:numCache>
                <c:formatCode>###0.000;\-###0.000</c:formatCode>
                <c:ptCount val="3"/>
                <c:pt idx="0" formatCode="0">
                  <c:v>0</c:v>
                </c:pt>
                <c:pt idx="1">
                  <c:v>-1.1789863748849108</c:v>
                </c:pt>
                <c:pt idx="2">
                  <c:v>-0.67385396249028207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2-4BD9-B8A8-0F303AE40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461103"/>
        <c:axId val="1690462543"/>
      </c:barChart>
      <c:catAx>
        <c:axId val="169046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90462543"/>
        <c:crosses val="autoZero"/>
        <c:auto val="1"/>
        <c:lblAlgn val="ctr"/>
        <c:lblOffset val="100"/>
        <c:noMultiLvlLbl val="0"/>
      </c:catAx>
      <c:valAx>
        <c:axId val="16904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904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205740</xdr:colOff>
      <xdr:row>1</xdr:row>
      <xdr:rowOff>26670</xdr:rowOff>
    </xdr:from>
    <xdr:to>
      <xdr:col>18</xdr:col>
      <xdr:colOff>312420</xdr:colOff>
      <xdr:row>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3933E-688B-5AF8-DE70-51D49CECD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E01E-95EB-4807-B243-D73384A582EB}">
  <dimension ref="B2:K24"/>
  <sheetViews>
    <sheetView tabSelected="1" workbookViewId="0">
      <selection activeCell="O17" sqref="O17"/>
    </sheetView>
  </sheetViews>
  <sheetFormatPr defaultRowHeight="14.4" x14ac:dyDescent="0.3"/>
  <sheetData>
    <row r="2" spans="2:11" x14ac:dyDescent="0.3">
      <c r="C2" s="17" t="s">
        <v>8</v>
      </c>
      <c r="D2" s="17"/>
      <c r="E2" s="17"/>
      <c r="I2" s="17" t="s">
        <v>8</v>
      </c>
      <c r="J2" s="17"/>
      <c r="K2" s="17"/>
    </row>
    <row r="3" spans="2:11" x14ac:dyDescent="0.3">
      <c r="B3" s="1"/>
      <c r="C3" s="2" t="s">
        <v>0</v>
      </c>
      <c r="D3" s="3" t="s">
        <v>1</v>
      </c>
      <c r="E3" s="3" t="s">
        <v>2</v>
      </c>
      <c r="H3" s="1"/>
      <c r="I3" s="2" t="s">
        <v>0</v>
      </c>
      <c r="J3" s="3" t="s">
        <v>1</v>
      </c>
      <c r="K3" s="3" t="s">
        <v>2</v>
      </c>
    </row>
    <row r="4" spans="2:11" x14ac:dyDescent="0.3">
      <c r="B4" s="12" t="s">
        <v>3</v>
      </c>
      <c r="C4" s="5">
        <v>1</v>
      </c>
      <c r="D4" s="16">
        <v>0.55787661614180195</v>
      </c>
      <c r="E4" s="16">
        <v>0.58673472113805403</v>
      </c>
      <c r="H4" s="12" t="s">
        <v>3</v>
      </c>
      <c r="I4" s="5">
        <f>LOG(C4,2)</f>
        <v>0</v>
      </c>
      <c r="J4" s="16">
        <f t="shared" ref="J4:K6" si="0">LOG(D4,2)</f>
        <v>-0.84198201398583439</v>
      </c>
      <c r="K4" s="16">
        <f t="shared" si="0"/>
        <v>-0.76921972614123346</v>
      </c>
    </row>
    <row r="5" spans="2:11" x14ac:dyDescent="0.3">
      <c r="B5" s="6"/>
      <c r="C5" s="5">
        <v>1</v>
      </c>
      <c r="D5" s="16">
        <v>0.52514635470246496</v>
      </c>
      <c r="E5" s="16">
        <v>0.70572934955605304</v>
      </c>
      <c r="H5" s="6"/>
      <c r="I5" s="5">
        <f t="shared" ref="I5:I6" si="1">LOG(C5,2)</f>
        <v>0</v>
      </c>
      <c r="J5" s="16">
        <f t="shared" si="0"/>
        <v>-0.92920854681648735</v>
      </c>
      <c r="K5" s="16">
        <f t="shared" si="0"/>
        <v>-0.50281308549358206</v>
      </c>
    </row>
    <row r="6" spans="2:11" ht="15" customHeight="1" x14ac:dyDescent="0.3">
      <c r="B6" s="6"/>
      <c r="C6" s="5">
        <v>1</v>
      </c>
      <c r="D6" s="16">
        <v>0.29406998329383999</v>
      </c>
      <c r="E6" s="16">
        <v>0.59479767953073104</v>
      </c>
      <c r="H6" s="6"/>
      <c r="I6" s="5">
        <f t="shared" si="1"/>
        <v>0</v>
      </c>
      <c r="J6" s="16">
        <f t="shared" si="0"/>
        <v>-1.7657685638524103</v>
      </c>
      <c r="K6" s="16">
        <f t="shared" si="0"/>
        <v>-0.74952907583603057</v>
      </c>
    </row>
    <row r="7" spans="2:11" x14ac:dyDescent="0.3">
      <c r="B7" s="7" t="s">
        <v>4</v>
      </c>
      <c r="C7" s="8">
        <f>AVERAGE(C4:C6)</f>
        <v>1</v>
      </c>
      <c r="D7" s="9">
        <f>AVERAGE(D4:D6)</f>
        <v>0.45903098471270232</v>
      </c>
      <c r="E7" s="9">
        <f>AVERAGE(E4:E6)</f>
        <v>0.62908725007494604</v>
      </c>
      <c r="H7" s="7" t="s">
        <v>4</v>
      </c>
      <c r="I7" s="8">
        <f>AVERAGE(I4:I6)</f>
        <v>0</v>
      </c>
      <c r="J7" s="9">
        <f>AVERAGE(J4:J6)</f>
        <v>-1.1789863748849108</v>
      </c>
      <c r="K7" s="9">
        <f>AVERAGE(K4:K6)</f>
        <v>-0.67385396249028207</v>
      </c>
    </row>
    <row r="8" spans="2:11" x14ac:dyDescent="0.3">
      <c r="B8" s="7" t="s">
        <v>5</v>
      </c>
      <c r="C8" s="10">
        <f>_xlfn.STDEV.P(C4:C6)</f>
        <v>0</v>
      </c>
      <c r="D8" s="9">
        <f>_xlfn.STDEV.P(D4:D6)</f>
        <v>0.11740788302695644</v>
      </c>
      <c r="E8" s="9">
        <f>_xlfn.STDEV.P(E4:E6)</f>
        <v>5.429402290101823E-2</v>
      </c>
      <c r="H8" s="7" t="s">
        <v>5</v>
      </c>
      <c r="I8" s="10">
        <f>_xlfn.STDEV.P(I4:I6)</f>
        <v>0</v>
      </c>
      <c r="J8" s="9">
        <f>_xlfn.STDEV.P(J4:J6)</f>
        <v>0.41644296926432528</v>
      </c>
      <c r="K8" s="9">
        <f>_xlfn.STDEV.P(K4:K6)</f>
        <v>0.12121101883412648</v>
      </c>
    </row>
    <row r="9" spans="2:11" x14ac:dyDescent="0.3">
      <c r="B9" s="5"/>
      <c r="C9" s="13"/>
      <c r="D9" s="14"/>
      <c r="E9" s="14"/>
      <c r="H9" s="5"/>
      <c r="I9" s="13"/>
      <c r="J9" s="14"/>
      <c r="K9" s="14"/>
    </row>
    <row r="10" spans="2:11" x14ac:dyDescent="0.3">
      <c r="B10" s="5"/>
      <c r="C10" s="17" t="s">
        <v>8</v>
      </c>
      <c r="D10" s="17"/>
      <c r="E10" s="17"/>
      <c r="H10" s="5"/>
      <c r="I10" s="17" t="s">
        <v>8</v>
      </c>
      <c r="J10" s="17"/>
      <c r="K10" s="17"/>
    </row>
    <row r="11" spans="2:11" x14ac:dyDescent="0.3">
      <c r="B11" s="5"/>
      <c r="C11" s="2" t="s">
        <v>0</v>
      </c>
      <c r="D11" s="3" t="s">
        <v>1</v>
      </c>
      <c r="E11" s="3" t="s">
        <v>2</v>
      </c>
      <c r="H11" s="5"/>
      <c r="I11" s="2" t="s">
        <v>0</v>
      </c>
      <c r="J11" s="3" t="s">
        <v>1</v>
      </c>
      <c r="K11" s="3" t="s">
        <v>2</v>
      </c>
    </row>
    <row r="12" spans="2:11" x14ac:dyDescent="0.3">
      <c r="B12" s="12" t="s">
        <v>6</v>
      </c>
      <c r="C12" s="5">
        <v>1</v>
      </c>
      <c r="D12" s="16">
        <v>1.1327011616991101</v>
      </c>
      <c r="E12" s="16">
        <v>0.91830385047406704</v>
      </c>
      <c r="H12" s="12" t="s">
        <v>6</v>
      </c>
      <c r="I12" s="5">
        <f>LOG(C12,2)</f>
        <v>0</v>
      </c>
      <c r="J12" s="16">
        <f t="shared" ref="J12:K14" si="2">LOG(D12,2)</f>
        <v>0.17976728798795949</v>
      </c>
      <c r="K12" s="16">
        <f t="shared" si="2"/>
        <v>-0.12295650002743116</v>
      </c>
    </row>
    <row r="13" spans="2:11" x14ac:dyDescent="0.3">
      <c r="B13" s="6"/>
      <c r="C13" s="5">
        <v>1</v>
      </c>
      <c r="D13" s="16">
        <v>1.0596563713570499</v>
      </c>
      <c r="E13" s="16">
        <v>1.01396448118461</v>
      </c>
      <c r="H13" s="6"/>
      <c r="I13" s="5">
        <f t="shared" ref="I13:I14" si="3">LOG(C13,2)</f>
        <v>0</v>
      </c>
      <c r="J13" s="16">
        <f t="shared" si="2"/>
        <v>8.3596499022161069E-2</v>
      </c>
      <c r="K13" s="16">
        <f t="shared" si="2"/>
        <v>2.0007116131865139E-2</v>
      </c>
    </row>
    <row r="14" spans="2:11" x14ac:dyDescent="0.3">
      <c r="B14" s="6"/>
      <c r="C14" s="5">
        <v>1</v>
      </c>
      <c r="D14" s="16">
        <v>0.69849275454480098</v>
      </c>
      <c r="E14" s="16">
        <v>0.77958835257057602</v>
      </c>
      <c r="H14" s="6"/>
      <c r="I14" s="5">
        <f t="shared" si="3"/>
        <v>0</v>
      </c>
      <c r="J14" s="16">
        <f t="shared" si="2"/>
        <v>-0.51768294422971595</v>
      </c>
      <c r="K14" s="16">
        <f t="shared" si="2"/>
        <v>-0.35921555869663396</v>
      </c>
    </row>
    <row r="15" spans="2:11" x14ac:dyDescent="0.3">
      <c r="B15" s="7" t="s">
        <v>4</v>
      </c>
      <c r="C15" s="10">
        <f>AVERAGE(C12:C14)</f>
        <v>1</v>
      </c>
      <c r="D15" s="11">
        <f>AVERAGE(D12:D14)</f>
        <v>0.96361676253365369</v>
      </c>
      <c r="E15" s="9">
        <f>AVERAGE(E12:E14)</f>
        <v>0.90395222807641762</v>
      </c>
      <c r="H15" s="7" t="s">
        <v>4</v>
      </c>
      <c r="I15" s="10">
        <f>AVERAGE(I12:I14)</f>
        <v>0</v>
      </c>
      <c r="J15" s="11">
        <f>AVERAGE(J12:J14)</f>
        <v>-8.477305240653181E-2</v>
      </c>
      <c r="K15" s="9">
        <f>AVERAGE(K12:K14)</f>
        <v>-0.15405498086406666</v>
      </c>
    </row>
    <row r="16" spans="2:11" x14ac:dyDescent="0.3">
      <c r="B16" s="7" t="s">
        <v>5</v>
      </c>
      <c r="C16" s="10">
        <f>_xlfn.STDEV.P(C12:C14)</f>
        <v>0</v>
      </c>
      <c r="D16" s="11">
        <f>_xlfn.STDEV.P(D12:D14)</f>
        <v>0.18982788705927539</v>
      </c>
      <c r="E16" s="9">
        <f>_xlfn.STDEV.P(E12:E14)</f>
        <v>9.6220300058803457E-2</v>
      </c>
      <c r="H16" s="7" t="s">
        <v>5</v>
      </c>
      <c r="I16" s="10">
        <f>_xlfn.STDEV.P(I12:I14)</f>
        <v>0</v>
      </c>
      <c r="J16" s="11">
        <f>_xlfn.STDEV.P(J12:J14)</f>
        <v>0.30862105781615834</v>
      </c>
      <c r="K16" s="9">
        <f>_xlfn.STDEV.P(K12:K14)</f>
        <v>0.15637091781781828</v>
      </c>
    </row>
    <row r="17" spans="2:11" x14ac:dyDescent="0.3">
      <c r="B17" s="5"/>
      <c r="C17" s="13"/>
      <c r="D17" s="15"/>
      <c r="E17" s="14"/>
      <c r="H17" s="5"/>
      <c r="I17" s="13"/>
      <c r="J17" s="15"/>
      <c r="K17" s="14"/>
    </row>
    <row r="18" spans="2:11" x14ac:dyDescent="0.3">
      <c r="B18" s="5"/>
      <c r="C18" s="17" t="s">
        <v>8</v>
      </c>
      <c r="D18" s="17"/>
      <c r="E18" s="17"/>
      <c r="H18" s="5"/>
      <c r="I18" s="17" t="s">
        <v>8</v>
      </c>
      <c r="J18" s="17"/>
      <c r="K18" s="17"/>
    </row>
    <row r="19" spans="2:11" x14ac:dyDescent="0.3">
      <c r="B19" s="5"/>
      <c r="C19" s="2" t="s">
        <v>0</v>
      </c>
      <c r="D19" s="3" t="s">
        <v>1</v>
      </c>
      <c r="E19" s="3" t="s">
        <v>2</v>
      </c>
      <c r="H19" s="5"/>
      <c r="I19" s="2" t="s">
        <v>0</v>
      </c>
      <c r="J19" s="3" t="s">
        <v>1</v>
      </c>
      <c r="K19" s="3" t="s">
        <v>2</v>
      </c>
    </row>
    <row r="20" spans="2:11" x14ac:dyDescent="0.3">
      <c r="B20" s="12" t="s">
        <v>7</v>
      </c>
      <c r="C20" s="5">
        <v>1</v>
      </c>
      <c r="D20" s="16">
        <v>1.0407734795772901</v>
      </c>
      <c r="E20" s="16">
        <v>0.99318728460213501</v>
      </c>
      <c r="H20" s="12" t="s">
        <v>7</v>
      </c>
      <c r="I20" s="5">
        <f>LOG(C20,2)</f>
        <v>0</v>
      </c>
      <c r="J20" s="16">
        <f t="shared" ref="J20:K22" si="4">LOG(D20,2)</f>
        <v>5.7656105667776E-2</v>
      </c>
      <c r="K20" s="16">
        <f t="shared" si="4"/>
        <v>-9.8623035285395622E-3</v>
      </c>
    </row>
    <row r="21" spans="2:11" x14ac:dyDescent="0.3">
      <c r="B21" s="6"/>
      <c r="C21" s="5">
        <v>1</v>
      </c>
      <c r="D21" s="16">
        <v>1.0395014615392499</v>
      </c>
      <c r="E21" s="16">
        <v>1.37324574755413</v>
      </c>
      <c r="H21" s="6"/>
      <c r="I21" s="5">
        <f t="shared" ref="I21:I22" si="5">LOG(C21,2)</f>
        <v>0</v>
      </c>
      <c r="J21" s="16">
        <f t="shared" si="4"/>
        <v>5.5891786627206994E-2</v>
      </c>
      <c r="K21" s="16">
        <f t="shared" si="4"/>
        <v>0.45758982435808682</v>
      </c>
    </row>
    <row r="22" spans="2:11" x14ac:dyDescent="0.3">
      <c r="B22" s="6"/>
      <c r="C22" s="5">
        <v>1</v>
      </c>
      <c r="D22" s="16">
        <v>0.547249891157228</v>
      </c>
      <c r="E22" s="16">
        <v>1.02819043131399</v>
      </c>
      <c r="H22" s="6"/>
      <c r="I22" s="5">
        <f t="shared" si="5"/>
        <v>0</v>
      </c>
      <c r="J22" s="16">
        <f t="shared" si="4"/>
        <v>-0.86972833241936487</v>
      </c>
      <c r="K22" s="16">
        <f t="shared" si="4"/>
        <v>4.0107491058016351E-2</v>
      </c>
    </row>
    <row r="23" spans="2:11" x14ac:dyDescent="0.3">
      <c r="B23" s="7" t="s">
        <v>4</v>
      </c>
      <c r="C23" s="10">
        <f>AVERAGE(C20:C22)</f>
        <v>1</v>
      </c>
      <c r="D23" s="11">
        <f>AVERAGE(D20:D22)</f>
        <v>0.87584161075792266</v>
      </c>
      <c r="E23" s="9">
        <f>AVERAGE(E20:E22)</f>
        <v>1.1315411544900851</v>
      </c>
      <c r="H23" s="7" t="s">
        <v>4</v>
      </c>
      <c r="I23" s="10">
        <f>AVERAGE(I20:I22)</f>
        <v>0</v>
      </c>
      <c r="J23" s="11">
        <f>AVERAGE(J20:J22)</f>
        <v>-0.25206014670812732</v>
      </c>
      <c r="K23" s="9">
        <f>AVERAGE(K20:K22)</f>
        <v>0.16261167062918788</v>
      </c>
    </row>
    <row r="24" spans="2:11" x14ac:dyDescent="0.3">
      <c r="B24" s="7" t="s">
        <v>5</v>
      </c>
      <c r="C24" s="10">
        <f>_xlfn.STDEV.P(C20:C22)</f>
        <v>0</v>
      </c>
      <c r="D24" s="11">
        <f>_xlfn.STDEV.P(D20:D22)</f>
        <v>0.23235001348551498</v>
      </c>
      <c r="E24" s="9">
        <f>_xlfn.STDEV.P(E20:E22)</f>
        <v>0.17150731335451239</v>
      </c>
      <c r="H24" s="7" t="s">
        <v>5</v>
      </c>
      <c r="I24" s="10">
        <f>_xlfn.STDEV.P(I20:I22)</f>
        <v>0</v>
      </c>
      <c r="J24" s="11">
        <f>_xlfn.STDEV.P(J20:J22)</f>
        <v>0.43675795656578342</v>
      </c>
      <c r="K24" s="9">
        <f>_xlfn.STDEV.P(K20:K22)</f>
        <v>0.2095762844021847</v>
      </c>
    </row>
  </sheetData>
  <mergeCells count="6">
    <mergeCell ref="C2:E2"/>
    <mergeCell ref="C10:E10"/>
    <mergeCell ref="C18:E18"/>
    <mergeCell ref="I2:K2"/>
    <mergeCell ref="I10:K10"/>
    <mergeCell ref="I18:K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82B7-1826-4DBC-903D-CEAA664D96EC}">
  <dimension ref="B2:K24"/>
  <sheetViews>
    <sheetView topLeftCell="A4" workbookViewId="0">
      <selection activeCell="E20" sqref="E20:E22"/>
    </sheetView>
  </sheetViews>
  <sheetFormatPr defaultRowHeight="14.4" x14ac:dyDescent="0.3"/>
  <sheetData>
    <row r="2" spans="2:11" x14ac:dyDescent="0.3">
      <c r="C2" s="17" t="s">
        <v>9</v>
      </c>
      <c r="D2" s="17"/>
      <c r="E2" s="17"/>
      <c r="I2" s="17" t="s">
        <v>10</v>
      </c>
      <c r="J2" s="17"/>
      <c r="K2" s="17"/>
    </row>
    <row r="3" spans="2:11" x14ac:dyDescent="0.3">
      <c r="B3" s="1"/>
      <c r="C3" s="2" t="s">
        <v>0</v>
      </c>
      <c r="D3" s="3" t="s">
        <v>1</v>
      </c>
      <c r="E3" s="3" t="s">
        <v>2</v>
      </c>
      <c r="H3" s="1"/>
      <c r="I3" s="2" t="s">
        <v>0</v>
      </c>
      <c r="J3" s="3" t="s">
        <v>1</v>
      </c>
      <c r="K3" s="3" t="s">
        <v>2</v>
      </c>
    </row>
    <row r="4" spans="2:11" x14ac:dyDescent="0.3">
      <c r="B4" s="4" t="s">
        <v>3</v>
      </c>
      <c r="C4" s="5">
        <v>1</v>
      </c>
      <c r="D4" s="16">
        <v>2.81627512284757</v>
      </c>
      <c r="E4" s="16">
        <v>2.0066583267366802</v>
      </c>
      <c r="H4" s="12" t="s">
        <v>3</v>
      </c>
      <c r="I4" s="5">
        <f>LOG(C4,2)</f>
        <v>0</v>
      </c>
      <c r="J4" s="16">
        <f t="shared" ref="J4:K6" si="0">LOG(D4,2)</f>
        <v>1.4937882782151426</v>
      </c>
      <c r="K4" s="16">
        <f t="shared" si="0"/>
        <v>1.0047949902502153</v>
      </c>
    </row>
    <row r="5" spans="2:11" x14ac:dyDescent="0.3">
      <c r="B5" s="6"/>
      <c r="C5" s="5">
        <v>1</v>
      </c>
      <c r="D5" s="16">
        <v>3.6984415776838802</v>
      </c>
      <c r="E5" s="16">
        <v>2.5047848503243899</v>
      </c>
      <c r="H5" s="6"/>
      <c r="I5" s="5">
        <f t="shared" ref="I5:I6" si="1">LOG(C5,2)</f>
        <v>0</v>
      </c>
      <c r="J5" s="16">
        <f t="shared" si="0"/>
        <v>1.8869174864787204</v>
      </c>
      <c r="K5" s="16">
        <f t="shared" si="0"/>
        <v>1.3246866877716021</v>
      </c>
    </row>
    <row r="6" spans="2:11" x14ac:dyDescent="0.3">
      <c r="B6" s="6"/>
      <c r="C6" s="5">
        <v>1</v>
      </c>
      <c r="D6" s="16">
        <v>1.3309245266305001</v>
      </c>
      <c r="E6" s="16">
        <v>1.9476462419904299</v>
      </c>
      <c r="H6" s="6"/>
      <c r="I6" s="5">
        <f t="shared" si="1"/>
        <v>0</v>
      </c>
      <c r="J6" s="16">
        <f t="shared" si="0"/>
        <v>0.41242876197622352</v>
      </c>
      <c r="K6" s="16">
        <f t="shared" si="0"/>
        <v>0.96173165931297255</v>
      </c>
    </row>
    <row r="7" spans="2:11" x14ac:dyDescent="0.3">
      <c r="B7" s="7" t="s">
        <v>4</v>
      </c>
      <c r="C7" s="8">
        <f>AVERAGE(C4:C6)</f>
        <v>1</v>
      </c>
      <c r="D7" s="9">
        <f>AVERAGE(D4:D6)</f>
        <v>2.6152137423873167</v>
      </c>
      <c r="E7" s="9">
        <f>AVERAGE(E4:E6)</f>
        <v>2.1530298063504998</v>
      </c>
      <c r="H7" s="7" t="s">
        <v>4</v>
      </c>
      <c r="I7" s="8">
        <f>AVERAGE(I4:I6)</f>
        <v>0</v>
      </c>
      <c r="J7" s="9">
        <f>AVERAGE(J4:J6)</f>
        <v>1.2643781755566954</v>
      </c>
      <c r="K7" s="9">
        <f>AVERAGE(K4:K6)</f>
        <v>1.0970711124449302</v>
      </c>
    </row>
    <row r="8" spans="2:11" x14ac:dyDescent="0.3">
      <c r="B8" s="7" t="s">
        <v>5</v>
      </c>
      <c r="C8" s="10">
        <f>_xlfn.STDEV.P(C4:C6)</f>
        <v>0</v>
      </c>
      <c r="D8" s="9">
        <f>_xlfn.STDEV.P(D4:D6)</f>
        <v>0.97693517553334774</v>
      </c>
      <c r="E8" s="9">
        <f>_xlfn.STDEV.P(E4:E6)</f>
        <v>0.24989239651942241</v>
      </c>
      <c r="H8" s="7" t="s">
        <v>5</v>
      </c>
      <c r="I8" s="10">
        <f>_xlfn.STDEV.P(I4:I6)</f>
        <v>0</v>
      </c>
      <c r="J8" s="9">
        <f>_xlfn.STDEV.P(J4:J6)</f>
        <v>0.62343189741546456</v>
      </c>
      <c r="K8" s="9">
        <f>_xlfn.STDEV.P(K4:K6)</f>
        <v>0.1619058372765303</v>
      </c>
    </row>
    <row r="9" spans="2:11" x14ac:dyDescent="0.3">
      <c r="B9" s="5"/>
      <c r="C9" s="13"/>
      <c r="D9" s="14"/>
      <c r="E9" s="14"/>
      <c r="H9" s="5"/>
      <c r="I9" s="13"/>
      <c r="J9" s="14"/>
      <c r="K9" s="14"/>
    </row>
    <row r="10" spans="2:11" x14ac:dyDescent="0.3">
      <c r="B10" s="5"/>
      <c r="C10" s="17" t="s">
        <v>9</v>
      </c>
      <c r="D10" s="17"/>
      <c r="E10" s="17"/>
      <c r="H10" s="5"/>
      <c r="I10" s="17" t="s">
        <v>10</v>
      </c>
      <c r="J10" s="17"/>
      <c r="K10" s="17"/>
    </row>
    <row r="11" spans="2:11" x14ac:dyDescent="0.3">
      <c r="B11" s="5"/>
      <c r="C11" s="2" t="s">
        <v>0</v>
      </c>
      <c r="D11" s="3" t="s">
        <v>1</v>
      </c>
      <c r="E11" s="3" t="s">
        <v>2</v>
      </c>
      <c r="H11" s="5"/>
      <c r="I11" s="2" t="s">
        <v>0</v>
      </c>
      <c r="J11" s="3" t="s">
        <v>1</v>
      </c>
      <c r="K11" s="3" t="s">
        <v>2</v>
      </c>
    </row>
    <row r="12" spans="2:11" x14ac:dyDescent="0.3">
      <c r="B12" s="4" t="s">
        <v>6</v>
      </c>
      <c r="C12" s="5">
        <v>1</v>
      </c>
      <c r="D12" s="16">
        <v>0.90318937040175296</v>
      </c>
      <c r="E12" s="16">
        <v>1.03871884263116</v>
      </c>
      <c r="H12" s="12" t="s">
        <v>6</v>
      </c>
      <c r="I12" s="5">
        <f>LOG(C12,2)</f>
        <v>0</v>
      </c>
      <c r="J12" s="16">
        <f t="shared" ref="J12:K14" si="2">LOG(D12,2)</f>
        <v>-0.14689958769464759</v>
      </c>
      <c r="K12" s="16">
        <f t="shared" si="2"/>
        <v>5.4805202621926619E-2</v>
      </c>
    </row>
    <row r="13" spans="2:11" x14ac:dyDescent="0.3">
      <c r="B13" s="6"/>
      <c r="C13" s="5">
        <v>1</v>
      </c>
      <c r="D13" s="16">
        <v>1.0303401590191501</v>
      </c>
      <c r="E13" s="16">
        <v>0.96152033735627096</v>
      </c>
      <c r="H13" s="6"/>
      <c r="I13" s="5">
        <f t="shared" ref="I13:I14" si="3">LOG(C13,2)</f>
        <v>0</v>
      </c>
      <c r="J13" s="16">
        <f t="shared" si="2"/>
        <v>4.3120710916384704E-2</v>
      </c>
      <c r="K13" s="16">
        <f t="shared" si="2"/>
        <v>-5.661072219713574E-2</v>
      </c>
    </row>
    <row r="14" spans="2:11" x14ac:dyDescent="0.3">
      <c r="B14" s="6"/>
      <c r="C14" s="5">
        <v>1</v>
      </c>
      <c r="D14" s="16">
        <v>0.65988594247418597</v>
      </c>
      <c r="E14" s="16">
        <v>0.60433422898349698</v>
      </c>
      <c r="H14" s="6"/>
      <c r="I14" s="5">
        <f t="shared" si="3"/>
        <v>0</v>
      </c>
      <c r="J14" s="16">
        <f t="shared" si="2"/>
        <v>-0.59971141048723087</v>
      </c>
      <c r="K14" s="16">
        <f t="shared" si="2"/>
        <v>-0.72658143749938542</v>
      </c>
    </row>
    <row r="15" spans="2:11" x14ac:dyDescent="0.3">
      <c r="B15" s="7" t="s">
        <v>4</v>
      </c>
      <c r="C15" s="10">
        <f>AVERAGE(C12:C14)</f>
        <v>1</v>
      </c>
      <c r="D15" s="11">
        <f>AVERAGE(D12:D14)</f>
        <v>0.86447182396502964</v>
      </c>
      <c r="E15" s="9">
        <f>AVERAGE(E12:E14)</f>
        <v>0.86819113632364253</v>
      </c>
      <c r="H15" s="7" t="s">
        <v>4</v>
      </c>
      <c r="I15" s="10">
        <f>AVERAGE(I12:I14)</f>
        <v>0</v>
      </c>
      <c r="J15" s="11">
        <f>AVERAGE(J12:J14)</f>
        <v>-0.23449676242183126</v>
      </c>
      <c r="K15" s="9">
        <f>AVERAGE(K12:K14)</f>
        <v>-0.24279565235819819</v>
      </c>
    </row>
    <row r="16" spans="2:11" x14ac:dyDescent="0.3">
      <c r="B16" s="7" t="s">
        <v>5</v>
      </c>
      <c r="C16" s="10">
        <f>_xlfn.STDEV.P(C12:C14)</f>
        <v>0</v>
      </c>
      <c r="D16" s="11">
        <f>_xlfn.STDEV.P(D12:D14)</f>
        <v>0.15369530016788782</v>
      </c>
      <c r="E16" s="9">
        <f>_xlfn.STDEV.P(E12:E14)</f>
        <v>0.1892181333232435</v>
      </c>
      <c r="H16" s="7" t="s">
        <v>5</v>
      </c>
      <c r="I16" s="10">
        <f>_xlfn.STDEV.P(I12:I14)</f>
        <v>0</v>
      </c>
      <c r="J16" s="11">
        <f>_xlfn.STDEV.P(J12:J14)</f>
        <v>0.26964573405638093</v>
      </c>
      <c r="K16" s="9">
        <f>_xlfn.STDEV.P(K12:K14)</f>
        <v>0.34509891480977645</v>
      </c>
    </row>
    <row r="17" spans="2:11" x14ac:dyDescent="0.3">
      <c r="B17" s="5"/>
      <c r="C17" s="13"/>
      <c r="D17" s="15"/>
      <c r="E17" s="14"/>
      <c r="H17" s="5"/>
      <c r="I17" s="13"/>
      <c r="J17" s="15"/>
      <c r="K17" s="14"/>
    </row>
    <row r="18" spans="2:11" x14ac:dyDescent="0.3">
      <c r="B18" s="5"/>
      <c r="C18" s="17" t="s">
        <v>9</v>
      </c>
      <c r="D18" s="17"/>
      <c r="E18" s="17"/>
      <c r="H18" s="5"/>
      <c r="I18" s="17" t="s">
        <v>10</v>
      </c>
      <c r="J18" s="17"/>
      <c r="K18" s="17"/>
    </row>
    <row r="19" spans="2:11" x14ac:dyDescent="0.3">
      <c r="B19" s="5"/>
      <c r="C19" s="2" t="s">
        <v>0</v>
      </c>
      <c r="D19" s="3" t="s">
        <v>1</v>
      </c>
      <c r="E19" s="3" t="s">
        <v>2</v>
      </c>
      <c r="H19" s="5"/>
      <c r="I19" s="2" t="s">
        <v>0</v>
      </c>
      <c r="J19" s="3" t="s">
        <v>1</v>
      </c>
      <c r="K19" s="3" t="s">
        <v>2</v>
      </c>
    </row>
    <row r="20" spans="2:11" x14ac:dyDescent="0.3">
      <c r="B20" s="4" t="s">
        <v>7</v>
      </c>
      <c r="C20" s="5">
        <v>1</v>
      </c>
      <c r="D20" s="16">
        <v>9.72067692146471</v>
      </c>
      <c r="E20" s="16">
        <v>6.5413243264344798</v>
      </c>
      <c r="H20" s="12" t="s">
        <v>7</v>
      </c>
      <c r="I20" s="5">
        <f>LOG(C20,2)</f>
        <v>0</v>
      </c>
      <c r="J20" s="16">
        <f t="shared" ref="J20:K22" si="4">LOG(D20,2)</f>
        <v>3.2810567826824801</v>
      </c>
      <c r="K20" s="16">
        <f t="shared" si="4"/>
        <v>2.7095827466959768</v>
      </c>
    </row>
    <row r="21" spans="2:11" x14ac:dyDescent="0.3">
      <c r="B21" s="6"/>
      <c r="C21" s="5">
        <v>1</v>
      </c>
      <c r="D21" s="16">
        <v>8.3163294379168509</v>
      </c>
      <c r="E21" s="16">
        <v>6.5517236694113699</v>
      </c>
      <c r="H21" s="6"/>
      <c r="I21" s="5">
        <f t="shared" ref="I21:I22" si="5">LOG(C21,2)</f>
        <v>0</v>
      </c>
      <c r="J21" s="16">
        <f t="shared" si="4"/>
        <v>3.0559469093549056</v>
      </c>
      <c r="K21" s="16">
        <f t="shared" si="4"/>
        <v>2.7118745100349568</v>
      </c>
    </row>
    <row r="22" spans="2:11" x14ac:dyDescent="0.3">
      <c r="B22" s="6"/>
      <c r="C22" s="5">
        <v>1</v>
      </c>
      <c r="D22" s="16">
        <v>7.9944301626695298</v>
      </c>
      <c r="E22" s="16">
        <v>12.688244476017699</v>
      </c>
      <c r="H22" s="6"/>
      <c r="I22" s="5">
        <f t="shared" si="5"/>
        <v>0</v>
      </c>
      <c r="J22" s="16">
        <f t="shared" si="4"/>
        <v>2.9989952030877847</v>
      </c>
      <c r="K22" s="16">
        <f t="shared" si="4"/>
        <v>3.6654205690353017</v>
      </c>
    </row>
    <row r="23" spans="2:11" x14ac:dyDescent="0.3">
      <c r="B23" s="7" t="s">
        <v>4</v>
      </c>
      <c r="C23" s="10">
        <f>AVERAGE(C20:C22)</f>
        <v>1</v>
      </c>
      <c r="D23" s="11">
        <f>AVERAGE(D20:D22)</f>
        <v>8.6771455073503638</v>
      </c>
      <c r="E23" s="9">
        <f>AVERAGE(E20:E22)</f>
        <v>8.5937641572878505</v>
      </c>
      <c r="H23" s="7" t="s">
        <v>4</v>
      </c>
      <c r="I23" s="10">
        <f>AVERAGE(I20:I22)</f>
        <v>0</v>
      </c>
      <c r="J23" s="11">
        <f>AVERAGE(J20:J22)</f>
        <v>3.11199963170839</v>
      </c>
      <c r="K23" s="9">
        <f>AVERAGE(K20:K22)</f>
        <v>3.0289592752554118</v>
      </c>
    </row>
    <row r="24" spans="2:11" x14ac:dyDescent="0.3">
      <c r="B24" s="7" t="s">
        <v>5</v>
      </c>
      <c r="C24" s="10">
        <f>_xlfn.STDEV.P(C20:C22)</f>
        <v>0</v>
      </c>
      <c r="D24" s="11">
        <f>_xlfn.STDEV.P(D20:D22)</f>
        <v>0.74949900824208493</v>
      </c>
      <c r="E24" s="9">
        <f>_xlfn.STDEV.P(E20:E22)</f>
        <v>2.8952379115751565</v>
      </c>
      <c r="H24" s="7" t="s">
        <v>5</v>
      </c>
      <c r="I24" s="10">
        <f>_xlfn.STDEV.P(I20:I22)</f>
        <v>0</v>
      </c>
      <c r="J24" s="11">
        <f>_xlfn.STDEV.P(J20:J22)</f>
        <v>0.12178153782707596</v>
      </c>
      <c r="K24" s="9">
        <f>_xlfn.STDEV.P(K20:K22)</f>
        <v>0.45004706931962846</v>
      </c>
    </row>
  </sheetData>
  <mergeCells count="6">
    <mergeCell ref="C2:E2"/>
    <mergeCell ref="C10:E10"/>
    <mergeCell ref="C18:E18"/>
    <mergeCell ref="I2:K2"/>
    <mergeCell ref="I10:K10"/>
    <mergeCell ref="I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7CD9-F642-422C-9D12-7D39E77465B3}">
  <dimension ref="B2:K24"/>
  <sheetViews>
    <sheetView workbookViewId="0">
      <selection activeCell="E20" sqref="E20:E22"/>
    </sheetView>
  </sheetViews>
  <sheetFormatPr defaultRowHeight="14.4" x14ac:dyDescent="0.3"/>
  <sheetData>
    <row r="2" spans="2:11" x14ac:dyDescent="0.3">
      <c r="C2" s="17" t="s">
        <v>11</v>
      </c>
      <c r="D2" s="17"/>
      <c r="E2" s="17"/>
      <c r="I2" s="17" t="s">
        <v>12</v>
      </c>
      <c r="J2" s="17"/>
      <c r="K2" s="17"/>
    </row>
    <row r="3" spans="2:11" x14ac:dyDescent="0.3">
      <c r="B3" s="1"/>
      <c r="C3" s="2" t="s">
        <v>0</v>
      </c>
      <c r="D3" s="3" t="s">
        <v>1</v>
      </c>
      <c r="E3" s="3" t="s">
        <v>2</v>
      </c>
      <c r="H3" s="1"/>
      <c r="I3" s="2" t="s">
        <v>0</v>
      </c>
      <c r="J3" s="3" t="s">
        <v>1</v>
      </c>
      <c r="K3" s="3" t="s">
        <v>2</v>
      </c>
    </row>
    <row r="4" spans="2:11" x14ac:dyDescent="0.3">
      <c r="B4" s="4" t="s">
        <v>3</v>
      </c>
      <c r="C4" s="5">
        <v>1</v>
      </c>
      <c r="D4" s="16">
        <v>1.0467028627886099</v>
      </c>
      <c r="E4" s="16">
        <v>1.3548260365726099</v>
      </c>
      <c r="H4" s="12" t="s">
        <v>3</v>
      </c>
      <c r="I4" s="5">
        <f>LOG(C4,2)</f>
        <v>0</v>
      </c>
      <c r="J4" s="16">
        <f t="shared" ref="J4:K6" si="0">LOG(D4,2)</f>
        <v>6.5851949219986536E-2</v>
      </c>
      <c r="K4" s="16">
        <f t="shared" si="0"/>
        <v>0.43810761741950027</v>
      </c>
    </row>
    <row r="5" spans="2:11" x14ac:dyDescent="0.3">
      <c r="B5" s="6"/>
      <c r="C5" s="5">
        <v>1</v>
      </c>
      <c r="D5" s="16">
        <v>1.01079736046338</v>
      </c>
      <c r="E5" s="16">
        <v>1.54865162620649</v>
      </c>
      <c r="H5" s="6"/>
      <c r="I5" s="5">
        <f t="shared" ref="I5:I6" si="1">LOG(C5,2)</f>
        <v>0</v>
      </c>
      <c r="J5" s="16">
        <f t="shared" si="0"/>
        <v>1.5493802031491118E-2</v>
      </c>
      <c r="K5" s="16">
        <f t="shared" si="0"/>
        <v>0.63101264208074415</v>
      </c>
    </row>
    <row r="6" spans="2:11" x14ac:dyDescent="0.3">
      <c r="B6" s="6"/>
      <c r="C6" s="5">
        <v>1</v>
      </c>
      <c r="D6" s="16">
        <v>0.84302886622627504</v>
      </c>
      <c r="E6" s="16">
        <v>1.2668567165304301</v>
      </c>
      <c r="H6" s="6"/>
      <c r="I6" s="5">
        <f t="shared" si="1"/>
        <v>0</v>
      </c>
      <c r="J6" s="16">
        <f t="shared" si="0"/>
        <v>-0.24634606342522397</v>
      </c>
      <c r="K6" s="16">
        <f t="shared" si="0"/>
        <v>0.34125336264730421</v>
      </c>
    </row>
    <row r="7" spans="2:11" x14ac:dyDescent="0.3">
      <c r="B7" s="7" t="s">
        <v>4</v>
      </c>
      <c r="C7" s="8">
        <f>AVERAGE(C4:C6)</f>
        <v>1</v>
      </c>
      <c r="D7" s="9">
        <f>AVERAGE(D4:D6)</f>
        <v>0.96684302982608827</v>
      </c>
      <c r="E7" s="9">
        <f>AVERAGE(E4:E6)</f>
        <v>1.3901114597698434</v>
      </c>
      <c r="H7" s="7" t="s">
        <v>4</v>
      </c>
      <c r="I7" s="8">
        <f>AVERAGE(I4:I6)</f>
        <v>0</v>
      </c>
      <c r="J7" s="9">
        <f>AVERAGE(J4:J6)</f>
        <v>-5.5000104057915444E-2</v>
      </c>
      <c r="K7" s="9">
        <f>AVERAGE(K4:K6)</f>
        <v>0.47012454071584958</v>
      </c>
    </row>
    <row r="8" spans="2:11" x14ac:dyDescent="0.3">
      <c r="B8" s="7" t="s">
        <v>5</v>
      </c>
      <c r="C8" s="10">
        <f>_xlfn.STDEV.P(C4:C6)</f>
        <v>0</v>
      </c>
      <c r="D8" s="9">
        <f>_xlfn.STDEV.P(D4:D6)</f>
        <v>8.8768468896141151E-2</v>
      </c>
      <c r="E8" s="9">
        <f>_xlfn.STDEV.P(E4:E6)</f>
        <v>0.11771685973127946</v>
      </c>
      <c r="H8" s="7" t="s">
        <v>5</v>
      </c>
      <c r="I8" s="10">
        <f>_xlfn.STDEV.P(I4:I6)</f>
        <v>0</v>
      </c>
      <c r="J8" s="9">
        <f>_xlfn.STDEV.P(J4:J6)</f>
        <v>0.13685501542803441</v>
      </c>
      <c r="K8" s="9">
        <f>_xlfn.STDEV.P(K4:K6)</f>
        <v>0.12044064246886609</v>
      </c>
    </row>
    <row r="9" spans="2:11" x14ac:dyDescent="0.3">
      <c r="B9" s="5"/>
      <c r="C9" s="13"/>
      <c r="D9" s="14"/>
      <c r="E9" s="14"/>
      <c r="H9" s="5"/>
      <c r="I9" s="13"/>
      <c r="J9" s="14"/>
      <c r="K9" s="14"/>
    </row>
    <row r="10" spans="2:11" x14ac:dyDescent="0.3">
      <c r="B10" s="5"/>
      <c r="C10" s="17" t="s">
        <v>11</v>
      </c>
      <c r="D10" s="17"/>
      <c r="E10" s="17"/>
      <c r="H10" s="5"/>
      <c r="I10" s="17" t="s">
        <v>12</v>
      </c>
      <c r="J10" s="17"/>
      <c r="K10" s="17"/>
    </row>
    <row r="11" spans="2:11" x14ac:dyDescent="0.3">
      <c r="B11" s="5"/>
      <c r="C11" s="2" t="s">
        <v>0</v>
      </c>
      <c r="D11" s="3" t="s">
        <v>1</v>
      </c>
      <c r="E11" s="3" t="s">
        <v>2</v>
      </c>
      <c r="H11" s="5"/>
      <c r="I11" s="2" t="s">
        <v>0</v>
      </c>
      <c r="J11" s="3" t="s">
        <v>1</v>
      </c>
      <c r="K11" s="3" t="s">
        <v>2</v>
      </c>
    </row>
    <row r="12" spans="2:11" x14ac:dyDescent="0.3">
      <c r="B12" s="4" t="s">
        <v>6</v>
      </c>
      <c r="C12" s="5">
        <v>1</v>
      </c>
      <c r="D12" s="16">
        <v>0.58507676290556698</v>
      </c>
      <c r="E12" s="16">
        <v>0.60193372986378002</v>
      </c>
      <c r="H12" s="12" t="s">
        <v>6</v>
      </c>
      <c r="I12" s="5">
        <f>LOG(C12,2)</f>
        <v>0</v>
      </c>
      <c r="J12" s="16">
        <f t="shared" ref="J12:K14" si="2">LOG(D12,2)</f>
        <v>-0.77330217412655677</v>
      </c>
      <c r="K12" s="16">
        <f t="shared" si="2"/>
        <v>-0.73232343325067217</v>
      </c>
    </row>
    <row r="13" spans="2:11" x14ac:dyDescent="0.3">
      <c r="B13" s="6"/>
      <c r="C13" s="5">
        <v>1</v>
      </c>
      <c r="D13" s="16">
        <v>0.65306459029650199</v>
      </c>
      <c r="E13" s="16">
        <v>0.84992352166053797</v>
      </c>
      <c r="H13" s="6"/>
      <c r="I13" s="5">
        <f t="shared" ref="I13:I14" si="3">LOG(C13,2)</f>
        <v>0</v>
      </c>
      <c r="J13" s="16">
        <f t="shared" si="2"/>
        <v>-0.61470240864063375</v>
      </c>
      <c r="K13" s="16">
        <f t="shared" si="2"/>
        <v>-0.23459506526648255</v>
      </c>
    </row>
    <row r="14" spans="2:11" x14ac:dyDescent="0.3">
      <c r="B14" s="6"/>
      <c r="C14" s="5">
        <v>1</v>
      </c>
      <c r="D14" s="16">
        <v>0.43058653140115399</v>
      </c>
      <c r="E14" s="16">
        <v>0.772762914847826</v>
      </c>
      <c r="H14" s="6"/>
      <c r="I14" s="5">
        <f t="shared" si="3"/>
        <v>0</v>
      </c>
      <c r="J14" s="16">
        <f t="shared" si="2"/>
        <v>-1.2156249016819336</v>
      </c>
      <c r="K14" s="16">
        <f t="shared" si="2"/>
        <v>-0.37190223447262366</v>
      </c>
    </row>
    <row r="15" spans="2:11" x14ac:dyDescent="0.3">
      <c r="B15" s="7" t="s">
        <v>4</v>
      </c>
      <c r="C15" s="10">
        <f>AVERAGE(C12:C14)</f>
        <v>1</v>
      </c>
      <c r="D15" s="11">
        <f>AVERAGE(D12:D14)</f>
        <v>0.5562426282010744</v>
      </c>
      <c r="E15" s="9">
        <f>AVERAGE(E12:E14)</f>
        <v>0.74154005545738133</v>
      </c>
      <c r="H15" s="7" t="s">
        <v>4</v>
      </c>
      <c r="I15" s="10">
        <f>AVERAGE(I12:I14)</f>
        <v>0</v>
      </c>
      <c r="J15" s="11">
        <f>AVERAGE(J12:J14)</f>
        <v>-0.86787649481637474</v>
      </c>
      <c r="K15" s="9">
        <f>AVERAGE(K12:K14)</f>
        <v>-0.44627357766325942</v>
      </c>
    </row>
    <row r="16" spans="2:11" x14ac:dyDescent="0.3">
      <c r="B16" s="7" t="s">
        <v>5</v>
      </c>
      <c r="C16" s="10">
        <f>_xlfn.STDEV.P(C12:C14)</f>
        <v>0</v>
      </c>
      <c r="D16" s="11">
        <f>_xlfn.STDEV.P(D12:D14)</f>
        <v>9.3086616172172246E-2</v>
      </c>
      <c r="E16" s="9">
        <f>_xlfn.STDEV.P(E12:E14)</f>
        <v>0.10362073286827188</v>
      </c>
      <c r="H16" s="7" t="s">
        <v>5</v>
      </c>
      <c r="I16" s="10">
        <f>_xlfn.STDEV.P(I12:I14)</f>
        <v>0</v>
      </c>
      <c r="J16" s="11">
        <f>_xlfn.STDEV.P(J12:J14)</f>
        <v>0.25427699759802391</v>
      </c>
      <c r="K16" s="9">
        <f>_xlfn.STDEV.P(K12:K14)</f>
        <v>0.20989156659258729</v>
      </c>
    </row>
    <row r="17" spans="2:11" x14ac:dyDescent="0.3">
      <c r="B17" s="5"/>
      <c r="C17" s="13"/>
      <c r="D17" s="15"/>
      <c r="E17" s="14"/>
      <c r="H17" s="5"/>
      <c r="I17" s="13"/>
      <c r="J17" s="15"/>
      <c r="K17" s="14"/>
    </row>
    <row r="18" spans="2:11" x14ac:dyDescent="0.3">
      <c r="B18" s="5"/>
      <c r="C18" s="17" t="s">
        <v>11</v>
      </c>
      <c r="D18" s="17"/>
      <c r="E18" s="17"/>
      <c r="H18" s="5"/>
      <c r="I18" s="17" t="s">
        <v>12</v>
      </c>
      <c r="J18" s="17"/>
      <c r="K18" s="17"/>
    </row>
    <row r="19" spans="2:11" ht="13.8" customHeight="1" x14ac:dyDescent="0.3">
      <c r="B19" s="5"/>
      <c r="C19" s="2" t="s">
        <v>0</v>
      </c>
      <c r="D19" s="3" t="s">
        <v>1</v>
      </c>
      <c r="E19" s="3" t="s">
        <v>2</v>
      </c>
      <c r="H19" s="5"/>
      <c r="I19" s="2" t="s">
        <v>0</v>
      </c>
      <c r="J19" s="3" t="s">
        <v>1</v>
      </c>
      <c r="K19" s="3" t="s">
        <v>2</v>
      </c>
    </row>
    <row r="20" spans="2:11" x14ac:dyDescent="0.3">
      <c r="B20" s="4" t="s">
        <v>7</v>
      </c>
      <c r="C20" s="5">
        <v>1</v>
      </c>
      <c r="D20" s="16">
        <v>0.94959915865058397</v>
      </c>
      <c r="E20" s="16">
        <v>1.12988859605839</v>
      </c>
      <c r="H20" s="12" t="s">
        <v>7</v>
      </c>
      <c r="I20" s="5">
        <f>LOG(C20,2)</f>
        <v>0</v>
      </c>
      <c r="J20" s="16">
        <f t="shared" ref="J20:K22" si="4">LOG(D20,2)</f>
        <v>-7.4609438141712739E-2</v>
      </c>
      <c r="K20" s="16">
        <f t="shared" si="4"/>
        <v>0.176180533846474</v>
      </c>
    </row>
    <row r="21" spans="2:11" x14ac:dyDescent="0.3">
      <c r="B21" s="6"/>
      <c r="C21" s="5">
        <v>1</v>
      </c>
      <c r="D21" s="16">
        <v>0.70891780525690395</v>
      </c>
      <c r="E21" s="16">
        <v>1.1730640391312701</v>
      </c>
      <c r="H21" s="6"/>
      <c r="I21" s="5">
        <f t="shared" ref="I21:I22" si="5">LOG(C21,2)</f>
        <v>0</v>
      </c>
      <c r="J21" s="16">
        <f t="shared" si="4"/>
        <v>-0.496309729513427</v>
      </c>
      <c r="K21" s="16">
        <f t="shared" si="4"/>
        <v>0.23028177416372975</v>
      </c>
    </row>
    <row r="22" spans="2:11" x14ac:dyDescent="0.3">
      <c r="B22" s="6"/>
      <c r="C22" s="5">
        <v>1</v>
      </c>
      <c r="D22" s="16">
        <v>1.3063086130706101</v>
      </c>
      <c r="E22" s="16">
        <v>1.7540708416472399</v>
      </c>
      <c r="H22" s="6"/>
      <c r="I22" s="5">
        <f t="shared" si="5"/>
        <v>0</v>
      </c>
      <c r="J22" s="16">
        <f t="shared" si="4"/>
        <v>0.38549577127136386</v>
      </c>
      <c r="K22" s="16">
        <f t="shared" si="4"/>
        <v>0.8107070150741511</v>
      </c>
    </row>
    <row r="23" spans="2:11" x14ac:dyDescent="0.3">
      <c r="B23" s="7" t="s">
        <v>4</v>
      </c>
      <c r="C23" s="10">
        <f>AVERAGE(C20:C22)</f>
        <v>1</v>
      </c>
      <c r="D23" s="11">
        <f>AVERAGE(D20:D22)</f>
        <v>0.98827519232603267</v>
      </c>
      <c r="E23" s="9">
        <f>AVERAGE(E20:E22)</f>
        <v>1.3523411589456333</v>
      </c>
      <c r="H23" s="7" t="s">
        <v>4</v>
      </c>
      <c r="I23" s="10">
        <f>AVERAGE(I20:I22)</f>
        <v>0</v>
      </c>
      <c r="J23" s="11">
        <f>AVERAGE(J20:J22)</f>
        <v>-6.1807798794591952E-2</v>
      </c>
      <c r="K23" s="9">
        <f>AVERAGE(K20:K22)</f>
        <v>0.40572310769478498</v>
      </c>
    </row>
    <row r="24" spans="2:11" x14ac:dyDescent="0.3">
      <c r="B24" s="7" t="s">
        <v>5</v>
      </c>
      <c r="C24" s="10">
        <f>_xlfn.STDEV.P(C20:C22)</f>
        <v>0</v>
      </c>
      <c r="D24" s="11">
        <f>_xlfn.STDEV.P(D20:D22)</f>
        <v>0.24541233465432061</v>
      </c>
      <c r="E24" s="9">
        <f>_xlfn.STDEV.P(E20:E22)</f>
        <v>0.28461211404738862</v>
      </c>
      <c r="H24" s="7" t="s">
        <v>5</v>
      </c>
      <c r="I24" s="10">
        <f>_xlfn.STDEV.P(I20:I22)</f>
        <v>0</v>
      </c>
      <c r="J24" s="11">
        <f>_xlfn.STDEV.P(J20:J22)</f>
        <v>0.36010937855144259</v>
      </c>
      <c r="K24" s="9">
        <f>_xlfn.STDEV.P(K20:K22)</f>
        <v>0.28721735088971745</v>
      </c>
    </row>
  </sheetData>
  <mergeCells count="6">
    <mergeCell ref="C2:E2"/>
    <mergeCell ref="C10:E10"/>
    <mergeCell ref="C18:E18"/>
    <mergeCell ref="I2:K2"/>
    <mergeCell ref="I10:K10"/>
    <mergeCell ref="I18:K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442F-6EEF-471B-AA49-7FA29797F785}">
  <dimension ref="A1:K82"/>
  <sheetViews>
    <sheetView workbookViewId="0">
      <selection activeCell="C9" sqref="C9"/>
    </sheetView>
  </sheetViews>
  <sheetFormatPr defaultRowHeight="14.4" x14ac:dyDescent="0.3"/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11" x14ac:dyDescent="0.3">
      <c r="A2" t="s">
        <v>18</v>
      </c>
      <c r="B2" t="s">
        <v>6</v>
      </c>
      <c r="C2" t="s">
        <v>0</v>
      </c>
      <c r="D2" s="5">
        <v>1</v>
      </c>
      <c r="E2" t="s">
        <v>19</v>
      </c>
      <c r="K2" s="5"/>
    </row>
    <row r="3" spans="1:11" x14ac:dyDescent="0.3">
      <c r="A3" t="s">
        <v>18</v>
      </c>
      <c r="B3" t="s">
        <v>6</v>
      </c>
      <c r="C3" t="s">
        <v>0</v>
      </c>
      <c r="D3" s="5">
        <v>1</v>
      </c>
      <c r="E3" t="s">
        <v>19</v>
      </c>
      <c r="K3" s="5"/>
    </row>
    <row r="4" spans="1:11" x14ac:dyDescent="0.3">
      <c r="A4" t="s">
        <v>18</v>
      </c>
      <c r="B4" t="s">
        <v>6</v>
      </c>
      <c r="C4" t="s">
        <v>0</v>
      </c>
      <c r="D4" s="5">
        <v>1</v>
      </c>
      <c r="E4" t="s">
        <v>19</v>
      </c>
      <c r="K4" s="5"/>
    </row>
    <row r="5" spans="1:11" x14ac:dyDescent="0.3">
      <c r="A5" t="s">
        <v>18</v>
      </c>
      <c r="B5" t="s">
        <v>6</v>
      </c>
      <c r="C5" t="s">
        <v>1</v>
      </c>
      <c r="D5" s="16">
        <v>1.1327011616991101</v>
      </c>
      <c r="E5" t="s">
        <v>20</v>
      </c>
      <c r="K5" s="16"/>
    </row>
    <row r="6" spans="1:11" x14ac:dyDescent="0.3">
      <c r="A6" t="s">
        <v>18</v>
      </c>
      <c r="B6" t="s">
        <v>6</v>
      </c>
      <c r="C6" t="s">
        <v>1</v>
      </c>
      <c r="D6" s="16">
        <v>1.0596563713570499</v>
      </c>
      <c r="E6" t="s">
        <v>20</v>
      </c>
      <c r="K6" s="16"/>
    </row>
    <row r="7" spans="1:11" x14ac:dyDescent="0.3">
      <c r="A7" t="s">
        <v>18</v>
      </c>
      <c r="B7" t="s">
        <v>6</v>
      </c>
      <c r="C7" t="s">
        <v>1</v>
      </c>
      <c r="D7" s="16">
        <v>0.69849275454480098</v>
      </c>
      <c r="E7" t="s">
        <v>20</v>
      </c>
      <c r="K7" s="16"/>
    </row>
    <row r="8" spans="1:11" x14ac:dyDescent="0.3">
      <c r="A8" t="s">
        <v>18</v>
      </c>
      <c r="B8" t="s">
        <v>6</v>
      </c>
      <c r="C8" t="s">
        <v>2</v>
      </c>
      <c r="D8" s="16">
        <v>0.91830385047406704</v>
      </c>
      <c r="E8" t="s">
        <v>21</v>
      </c>
      <c r="K8" s="16"/>
    </row>
    <row r="9" spans="1:11" x14ac:dyDescent="0.3">
      <c r="A9" t="s">
        <v>18</v>
      </c>
      <c r="B9" t="s">
        <v>6</v>
      </c>
      <c r="C9" t="s">
        <v>2</v>
      </c>
      <c r="D9" s="16">
        <v>1.01396448118461</v>
      </c>
      <c r="E9" t="s">
        <v>21</v>
      </c>
      <c r="K9" s="16"/>
    </row>
    <row r="10" spans="1:11" x14ac:dyDescent="0.3">
      <c r="A10" t="s">
        <v>18</v>
      </c>
      <c r="B10" t="s">
        <v>6</v>
      </c>
      <c r="C10" t="s">
        <v>2</v>
      </c>
      <c r="D10" s="16">
        <v>0.77958835257057602</v>
      </c>
      <c r="E10" t="s">
        <v>21</v>
      </c>
      <c r="K10" s="16"/>
    </row>
    <row r="11" spans="1:11" x14ac:dyDescent="0.3">
      <c r="A11" t="s">
        <v>18</v>
      </c>
      <c r="B11" t="s">
        <v>3</v>
      </c>
      <c r="C11" t="s">
        <v>0</v>
      </c>
      <c r="D11" s="5">
        <v>1</v>
      </c>
      <c r="E11" t="s">
        <v>19</v>
      </c>
      <c r="K11" s="5"/>
    </row>
    <row r="12" spans="1:11" x14ac:dyDescent="0.3">
      <c r="A12" t="s">
        <v>18</v>
      </c>
      <c r="B12" t="s">
        <v>3</v>
      </c>
      <c r="C12" t="s">
        <v>0</v>
      </c>
      <c r="D12" s="5">
        <v>1</v>
      </c>
      <c r="E12" t="s">
        <v>19</v>
      </c>
      <c r="K12" s="5"/>
    </row>
    <row r="13" spans="1:11" x14ac:dyDescent="0.3">
      <c r="A13" t="s">
        <v>18</v>
      </c>
      <c r="B13" t="s">
        <v>3</v>
      </c>
      <c r="C13" t="s">
        <v>0</v>
      </c>
      <c r="D13" s="5">
        <v>1</v>
      </c>
      <c r="E13" t="s">
        <v>19</v>
      </c>
      <c r="K13" s="5"/>
    </row>
    <row r="14" spans="1:11" x14ac:dyDescent="0.3">
      <c r="A14" t="s">
        <v>18</v>
      </c>
      <c r="B14" t="s">
        <v>3</v>
      </c>
      <c r="C14" t="s">
        <v>1</v>
      </c>
      <c r="D14" s="16">
        <v>0.55787661614180195</v>
      </c>
      <c r="E14" t="s">
        <v>20</v>
      </c>
      <c r="K14" s="16"/>
    </row>
    <row r="15" spans="1:11" x14ac:dyDescent="0.3">
      <c r="A15" t="s">
        <v>18</v>
      </c>
      <c r="B15" t="s">
        <v>3</v>
      </c>
      <c r="C15" t="s">
        <v>1</v>
      </c>
      <c r="D15" s="16">
        <v>0.52514635470246496</v>
      </c>
      <c r="E15" t="s">
        <v>20</v>
      </c>
      <c r="K15" s="16"/>
    </row>
    <row r="16" spans="1:11" x14ac:dyDescent="0.3">
      <c r="A16" t="s">
        <v>18</v>
      </c>
      <c r="B16" t="s">
        <v>3</v>
      </c>
      <c r="C16" t="s">
        <v>1</v>
      </c>
      <c r="D16" s="16">
        <v>0.29406998329383999</v>
      </c>
      <c r="E16" t="s">
        <v>20</v>
      </c>
      <c r="K16" s="16"/>
    </row>
    <row r="17" spans="1:11" x14ac:dyDescent="0.3">
      <c r="A17" t="s">
        <v>18</v>
      </c>
      <c r="B17" t="s">
        <v>3</v>
      </c>
      <c r="C17" t="s">
        <v>2</v>
      </c>
      <c r="D17" s="16">
        <v>0.58673472113805403</v>
      </c>
      <c r="E17" t="s">
        <v>21</v>
      </c>
      <c r="K17" s="16"/>
    </row>
    <row r="18" spans="1:11" x14ac:dyDescent="0.3">
      <c r="A18" t="s">
        <v>18</v>
      </c>
      <c r="B18" t="s">
        <v>3</v>
      </c>
      <c r="C18" t="s">
        <v>2</v>
      </c>
      <c r="D18" s="16">
        <v>0.70572934955605304</v>
      </c>
      <c r="E18" t="s">
        <v>21</v>
      </c>
      <c r="K18" s="16"/>
    </row>
    <row r="19" spans="1:11" x14ac:dyDescent="0.3">
      <c r="A19" t="s">
        <v>18</v>
      </c>
      <c r="B19" t="s">
        <v>3</v>
      </c>
      <c r="C19" t="s">
        <v>2</v>
      </c>
      <c r="D19" s="16">
        <v>0.59479767953073104</v>
      </c>
      <c r="E19" t="s">
        <v>21</v>
      </c>
      <c r="K19" s="16"/>
    </row>
    <row r="20" spans="1:11" x14ac:dyDescent="0.3">
      <c r="A20" t="s">
        <v>18</v>
      </c>
      <c r="B20" t="s">
        <v>7</v>
      </c>
      <c r="C20" t="s">
        <v>0</v>
      </c>
      <c r="D20" s="5">
        <v>1</v>
      </c>
      <c r="E20" t="s">
        <v>19</v>
      </c>
      <c r="K20" s="5"/>
    </row>
    <row r="21" spans="1:11" x14ac:dyDescent="0.3">
      <c r="A21" t="s">
        <v>18</v>
      </c>
      <c r="B21" t="s">
        <v>7</v>
      </c>
      <c r="C21" t="s">
        <v>0</v>
      </c>
      <c r="D21" s="5">
        <v>1</v>
      </c>
      <c r="E21" t="s">
        <v>19</v>
      </c>
      <c r="K21" s="5"/>
    </row>
    <row r="22" spans="1:11" x14ac:dyDescent="0.3">
      <c r="A22" t="s">
        <v>18</v>
      </c>
      <c r="B22" t="s">
        <v>7</v>
      </c>
      <c r="C22" t="s">
        <v>0</v>
      </c>
      <c r="D22" s="5">
        <v>1</v>
      </c>
      <c r="E22" t="s">
        <v>19</v>
      </c>
      <c r="K22" s="5"/>
    </row>
    <row r="23" spans="1:11" x14ac:dyDescent="0.3">
      <c r="A23" t="s">
        <v>18</v>
      </c>
      <c r="B23" t="s">
        <v>7</v>
      </c>
      <c r="C23" t="s">
        <v>1</v>
      </c>
      <c r="D23" s="16">
        <v>1.0407734795772901</v>
      </c>
      <c r="E23" t="s">
        <v>20</v>
      </c>
      <c r="K23" s="16"/>
    </row>
    <row r="24" spans="1:11" x14ac:dyDescent="0.3">
      <c r="A24" t="s">
        <v>18</v>
      </c>
      <c r="B24" t="s">
        <v>7</v>
      </c>
      <c r="C24" t="s">
        <v>1</v>
      </c>
      <c r="D24" s="16">
        <v>1.0395014615392499</v>
      </c>
      <c r="E24" t="s">
        <v>20</v>
      </c>
      <c r="K24" s="16"/>
    </row>
    <row r="25" spans="1:11" x14ac:dyDescent="0.3">
      <c r="A25" t="s">
        <v>18</v>
      </c>
      <c r="B25" t="s">
        <v>7</v>
      </c>
      <c r="C25" t="s">
        <v>1</v>
      </c>
      <c r="D25" s="16">
        <v>0.547249891157228</v>
      </c>
      <c r="E25" t="s">
        <v>20</v>
      </c>
      <c r="K25" s="16"/>
    </row>
    <row r="26" spans="1:11" x14ac:dyDescent="0.3">
      <c r="A26" t="s">
        <v>18</v>
      </c>
      <c r="B26" t="s">
        <v>7</v>
      </c>
      <c r="C26" t="s">
        <v>2</v>
      </c>
      <c r="D26" s="16">
        <v>0.99318728460213501</v>
      </c>
      <c r="E26" t="s">
        <v>21</v>
      </c>
      <c r="K26" s="16"/>
    </row>
    <row r="27" spans="1:11" x14ac:dyDescent="0.3">
      <c r="A27" t="s">
        <v>18</v>
      </c>
      <c r="B27" t="s">
        <v>7</v>
      </c>
      <c r="C27" t="s">
        <v>2</v>
      </c>
      <c r="D27" s="16">
        <v>1.37324574755413</v>
      </c>
      <c r="E27" t="s">
        <v>21</v>
      </c>
      <c r="K27" s="16"/>
    </row>
    <row r="28" spans="1:11" x14ac:dyDescent="0.3">
      <c r="A28" t="s">
        <v>18</v>
      </c>
      <c r="B28" t="s">
        <v>7</v>
      </c>
      <c r="C28" t="s">
        <v>2</v>
      </c>
      <c r="D28" s="16">
        <v>1.02819043131399</v>
      </c>
      <c r="E28" t="s">
        <v>21</v>
      </c>
      <c r="K28" s="16"/>
    </row>
    <row r="29" spans="1:11" x14ac:dyDescent="0.3">
      <c r="A29" t="s">
        <v>22</v>
      </c>
      <c r="B29" t="s">
        <v>6</v>
      </c>
      <c r="C29" t="s">
        <v>0</v>
      </c>
      <c r="D29" s="5">
        <v>1</v>
      </c>
      <c r="E29" t="s">
        <v>19</v>
      </c>
    </row>
    <row r="30" spans="1:11" x14ac:dyDescent="0.3">
      <c r="A30" t="s">
        <v>22</v>
      </c>
      <c r="B30" t="s">
        <v>6</v>
      </c>
      <c r="C30" t="s">
        <v>0</v>
      </c>
      <c r="D30" s="5">
        <v>1</v>
      </c>
      <c r="E30" t="s">
        <v>19</v>
      </c>
    </row>
    <row r="31" spans="1:11" x14ac:dyDescent="0.3">
      <c r="A31" t="s">
        <v>22</v>
      </c>
      <c r="B31" t="s">
        <v>6</v>
      </c>
      <c r="C31" t="s">
        <v>0</v>
      </c>
      <c r="D31" s="5">
        <v>1</v>
      </c>
      <c r="E31" t="s">
        <v>19</v>
      </c>
    </row>
    <row r="32" spans="1:11" x14ac:dyDescent="0.3">
      <c r="A32" t="s">
        <v>22</v>
      </c>
      <c r="B32" t="s">
        <v>6</v>
      </c>
      <c r="C32" t="s">
        <v>1</v>
      </c>
      <c r="D32" s="16">
        <v>0.90318937040175296</v>
      </c>
      <c r="E32" t="s">
        <v>20</v>
      </c>
    </row>
    <row r="33" spans="1:5" x14ac:dyDescent="0.3">
      <c r="A33" t="s">
        <v>22</v>
      </c>
      <c r="B33" t="s">
        <v>6</v>
      </c>
      <c r="C33" t="s">
        <v>1</v>
      </c>
      <c r="D33" s="16">
        <v>1.0303401590191501</v>
      </c>
      <c r="E33" t="s">
        <v>20</v>
      </c>
    </row>
    <row r="34" spans="1:5" x14ac:dyDescent="0.3">
      <c r="A34" t="s">
        <v>22</v>
      </c>
      <c r="B34" t="s">
        <v>6</v>
      </c>
      <c r="C34" t="s">
        <v>1</v>
      </c>
      <c r="D34" s="16">
        <v>0.65988594247418597</v>
      </c>
      <c r="E34" t="s">
        <v>20</v>
      </c>
    </row>
    <row r="35" spans="1:5" x14ac:dyDescent="0.3">
      <c r="A35" t="s">
        <v>22</v>
      </c>
      <c r="B35" t="s">
        <v>6</v>
      </c>
      <c r="C35" t="s">
        <v>2</v>
      </c>
      <c r="D35" s="16">
        <v>1.03871884263116</v>
      </c>
      <c r="E35" t="s">
        <v>21</v>
      </c>
    </row>
    <row r="36" spans="1:5" x14ac:dyDescent="0.3">
      <c r="A36" t="s">
        <v>22</v>
      </c>
      <c r="B36" t="s">
        <v>6</v>
      </c>
      <c r="C36" t="s">
        <v>2</v>
      </c>
      <c r="D36" s="16">
        <v>0.96152033735627096</v>
      </c>
      <c r="E36" t="s">
        <v>21</v>
      </c>
    </row>
    <row r="37" spans="1:5" x14ac:dyDescent="0.3">
      <c r="A37" t="s">
        <v>22</v>
      </c>
      <c r="B37" t="s">
        <v>6</v>
      </c>
      <c r="C37" t="s">
        <v>2</v>
      </c>
      <c r="D37" s="16">
        <v>0.60433422898349698</v>
      </c>
      <c r="E37" t="s">
        <v>21</v>
      </c>
    </row>
    <row r="38" spans="1:5" x14ac:dyDescent="0.3">
      <c r="A38" t="s">
        <v>22</v>
      </c>
      <c r="B38" t="s">
        <v>3</v>
      </c>
      <c r="C38" t="s">
        <v>0</v>
      </c>
      <c r="D38" s="5">
        <v>1</v>
      </c>
      <c r="E38" t="s">
        <v>19</v>
      </c>
    </row>
    <row r="39" spans="1:5" x14ac:dyDescent="0.3">
      <c r="A39" t="s">
        <v>22</v>
      </c>
      <c r="B39" t="s">
        <v>3</v>
      </c>
      <c r="C39" t="s">
        <v>0</v>
      </c>
      <c r="D39" s="5">
        <v>1</v>
      </c>
      <c r="E39" t="s">
        <v>19</v>
      </c>
    </row>
    <row r="40" spans="1:5" x14ac:dyDescent="0.3">
      <c r="A40" t="s">
        <v>22</v>
      </c>
      <c r="B40" t="s">
        <v>3</v>
      </c>
      <c r="C40" t="s">
        <v>0</v>
      </c>
      <c r="D40" s="5">
        <v>1</v>
      </c>
      <c r="E40" t="s">
        <v>19</v>
      </c>
    </row>
    <row r="41" spans="1:5" x14ac:dyDescent="0.3">
      <c r="A41" t="s">
        <v>22</v>
      </c>
      <c r="B41" t="s">
        <v>3</v>
      </c>
      <c r="C41" t="s">
        <v>1</v>
      </c>
      <c r="D41" s="16">
        <v>2.81627512284757</v>
      </c>
      <c r="E41" t="s">
        <v>20</v>
      </c>
    </row>
    <row r="42" spans="1:5" x14ac:dyDescent="0.3">
      <c r="A42" t="s">
        <v>22</v>
      </c>
      <c r="B42" t="s">
        <v>3</v>
      </c>
      <c r="C42" t="s">
        <v>1</v>
      </c>
      <c r="D42" s="16">
        <v>3.6984415776838802</v>
      </c>
      <c r="E42" t="s">
        <v>20</v>
      </c>
    </row>
    <row r="43" spans="1:5" x14ac:dyDescent="0.3">
      <c r="A43" t="s">
        <v>22</v>
      </c>
      <c r="B43" t="s">
        <v>3</v>
      </c>
      <c r="C43" t="s">
        <v>1</v>
      </c>
      <c r="D43" s="16">
        <v>1.3309245266305001</v>
      </c>
      <c r="E43" t="s">
        <v>20</v>
      </c>
    </row>
    <row r="44" spans="1:5" x14ac:dyDescent="0.3">
      <c r="A44" t="s">
        <v>22</v>
      </c>
      <c r="B44" t="s">
        <v>3</v>
      </c>
      <c r="C44" t="s">
        <v>2</v>
      </c>
      <c r="D44" s="16">
        <v>2.0066583267366802</v>
      </c>
      <c r="E44" t="s">
        <v>21</v>
      </c>
    </row>
    <row r="45" spans="1:5" x14ac:dyDescent="0.3">
      <c r="A45" t="s">
        <v>22</v>
      </c>
      <c r="B45" t="s">
        <v>3</v>
      </c>
      <c r="C45" t="s">
        <v>2</v>
      </c>
      <c r="D45" s="16">
        <v>2.5047848503243899</v>
      </c>
      <c r="E45" t="s">
        <v>21</v>
      </c>
    </row>
    <row r="46" spans="1:5" x14ac:dyDescent="0.3">
      <c r="A46" t="s">
        <v>22</v>
      </c>
      <c r="B46" t="s">
        <v>3</v>
      </c>
      <c r="C46" t="s">
        <v>2</v>
      </c>
      <c r="D46" s="16">
        <v>1.9476462419904299</v>
      </c>
      <c r="E46" t="s">
        <v>21</v>
      </c>
    </row>
    <row r="47" spans="1:5" x14ac:dyDescent="0.3">
      <c r="A47" t="s">
        <v>22</v>
      </c>
      <c r="B47" t="s">
        <v>7</v>
      </c>
      <c r="C47" t="s">
        <v>0</v>
      </c>
      <c r="D47" s="5">
        <v>1</v>
      </c>
      <c r="E47" t="s">
        <v>19</v>
      </c>
    </row>
    <row r="48" spans="1:5" x14ac:dyDescent="0.3">
      <c r="A48" t="s">
        <v>22</v>
      </c>
      <c r="B48" t="s">
        <v>7</v>
      </c>
      <c r="C48" t="s">
        <v>0</v>
      </c>
      <c r="D48" s="5">
        <v>1</v>
      </c>
      <c r="E48" t="s">
        <v>19</v>
      </c>
    </row>
    <row r="49" spans="1:5" x14ac:dyDescent="0.3">
      <c r="A49" t="s">
        <v>22</v>
      </c>
      <c r="B49" t="s">
        <v>7</v>
      </c>
      <c r="C49" t="s">
        <v>0</v>
      </c>
      <c r="D49" s="5">
        <v>1</v>
      </c>
      <c r="E49" t="s">
        <v>19</v>
      </c>
    </row>
    <row r="50" spans="1:5" x14ac:dyDescent="0.3">
      <c r="A50" t="s">
        <v>22</v>
      </c>
      <c r="B50" t="s">
        <v>7</v>
      </c>
      <c r="C50" t="s">
        <v>1</v>
      </c>
      <c r="D50" s="16">
        <v>9.72067692146471</v>
      </c>
      <c r="E50" t="s">
        <v>20</v>
      </c>
    </row>
    <row r="51" spans="1:5" x14ac:dyDescent="0.3">
      <c r="A51" t="s">
        <v>22</v>
      </c>
      <c r="B51" t="s">
        <v>7</v>
      </c>
      <c r="C51" t="s">
        <v>1</v>
      </c>
      <c r="D51" s="16">
        <v>8.3163294379168509</v>
      </c>
      <c r="E51" t="s">
        <v>20</v>
      </c>
    </row>
    <row r="52" spans="1:5" x14ac:dyDescent="0.3">
      <c r="A52" t="s">
        <v>22</v>
      </c>
      <c r="B52" t="s">
        <v>7</v>
      </c>
      <c r="C52" t="s">
        <v>1</v>
      </c>
      <c r="D52" s="16">
        <v>7.9944301626695298</v>
      </c>
      <c r="E52" t="s">
        <v>20</v>
      </c>
    </row>
    <row r="53" spans="1:5" x14ac:dyDescent="0.3">
      <c r="A53" t="s">
        <v>22</v>
      </c>
      <c r="B53" t="s">
        <v>7</v>
      </c>
      <c r="C53" t="s">
        <v>2</v>
      </c>
      <c r="D53" s="16">
        <v>6.5413243264344798</v>
      </c>
      <c r="E53" t="s">
        <v>21</v>
      </c>
    </row>
    <row r="54" spans="1:5" x14ac:dyDescent="0.3">
      <c r="A54" t="s">
        <v>22</v>
      </c>
      <c r="B54" t="s">
        <v>7</v>
      </c>
      <c r="C54" t="s">
        <v>2</v>
      </c>
      <c r="D54" s="16">
        <v>6.5517236694113699</v>
      </c>
      <c r="E54" t="s">
        <v>21</v>
      </c>
    </row>
    <row r="55" spans="1:5" x14ac:dyDescent="0.3">
      <c r="A55" t="s">
        <v>22</v>
      </c>
      <c r="B55" t="s">
        <v>7</v>
      </c>
      <c r="C55" t="s">
        <v>2</v>
      </c>
      <c r="D55" s="16">
        <v>12.688244476017699</v>
      </c>
      <c r="E55" t="s">
        <v>21</v>
      </c>
    </row>
    <row r="56" spans="1:5" x14ac:dyDescent="0.3">
      <c r="A56" t="s">
        <v>23</v>
      </c>
      <c r="B56" t="s">
        <v>6</v>
      </c>
      <c r="C56" t="s">
        <v>0</v>
      </c>
      <c r="D56" s="5">
        <v>1</v>
      </c>
      <c r="E56" t="s">
        <v>19</v>
      </c>
    </row>
    <row r="57" spans="1:5" x14ac:dyDescent="0.3">
      <c r="A57" t="s">
        <v>23</v>
      </c>
      <c r="B57" t="s">
        <v>6</v>
      </c>
      <c r="C57" t="s">
        <v>0</v>
      </c>
      <c r="D57" s="5">
        <v>1</v>
      </c>
      <c r="E57" t="s">
        <v>19</v>
      </c>
    </row>
    <row r="58" spans="1:5" x14ac:dyDescent="0.3">
      <c r="A58" t="s">
        <v>23</v>
      </c>
      <c r="B58" t="s">
        <v>6</v>
      </c>
      <c r="C58" t="s">
        <v>0</v>
      </c>
      <c r="D58" s="5">
        <v>1</v>
      </c>
      <c r="E58" t="s">
        <v>19</v>
      </c>
    </row>
    <row r="59" spans="1:5" x14ac:dyDescent="0.3">
      <c r="A59" t="s">
        <v>23</v>
      </c>
      <c r="B59" t="s">
        <v>6</v>
      </c>
      <c r="C59" t="s">
        <v>1</v>
      </c>
      <c r="D59" s="16">
        <v>0.58507676290556698</v>
      </c>
      <c r="E59" t="s">
        <v>20</v>
      </c>
    </row>
    <row r="60" spans="1:5" x14ac:dyDescent="0.3">
      <c r="A60" t="s">
        <v>23</v>
      </c>
      <c r="B60" t="s">
        <v>6</v>
      </c>
      <c r="C60" t="s">
        <v>1</v>
      </c>
      <c r="D60" s="16">
        <v>0.65306459029650199</v>
      </c>
      <c r="E60" t="s">
        <v>20</v>
      </c>
    </row>
    <row r="61" spans="1:5" x14ac:dyDescent="0.3">
      <c r="A61" t="s">
        <v>23</v>
      </c>
      <c r="B61" t="s">
        <v>6</v>
      </c>
      <c r="C61" t="s">
        <v>1</v>
      </c>
      <c r="D61" s="16">
        <v>0.43058653140115399</v>
      </c>
      <c r="E61" t="s">
        <v>20</v>
      </c>
    </row>
    <row r="62" spans="1:5" x14ac:dyDescent="0.3">
      <c r="A62" t="s">
        <v>23</v>
      </c>
      <c r="B62" t="s">
        <v>6</v>
      </c>
      <c r="C62" t="s">
        <v>2</v>
      </c>
      <c r="D62" s="16">
        <v>0.60193372986378002</v>
      </c>
      <c r="E62" t="s">
        <v>21</v>
      </c>
    </row>
    <row r="63" spans="1:5" x14ac:dyDescent="0.3">
      <c r="A63" t="s">
        <v>23</v>
      </c>
      <c r="B63" t="s">
        <v>6</v>
      </c>
      <c r="C63" t="s">
        <v>2</v>
      </c>
      <c r="D63" s="16">
        <v>0.84992352166053797</v>
      </c>
      <c r="E63" t="s">
        <v>21</v>
      </c>
    </row>
    <row r="64" spans="1:5" x14ac:dyDescent="0.3">
      <c r="A64" t="s">
        <v>23</v>
      </c>
      <c r="B64" t="s">
        <v>6</v>
      </c>
      <c r="C64" t="s">
        <v>2</v>
      </c>
      <c r="D64" s="16">
        <v>0.772762914847826</v>
      </c>
      <c r="E64" t="s">
        <v>21</v>
      </c>
    </row>
    <row r="65" spans="1:5" x14ac:dyDescent="0.3">
      <c r="A65" t="s">
        <v>23</v>
      </c>
      <c r="B65" t="s">
        <v>3</v>
      </c>
      <c r="C65" t="s">
        <v>0</v>
      </c>
      <c r="D65" s="5">
        <v>1</v>
      </c>
      <c r="E65" t="s">
        <v>19</v>
      </c>
    </row>
    <row r="66" spans="1:5" x14ac:dyDescent="0.3">
      <c r="A66" t="s">
        <v>23</v>
      </c>
      <c r="B66" t="s">
        <v>3</v>
      </c>
      <c r="C66" t="s">
        <v>0</v>
      </c>
      <c r="D66" s="5">
        <v>1</v>
      </c>
      <c r="E66" t="s">
        <v>19</v>
      </c>
    </row>
    <row r="67" spans="1:5" x14ac:dyDescent="0.3">
      <c r="A67" t="s">
        <v>23</v>
      </c>
      <c r="B67" t="s">
        <v>3</v>
      </c>
      <c r="C67" t="s">
        <v>0</v>
      </c>
      <c r="D67" s="5">
        <v>1</v>
      </c>
      <c r="E67" t="s">
        <v>19</v>
      </c>
    </row>
    <row r="68" spans="1:5" x14ac:dyDescent="0.3">
      <c r="A68" t="s">
        <v>23</v>
      </c>
      <c r="B68" t="s">
        <v>3</v>
      </c>
      <c r="C68" t="s">
        <v>1</v>
      </c>
      <c r="D68" s="16">
        <v>1.0467028627886099</v>
      </c>
      <c r="E68" t="s">
        <v>20</v>
      </c>
    </row>
    <row r="69" spans="1:5" x14ac:dyDescent="0.3">
      <c r="A69" t="s">
        <v>23</v>
      </c>
      <c r="B69" t="s">
        <v>3</v>
      </c>
      <c r="C69" t="s">
        <v>1</v>
      </c>
      <c r="D69" s="16">
        <v>1.01079736046338</v>
      </c>
      <c r="E69" t="s">
        <v>20</v>
      </c>
    </row>
    <row r="70" spans="1:5" x14ac:dyDescent="0.3">
      <c r="A70" t="s">
        <v>23</v>
      </c>
      <c r="B70" t="s">
        <v>3</v>
      </c>
      <c r="C70" t="s">
        <v>1</v>
      </c>
      <c r="D70" s="16">
        <v>0.84302886622627504</v>
      </c>
      <c r="E70" t="s">
        <v>20</v>
      </c>
    </row>
    <row r="71" spans="1:5" x14ac:dyDescent="0.3">
      <c r="A71" t="s">
        <v>23</v>
      </c>
      <c r="B71" t="s">
        <v>3</v>
      </c>
      <c r="C71" t="s">
        <v>2</v>
      </c>
      <c r="D71" s="16">
        <v>1.3548260365726099</v>
      </c>
      <c r="E71" t="s">
        <v>21</v>
      </c>
    </row>
    <row r="72" spans="1:5" x14ac:dyDescent="0.3">
      <c r="A72" t="s">
        <v>23</v>
      </c>
      <c r="B72" t="s">
        <v>3</v>
      </c>
      <c r="C72" t="s">
        <v>2</v>
      </c>
      <c r="D72" s="16">
        <v>1.54865162620649</v>
      </c>
      <c r="E72" t="s">
        <v>21</v>
      </c>
    </row>
    <row r="73" spans="1:5" x14ac:dyDescent="0.3">
      <c r="A73" t="s">
        <v>23</v>
      </c>
      <c r="B73" t="s">
        <v>3</v>
      </c>
      <c r="C73" t="s">
        <v>2</v>
      </c>
      <c r="D73" s="16">
        <v>1.2668567165304301</v>
      </c>
      <c r="E73" t="s">
        <v>21</v>
      </c>
    </row>
    <row r="74" spans="1:5" x14ac:dyDescent="0.3">
      <c r="A74" t="s">
        <v>23</v>
      </c>
      <c r="B74" t="s">
        <v>7</v>
      </c>
      <c r="C74" t="s">
        <v>0</v>
      </c>
      <c r="D74" s="5">
        <v>1</v>
      </c>
      <c r="E74" t="s">
        <v>19</v>
      </c>
    </row>
    <row r="75" spans="1:5" x14ac:dyDescent="0.3">
      <c r="A75" t="s">
        <v>23</v>
      </c>
      <c r="B75" t="s">
        <v>7</v>
      </c>
      <c r="C75" t="s">
        <v>0</v>
      </c>
      <c r="D75" s="5">
        <v>1</v>
      </c>
      <c r="E75" t="s">
        <v>19</v>
      </c>
    </row>
    <row r="76" spans="1:5" x14ac:dyDescent="0.3">
      <c r="A76" t="s">
        <v>23</v>
      </c>
      <c r="B76" t="s">
        <v>7</v>
      </c>
      <c r="C76" t="s">
        <v>0</v>
      </c>
      <c r="D76" s="5">
        <v>1</v>
      </c>
      <c r="E76" t="s">
        <v>19</v>
      </c>
    </row>
    <row r="77" spans="1:5" x14ac:dyDescent="0.3">
      <c r="A77" t="s">
        <v>23</v>
      </c>
      <c r="B77" t="s">
        <v>7</v>
      </c>
      <c r="C77" t="s">
        <v>1</v>
      </c>
      <c r="D77" s="16">
        <v>0.94959915865058397</v>
      </c>
      <c r="E77" t="s">
        <v>20</v>
      </c>
    </row>
    <row r="78" spans="1:5" x14ac:dyDescent="0.3">
      <c r="A78" t="s">
        <v>23</v>
      </c>
      <c r="B78" t="s">
        <v>7</v>
      </c>
      <c r="C78" t="s">
        <v>1</v>
      </c>
      <c r="D78" s="16">
        <v>0.70891780525690395</v>
      </c>
      <c r="E78" t="s">
        <v>20</v>
      </c>
    </row>
    <row r="79" spans="1:5" x14ac:dyDescent="0.3">
      <c r="A79" t="s">
        <v>23</v>
      </c>
      <c r="B79" t="s">
        <v>7</v>
      </c>
      <c r="C79" t="s">
        <v>1</v>
      </c>
      <c r="D79" s="16">
        <v>1.3063086130706101</v>
      </c>
      <c r="E79" t="s">
        <v>20</v>
      </c>
    </row>
    <row r="80" spans="1:5" x14ac:dyDescent="0.3">
      <c r="A80" t="s">
        <v>23</v>
      </c>
      <c r="B80" t="s">
        <v>7</v>
      </c>
      <c r="C80" t="s">
        <v>2</v>
      </c>
      <c r="D80" s="16">
        <v>1.12988859605839</v>
      </c>
      <c r="E80" t="s">
        <v>21</v>
      </c>
    </row>
    <row r="81" spans="1:5" x14ac:dyDescent="0.3">
      <c r="A81" t="s">
        <v>23</v>
      </c>
      <c r="B81" t="s">
        <v>7</v>
      </c>
      <c r="C81" t="s">
        <v>2</v>
      </c>
      <c r="D81" s="16">
        <v>1.1730640391312701</v>
      </c>
      <c r="E81" t="s">
        <v>21</v>
      </c>
    </row>
    <row r="82" spans="1:5" x14ac:dyDescent="0.3">
      <c r="A82" t="s">
        <v>23</v>
      </c>
      <c r="B82" t="s">
        <v>7</v>
      </c>
      <c r="C82" t="s">
        <v>2</v>
      </c>
      <c r="D82" s="16">
        <v>1.7540708416472399</v>
      </c>
      <c r="E8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SXM-L</vt:lpstr>
      <vt:lpstr>PDM-L</vt:lpstr>
      <vt:lpstr>PLATE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2025-08-23T21:12:01Z</dcterms:created>
  <dcterms:modified xsi:type="dcterms:W3CDTF">2025-08-24T12:03:49Z</dcterms:modified>
</cp:coreProperties>
</file>