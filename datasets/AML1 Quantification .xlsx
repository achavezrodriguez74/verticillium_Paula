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OneDrive - Wageningen University &amp; Research\UCI_projects\Project_8 (Reviews)\Family\Pere\doctorado\datasets\"/>
    </mc:Choice>
  </mc:AlternateContent>
  <xr:revisionPtr revIDLastSave="0" documentId="13_ncr:1_{668D47E6-B9ED-4EF2-AAC8-9A6118FE0E16}" xr6:coauthVersionLast="47" xr6:coauthVersionMax="47" xr10:uidLastSave="{00000000-0000-0000-0000-000000000000}"/>
  <bookViews>
    <workbookView xWindow="-108" yWindow="-108" windowWidth="23256" windowHeight="12456" activeTab="3" xr2:uid="{72160081-8F7B-418F-9CAC-9EBB6961F4B2}"/>
  </bookViews>
  <sheets>
    <sheet name="Inner Circle" sheetId="1" r:id="rId1"/>
    <sheet name="Three circles" sheetId="2" r:id="rId2"/>
    <sheet name="Normalization" sheetId="3" r:id="rId3"/>
    <sheet name="ESTADÍSTIC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" i="3" l="1"/>
  <c r="Y5" i="3"/>
  <c r="Y4" i="3"/>
  <c r="Y3" i="3"/>
  <c r="X6" i="3"/>
  <c r="X5" i="3"/>
  <c r="X4" i="3"/>
  <c r="X3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P4" i="3"/>
  <c r="P5" i="3"/>
  <c r="P6" i="3"/>
  <c r="P3" i="3"/>
  <c r="O4" i="3"/>
  <c r="O5" i="3"/>
  <c r="O6" i="3"/>
  <c r="O3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F4" i="3"/>
  <c r="G3" i="3"/>
  <c r="F3" i="3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2" i="2"/>
</calcChain>
</file>

<file path=xl/sharedStrings.xml><?xml version="1.0" encoding="utf-8"?>
<sst xmlns="http://schemas.openxmlformats.org/spreadsheetml/2006/main" count="363" uniqueCount="240">
  <si>
    <t xml:space="preserve"> </t>
  </si>
  <si>
    <t>Area</t>
  </si>
  <si>
    <t>Mean</t>
  </si>
  <si>
    <t>Min</t>
  </si>
  <si>
    <t>Max</t>
  </si>
  <si>
    <t>WTa-1</t>
  </si>
  <si>
    <t>WTa-2</t>
  </si>
  <si>
    <t>WTa-3</t>
  </si>
  <si>
    <t>WTb-1</t>
  </si>
  <si>
    <t>WTb-2</t>
  </si>
  <si>
    <t>WTb-3</t>
  </si>
  <si>
    <t>WTc-1</t>
  </si>
  <si>
    <t>WTc-2</t>
  </si>
  <si>
    <t>WTc-3</t>
  </si>
  <si>
    <t>WTd-1</t>
  </si>
  <si>
    <t>WTd-2</t>
  </si>
  <si>
    <t>WTd-3</t>
  </si>
  <si>
    <t>ΔAML1 c2 1-1</t>
  </si>
  <si>
    <t>ΔAML1 c2 1-2</t>
  </si>
  <si>
    <t>ΔAML1 c2 1-3</t>
  </si>
  <si>
    <t>ΔAML1 c2 2-1</t>
  </si>
  <si>
    <t>ΔAML1 c2 2-2</t>
  </si>
  <si>
    <t>ΔAML1 c2 2-3</t>
  </si>
  <si>
    <t>ΔAML1 c3 1-1</t>
  </si>
  <si>
    <t>ΔAML1 c3 1-2</t>
  </si>
  <si>
    <t>ΔAML1 c3 1-3</t>
  </si>
  <si>
    <t>ΔAML1 c3 2-1</t>
  </si>
  <si>
    <t>ΔAML1 c3 2-2</t>
  </si>
  <si>
    <t>ΔAML1 c3 2-3</t>
  </si>
  <si>
    <t>comp.AML1 c2 1-1</t>
  </si>
  <si>
    <t>comp.AML1 c2 1-2</t>
  </si>
  <si>
    <t>comp.AML1 c2 1-3</t>
  </si>
  <si>
    <t>comp.AML1 c2 2-1</t>
  </si>
  <si>
    <t>comp.AML1 c2 2-2</t>
  </si>
  <si>
    <t>comp.AML1 c2 2-3</t>
  </si>
  <si>
    <t>comp.AML1 c10 1-1</t>
  </si>
  <si>
    <t>comp.AML1 c10 1-2</t>
  </si>
  <si>
    <t>comp.AML1 c10 1-3</t>
  </si>
  <si>
    <t>comp.AML1 c10 2-1</t>
  </si>
  <si>
    <t>comp.AML1 c10 2-2</t>
  </si>
  <si>
    <t>comp.AML1 c10 2-3</t>
  </si>
  <si>
    <t>AML1-GFP c12 1-1</t>
  </si>
  <si>
    <t>AML1-GFP c12 1-2</t>
  </si>
  <si>
    <t>AML1-GFP c12 1-3</t>
  </si>
  <si>
    <t>AML1-GFP c12 2-1</t>
  </si>
  <si>
    <t>AML1-GFP c12 2-2</t>
  </si>
  <si>
    <t>AML1-GFP c12 2-3</t>
  </si>
  <si>
    <t>AML1-GFP c14 1-1</t>
  </si>
  <si>
    <t>AML1-GFP c14 1-2</t>
  </si>
  <si>
    <t>AML1-GFP c14 1-3</t>
  </si>
  <si>
    <t>AML1-GFP c14 2-1</t>
  </si>
  <si>
    <t>AML1-GFP c14 2-2</t>
  </si>
  <si>
    <t>AML1-GFP c14 2-3</t>
  </si>
  <si>
    <t>WTa-1 1</t>
  </si>
  <si>
    <t>WTa-1 2</t>
  </si>
  <si>
    <t>WTa-1 3</t>
  </si>
  <si>
    <t>WTa-2 1</t>
  </si>
  <si>
    <t>WTa-2 2</t>
  </si>
  <si>
    <t>WTa-2 3</t>
  </si>
  <si>
    <t>WTa-3 1</t>
  </si>
  <si>
    <t>WTa-3 2</t>
  </si>
  <si>
    <t>WTa-3 3</t>
  </si>
  <si>
    <t>WTb-1 1</t>
  </si>
  <si>
    <t>WTb-1 2</t>
  </si>
  <si>
    <t>WTb-1 3</t>
  </si>
  <si>
    <t>WTb-2 1</t>
  </si>
  <si>
    <t>WTb-2 2</t>
  </si>
  <si>
    <t>WTb-2 3</t>
  </si>
  <si>
    <t>WTb-3 1</t>
  </si>
  <si>
    <t>WTb-3 2</t>
  </si>
  <si>
    <t>WTb-3 3</t>
  </si>
  <si>
    <t>WTc-1 1</t>
  </si>
  <si>
    <t>WTc-1 2</t>
  </si>
  <si>
    <t>WTc-1 3</t>
  </si>
  <si>
    <t>WTc-2 1</t>
  </si>
  <si>
    <t>WTc-2 2</t>
  </si>
  <si>
    <t>WTc-2 3</t>
  </si>
  <si>
    <t>WTc-3 1</t>
  </si>
  <si>
    <t>WTc-3 2</t>
  </si>
  <si>
    <t>WTc-3 3</t>
  </si>
  <si>
    <t>WTd-1 1</t>
  </si>
  <si>
    <t>WTd-1 2</t>
  </si>
  <si>
    <t>WTd-1 3</t>
  </si>
  <si>
    <t>WTd-2 1</t>
  </si>
  <si>
    <t>WTd-2 2</t>
  </si>
  <si>
    <t>WTd-2 3</t>
  </si>
  <si>
    <t>WTd-3 1</t>
  </si>
  <si>
    <t>WTd-3 2</t>
  </si>
  <si>
    <t>WTd-3 3</t>
  </si>
  <si>
    <t>ΔAML1 c2 1-1 1</t>
  </si>
  <si>
    <t>ΔAML1 c2 1-1 2</t>
  </si>
  <si>
    <t>ΔAML1 c2 1-1 3</t>
  </si>
  <si>
    <t>ΔAML1 c2 1-2 1</t>
  </si>
  <si>
    <t>ΔAML1 c2 1-2 2</t>
  </si>
  <si>
    <t>ΔAML1 c2 1-2 3</t>
  </si>
  <si>
    <t>ΔAML1 c2 1-3 1</t>
  </si>
  <si>
    <t>ΔAML1 c2 1-3 2</t>
  </si>
  <si>
    <t>ΔAML1 c2 1-3 3</t>
  </si>
  <si>
    <t>ΔAML1 c2 2-1 1</t>
  </si>
  <si>
    <t>ΔAML1 c2 2-1 2</t>
  </si>
  <si>
    <t>ΔAML1 c2 2-1 3</t>
  </si>
  <si>
    <t>ΔAML1 c2 2-2 1</t>
  </si>
  <si>
    <t>ΔAML1 c2 2-2 2</t>
  </si>
  <si>
    <t>ΔAML1 c2 2-2 3</t>
  </si>
  <si>
    <t>ΔAML1 c2 2-3 1</t>
  </si>
  <si>
    <t>ΔAML1 c2 2-3 2</t>
  </si>
  <si>
    <t>ΔAML1 c2 2-3 3</t>
  </si>
  <si>
    <t>ΔAML1 c3 1-1 1</t>
  </si>
  <si>
    <t>ΔAML1 c3 1-1 2</t>
  </si>
  <si>
    <t>ΔAML1 c3 1-1 3</t>
  </si>
  <si>
    <t>ΔAML1 c3 1-2 1</t>
  </si>
  <si>
    <t>ΔAML1 c3 1-2 2</t>
  </si>
  <si>
    <t>ΔAML1 c3 1-2 3</t>
  </si>
  <si>
    <t>ΔAML1 c3 1-3 1</t>
  </si>
  <si>
    <t>ΔAML1 c3 1-3 2</t>
  </si>
  <si>
    <t>ΔAML1 c3 1-3 3</t>
  </si>
  <si>
    <t>ΔAML1 c3 2-1 1</t>
  </si>
  <si>
    <t>ΔAML1 c3 2-1 2</t>
  </si>
  <si>
    <t>ΔAML1 c3 2-1 3</t>
  </si>
  <si>
    <t>ΔAML1 c3 2-2 1</t>
  </si>
  <si>
    <t>ΔAML1 c3 2-2 2</t>
  </si>
  <si>
    <t>ΔAML1 c3 2-2 3</t>
  </si>
  <si>
    <t>ΔAML1 c3 2-3 1</t>
  </si>
  <si>
    <t>ΔAML1 c3 2-3 2</t>
  </si>
  <si>
    <t>ΔAML1 c3 2-3 3</t>
  </si>
  <si>
    <t>comp.AML1 c2 1-1 1</t>
  </si>
  <si>
    <t>comp.AML1 c2 1-1 2</t>
  </si>
  <si>
    <t>comp.AML1 c2 1-1 3</t>
  </si>
  <si>
    <t>comp.AML1 c2 1-2 1</t>
  </si>
  <si>
    <t>comp.AML1 c2 1-2 2</t>
  </si>
  <si>
    <t>comp.AML1 c2 1-2 3</t>
  </si>
  <si>
    <t>comp.AML1 c2 1-3 1</t>
  </si>
  <si>
    <t>comp.AML1 c2 1-3 2</t>
  </si>
  <si>
    <t>comp.AML1 c2 1-3 3</t>
  </si>
  <si>
    <t>comp.AML1 c2 2-1 1</t>
  </si>
  <si>
    <t>comp.AML1 c2 2-1 2</t>
  </si>
  <si>
    <t>comp.AML1 c2 2-1 3</t>
  </si>
  <si>
    <t>comp.AML1 c2 2-2 1</t>
  </si>
  <si>
    <t>comp.AML1 c2 2-2 2</t>
  </si>
  <si>
    <t>comp.AML1 c2 2-2 3</t>
  </si>
  <si>
    <t>comp.AML1 c2 2-3 1</t>
  </si>
  <si>
    <t>comp.AML1 c2 2-3 2</t>
  </si>
  <si>
    <t>comp.AML1 c2 2-3 3</t>
  </si>
  <si>
    <t>comp.AML1 c10 1-1 1</t>
  </si>
  <si>
    <t>comp.AML1 c10 1-1 2</t>
  </si>
  <si>
    <t>comp.AML1 c10 1-1 3</t>
  </si>
  <si>
    <t>comp.AML1 c10 1-2 1</t>
  </si>
  <si>
    <t>comp.AML1 c10 1-2 2</t>
  </si>
  <si>
    <t>comp.AML1 c10 1-2 3</t>
  </si>
  <si>
    <t>comp.AML1 c10 1-3 1</t>
  </si>
  <si>
    <t>comp.AML1 c10 1-3 2</t>
  </si>
  <si>
    <t>comp.AML1 c10 1-3 3</t>
  </si>
  <si>
    <t>comp.AML1 c10 2-1 1</t>
  </si>
  <si>
    <t>comp.AML1 c10 2-1 2</t>
  </si>
  <si>
    <t>comp.AML1 c10 2-1 3</t>
  </si>
  <si>
    <t>comp.AML1 c10 2-2 1</t>
  </si>
  <si>
    <t>comp.AML1 c10 2-2 2</t>
  </si>
  <si>
    <t>comp.AML1 c10 2-2 3</t>
  </si>
  <si>
    <t>comp.AML1 c10 2-3 1</t>
  </si>
  <si>
    <t>comp.AML1 c10 2-3 2</t>
  </si>
  <si>
    <t>comp.AML1 c10 2-3 3</t>
  </si>
  <si>
    <t>AML1-GFP c12 1-1 1</t>
  </si>
  <si>
    <t>AML1-GFP c12 1-1 2</t>
  </si>
  <si>
    <t>AML1-GFP c12 1-1 3</t>
  </si>
  <si>
    <t>AML1-GFP c12 1-2 1</t>
  </si>
  <si>
    <t>AML1-GFP c12 1-2 2</t>
  </si>
  <si>
    <t>AML1-GFP c12 1-2 3</t>
  </si>
  <si>
    <t>AML1-GFP c12 1-3 1</t>
  </si>
  <si>
    <t>AML1-GFP c12 1-3 2</t>
  </si>
  <si>
    <t>AML1-GFP c12 1-3 3</t>
  </si>
  <si>
    <t>AML1-GFP c12 2-1 1</t>
  </si>
  <si>
    <t>AML1-GFP c12 2-1 2</t>
  </si>
  <si>
    <t>AML1-GFP c12 2-1 3</t>
  </si>
  <si>
    <t>AML1-GFP c12 2-2 1</t>
  </si>
  <si>
    <t>AML1-GFP c12 2-2 2</t>
  </si>
  <si>
    <t>AML1-GFP c12 2-2 3</t>
  </si>
  <si>
    <t>AML1-GFP c12 2-3 1</t>
  </si>
  <si>
    <t>AML1-GFP c12 2-3 2</t>
  </si>
  <si>
    <t>AML1-GFP c12 2-3 3</t>
  </si>
  <si>
    <t>AML1-GFP c14 1-1 1</t>
  </si>
  <si>
    <t>AML1-GFP c14 1-1 2</t>
  </si>
  <si>
    <t>AML1-GFP c14 1-1 3</t>
  </si>
  <si>
    <t>AML1-GFP c14 1-2 1</t>
  </si>
  <si>
    <t>AML1-GFP c14 1-2 2</t>
  </si>
  <si>
    <t>AML1-GFP c14 1-2 3</t>
  </si>
  <si>
    <t>AML1-GFP c14 1-3 1</t>
  </si>
  <si>
    <t>AML1-GFP c14 1-3 2</t>
  </si>
  <si>
    <t>AML1-GFP c14 1-3 3</t>
  </si>
  <si>
    <t>AML1-GFP c14 2-1 1</t>
  </si>
  <si>
    <t>AML1-GFP c14 2-1 2</t>
  </si>
  <si>
    <t>AML1-GFP c14 2-1 3</t>
  </si>
  <si>
    <t>AML1-GFP c14 2-2 1</t>
  </si>
  <si>
    <t>AML1-GFP c14 2-2 2</t>
  </si>
  <si>
    <t>AML1-GFP c14 2-2 3</t>
  </si>
  <si>
    <t>AML1-GFP c14 2-3 1</t>
  </si>
  <si>
    <t>AML1-GFP c14 2-3 2</t>
  </si>
  <si>
    <t>AML1-GFP c14 2-3 3</t>
  </si>
  <si>
    <t>Technical Rep</t>
  </si>
  <si>
    <t>Bright 1</t>
  </si>
  <si>
    <t>Bright 2</t>
  </si>
  <si>
    <t>Bright 3</t>
  </si>
  <si>
    <t>Average</t>
  </si>
  <si>
    <t>Inner Circle</t>
  </si>
  <si>
    <t xml:space="preserve">Normalization </t>
  </si>
  <si>
    <t>Biological Rep</t>
  </si>
  <si>
    <t>Background Mean</t>
  </si>
  <si>
    <t>SD</t>
  </si>
  <si>
    <t>WTa</t>
  </si>
  <si>
    <t>WTb</t>
  </si>
  <si>
    <t>WTc</t>
  </si>
  <si>
    <t>WTd</t>
  </si>
  <si>
    <t>ΔAML1 c2-1</t>
  </si>
  <si>
    <t>ΔAML1 c2-2</t>
  </si>
  <si>
    <t>ΔAML1 c3-1</t>
  </si>
  <si>
    <t>ΔAML1 c3-2</t>
  </si>
  <si>
    <t>comp.AML1 c2-1</t>
  </si>
  <si>
    <t>comp.AML1 c2-2</t>
  </si>
  <si>
    <t>comp.AML1 c10-1</t>
  </si>
  <si>
    <t>comp.AML1 c10-2</t>
  </si>
  <si>
    <t>AML1-GFP c12-1</t>
  </si>
  <si>
    <t>AML1-GFP c12-2</t>
  </si>
  <si>
    <t>AML1-GFP c14-1</t>
  </si>
  <si>
    <t>AML1-GFP c14-2</t>
  </si>
  <si>
    <t>Strain</t>
  </si>
  <si>
    <t>WT</t>
  </si>
  <si>
    <t xml:space="preserve">ΔAML1 </t>
  </si>
  <si>
    <t>comp.AML1</t>
  </si>
  <si>
    <t>AML1-GFP</t>
  </si>
  <si>
    <t>Normalized (Rel to WT)</t>
  </si>
  <si>
    <t>Average (Rel to WT)</t>
  </si>
  <si>
    <t>ΔAML1</t>
  </si>
  <si>
    <t>Four biological replicates each, all are already normalized relative to WT</t>
  </si>
  <si>
    <t>Biological.Rep</t>
  </si>
  <si>
    <t>Normalized</t>
  </si>
  <si>
    <t>Treatment</t>
  </si>
  <si>
    <t>a</t>
  </si>
  <si>
    <t>b</t>
  </si>
  <si>
    <t>c</t>
  </si>
  <si>
    <t>d</t>
  </si>
  <si>
    <t>AML1.GFP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</si>
</sst>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0"/>
    <numFmt numFmtId="166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9" fillId="0" borderId="0" xfId="0" applyFont="1"/>
    <xf numFmtId="164" fontId="0" fillId="0" borderId="0" xfId="0" applyNumberFormat="1"/>
    <xf numFmtId="0" fontId="16" fillId="0" borderId="0" xfId="0" applyFont="1"/>
    <xf numFmtId="166" fontId="0" fillId="0" borderId="0" xfId="0" applyNumberFormat="1"/>
    <xf numFmtId="0" fontId="16" fillId="0" borderId="0" xfId="0" applyFont="1" applyAlignment="1">
      <alignment horizontal="center" vertical="center"/>
    </xf>
    <xf numFmtId="166" fontId="0" fillId="33" borderId="0" xfId="0" applyNumberFormat="1" applyFill="1"/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0" fillId="34" borderId="0" xfId="0" applyFill="1"/>
    <xf numFmtId="165" fontId="0" fillId="34" borderId="0" xfId="0" applyNumberFormat="1" applyFill="1"/>
    <xf numFmtId="0" fontId="19" fillId="33" borderId="0" xfId="0" applyFont="1" applyFill="1"/>
    <xf numFmtId="165" fontId="0" fillId="33" borderId="0" xfId="0" applyNumberFormat="1" applyFill="1"/>
    <xf numFmtId="0" fontId="0" fillId="35" borderId="0" xfId="0" applyFill="1"/>
    <xf numFmtId="165" fontId="0" fillId="35" borderId="0" xfId="0" applyNumberFormat="1" applyFill="1"/>
    <xf numFmtId="0" fontId="0" fillId="36" borderId="0" xfId="0" applyFill="1"/>
    <xf numFmtId="165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Normalization!$Y$3:$Y$6</c:f>
                <c:numCache>
                  <c:formatCode>General</c:formatCode>
                  <c:ptCount val="4"/>
                  <c:pt idx="0">
                    <c:v>0.10212442754561081</c:v>
                  </c:pt>
                  <c:pt idx="1">
                    <c:v>0.14286102601739245</c:v>
                  </c:pt>
                  <c:pt idx="2">
                    <c:v>9.5212979756097202E-2</c:v>
                  </c:pt>
                  <c:pt idx="3">
                    <c:v>9.6594165008596272E-2</c:v>
                  </c:pt>
                </c:numCache>
              </c:numRef>
            </c:plus>
            <c:minus>
              <c:numRef>
                <c:f>Normalization!$Y$3:$Y$6</c:f>
                <c:numCache>
                  <c:formatCode>General</c:formatCode>
                  <c:ptCount val="4"/>
                  <c:pt idx="0">
                    <c:v>0.10212442754561081</c:v>
                  </c:pt>
                  <c:pt idx="1">
                    <c:v>0.14286102601739245</c:v>
                  </c:pt>
                  <c:pt idx="2">
                    <c:v>9.5212979756097202E-2</c:v>
                  </c:pt>
                  <c:pt idx="3">
                    <c:v>9.6594165008596272E-2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Normalization!$W$3:$W$6</c:f>
              <c:strCache>
                <c:ptCount val="4"/>
                <c:pt idx="0">
                  <c:v>WT</c:v>
                </c:pt>
                <c:pt idx="1">
                  <c:v>ΔAML1 </c:v>
                </c:pt>
                <c:pt idx="2">
                  <c:v>comp.AML1</c:v>
                </c:pt>
                <c:pt idx="3">
                  <c:v>AML1-GFP</c:v>
                </c:pt>
              </c:strCache>
            </c:strRef>
          </c:cat>
          <c:val>
            <c:numRef>
              <c:f>Normalization!$X$3:$X$6</c:f>
              <c:numCache>
                <c:formatCode>0.000</c:formatCode>
                <c:ptCount val="4"/>
                <c:pt idx="0">
                  <c:v>1</c:v>
                </c:pt>
                <c:pt idx="1">
                  <c:v>0.70701953034615106</c:v>
                </c:pt>
                <c:pt idx="2">
                  <c:v>1.0719912942086913</c:v>
                </c:pt>
                <c:pt idx="3">
                  <c:v>0.73533733320975514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8A-4447-8233-9EC8A720C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006959"/>
        <c:axId val="181007439"/>
      </c:barChart>
      <c:catAx>
        <c:axId val="18100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1007439"/>
        <c:crosses val="autoZero"/>
        <c:auto val="1"/>
        <c:lblAlgn val="ctr"/>
        <c:lblOffset val="100"/>
        <c:noMultiLvlLbl val="0"/>
      </c:catAx>
      <c:valAx>
        <c:axId val="18100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100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480060</xdr:colOff>
      <xdr:row>9</xdr:row>
      <xdr:rowOff>3810</xdr:rowOff>
    </xdr:from>
    <xdr:to>
      <xdr:col>29</xdr:col>
      <xdr:colOff>0</xdr:colOff>
      <xdr:row>26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CEDFB7-3D30-49D2-C0A1-33DCA2E31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28EFF-08F1-4A47-809D-0E0F2BF04974}">
  <dimension ref="A1:E49"/>
  <sheetViews>
    <sheetView workbookViewId="0">
      <selection activeCell="C2" sqref="C2:C49"/>
    </sheetView>
  </sheetViews>
  <sheetFormatPr defaultRowHeight="14.4" x14ac:dyDescent="0.3"/>
  <cols>
    <col min="1" max="1" width="18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45232</v>
      </c>
      <c r="C2" s="2">
        <v>166.511</v>
      </c>
      <c r="D2">
        <v>153</v>
      </c>
      <c r="E2">
        <v>183</v>
      </c>
    </row>
    <row r="3" spans="1:5" x14ac:dyDescent="0.3">
      <c r="A3" t="s">
        <v>6</v>
      </c>
      <c r="B3">
        <v>45232</v>
      </c>
      <c r="C3" s="2">
        <v>170.91</v>
      </c>
      <c r="D3">
        <v>155</v>
      </c>
      <c r="E3">
        <v>184</v>
      </c>
    </row>
    <row r="4" spans="1:5" x14ac:dyDescent="0.3">
      <c r="A4" t="s">
        <v>7</v>
      </c>
      <c r="B4">
        <v>45232</v>
      </c>
      <c r="C4" s="2">
        <v>169.95599999999999</v>
      </c>
      <c r="D4">
        <v>152</v>
      </c>
      <c r="E4">
        <v>189</v>
      </c>
    </row>
    <row r="5" spans="1:5" x14ac:dyDescent="0.3">
      <c r="A5" t="s">
        <v>8</v>
      </c>
      <c r="B5">
        <v>45232</v>
      </c>
      <c r="C5" s="2">
        <v>155.535</v>
      </c>
      <c r="D5">
        <v>141</v>
      </c>
      <c r="E5">
        <v>181</v>
      </c>
    </row>
    <row r="6" spans="1:5" x14ac:dyDescent="0.3">
      <c r="A6" t="s">
        <v>9</v>
      </c>
      <c r="B6">
        <v>45232</v>
      </c>
      <c r="C6" s="2">
        <v>163.67099999999999</v>
      </c>
      <c r="D6">
        <v>144</v>
      </c>
      <c r="E6">
        <v>186</v>
      </c>
    </row>
    <row r="7" spans="1:5" x14ac:dyDescent="0.3">
      <c r="A7" t="s">
        <v>10</v>
      </c>
      <c r="B7">
        <v>45232</v>
      </c>
      <c r="C7" s="2">
        <v>170.83600000000001</v>
      </c>
      <c r="D7">
        <v>150</v>
      </c>
      <c r="E7">
        <v>191</v>
      </c>
    </row>
    <row r="8" spans="1:5" x14ac:dyDescent="0.3">
      <c r="A8" t="s">
        <v>11</v>
      </c>
      <c r="B8">
        <v>45232</v>
      </c>
      <c r="C8" s="2">
        <v>165.56</v>
      </c>
      <c r="D8">
        <v>147</v>
      </c>
      <c r="E8">
        <v>183</v>
      </c>
    </row>
    <row r="9" spans="1:5" x14ac:dyDescent="0.3">
      <c r="A9" t="s">
        <v>12</v>
      </c>
      <c r="B9">
        <v>45232</v>
      </c>
      <c r="C9" s="2">
        <v>180.06399999999999</v>
      </c>
      <c r="D9">
        <v>164</v>
      </c>
      <c r="E9">
        <v>196</v>
      </c>
    </row>
    <row r="10" spans="1:5" x14ac:dyDescent="0.3">
      <c r="A10" t="s">
        <v>13</v>
      </c>
      <c r="B10">
        <v>45232</v>
      </c>
      <c r="C10" s="2">
        <v>172.10300000000001</v>
      </c>
      <c r="D10">
        <v>153</v>
      </c>
      <c r="E10">
        <v>191</v>
      </c>
    </row>
    <row r="11" spans="1:5" x14ac:dyDescent="0.3">
      <c r="A11" t="s">
        <v>14</v>
      </c>
      <c r="B11">
        <v>45232</v>
      </c>
      <c r="C11" s="2">
        <v>142.916</v>
      </c>
      <c r="D11">
        <v>106</v>
      </c>
      <c r="E11">
        <v>159</v>
      </c>
    </row>
    <row r="12" spans="1:5" x14ac:dyDescent="0.3">
      <c r="A12" t="s">
        <v>15</v>
      </c>
      <c r="B12">
        <v>45232</v>
      </c>
      <c r="C12" s="2">
        <v>168.49700000000001</v>
      </c>
      <c r="D12">
        <v>150</v>
      </c>
      <c r="E12">
        <v>188</v>
      </c>
    </row>
    <row r="13" spans="1:5" x14ac:dyDescent="0.3">
      <c r="A13" t="s">
        <v>16</v>
      </c>
      <c r="B13">
        <v>45232</v>
      </c>
      <c r="C13" s="2">
        <v>173.17599999999999</v>
      </c>
      <c r="D13">
        <v>157</v>
      </c>
      <c r="E13">
        <v>189</v>
      </c>
    </row>
    <row r="14" spans="1:5" x14ac:dyDescent="0.3">
      <c r="A14" s="1" t="s">
        <v>17</v>
      </c>
      <c r="B14">
        <v>45232</v>
      </c>
      <c r="C14" s="2">
        <v>162.715</v>
      </c>
      <c r="D14">
        <v>134</v>
      </c>
      <c r="E14">
        <v>186</v>
      </c>
    </row>
    <row r="15" spans="1:5" x14ac:dyDescent="0.3">
      <c r="A15" s="1" t="s">
        <v>18</v>
      </c>
      <c r="B15">
        <v>45232</v>
      </c>
      <c r="C15" s="2">
        <v>176.08199999999999</v>
      </c>
      <c r="D15">
        <v>163</v>
      </c>
      <c r="E15">
        <v>192</v>
      </c>
    </row>
    <row r="16" spans="1:5" x14ac:dyDescent="0.3">
      <c r="A16" s="1" t="s">
        <v>19</v>
      </c>
      <c r="B16">
        <v>45232</v>
      </c>
      <c r="C16" s="2">
        <v>180.54400000000001</v>
      </c>
      <c r="D16">
        <v>165</v>
      </c>
      <c r="E16">
        <v>192</v>
      </c>
    </row>
    <row r="17" spans="1:5" x14ac:dyDescent="0.3">
      <c r="A17" s="1" t="s">
        <v>20</v>
      </c>
      <c r="B17">
        <v>45232</v>
      </c>
      <c r="C17" s="2">
        <v>183.47</v>
      </c>
      <c r="D17">
        <v>172</v>
      </c>
      <c r="E17">
        <v>199</v>
      </c>
    </row>
    <row r="18" spans="1:5" x14ac:dyDescent="0.3">
      <c r="A18" s="1" t="s">
        <v>21</v>
      </c>
      <c r="B18">
        <v>45232</v>
      </c>
      <c r="C18" s="2">
        <v>191.94499999999999</v>
      </c>
      <c r="D18">
        <v>173</v>
      </c>
      <c r="E18">
        <v>206</v>
      </c>
    </row>
    <row r="19" spans="1:5" x14ac:dyDescent="0.3">
      <c r="A19" s="1" t="s">
        <v>22</v>
      </c>
      <c r="B19">
        <v>45232</v>
      </c>
      <c r="C19" s="2">
        <v>183.46299999999999</v>
      </c>
      <c r="D19">
        <v>172</v>
      </c>
      <c r="E19">
        <v>192</v>
      </c>
    </row>
    <row r="20" spans="1:5" x14ac:dyDescent="0.3">
      <c r="A20" s="1" t="s">
        <v>23</v>
      </c>
      <c r="B20">
        <v>45232</v>
      </c>
      <c r="C20" s="2">
        <v>182.65100000000001</v>
      </c>
      <c r="D20">
        <v>167</v>
      </c>
      <c r="E20">
        <v>199</v>
      </c>
    </row>
    <row r="21" spans="1:5" x14ac:dyDescent="0.3">
      <c r="A21" s="1" t="s">
        <v>24</v>
      </c>
      <c r="B21">
        <v>45232</v>
      </c>
      <c r="C21" s="2">
        <v>177.43</v>
      </c>
      <c r="D21">
        <v>159</v>
      </c>
      <c r="E21">
        <v>194</v>
      </c>
    </row>
    <row r="22" spans="1:5" x14ac:dyDescent="0.3">
      <c r="A22" s="1" t="s">
        <v>25</v>
      </c>
      <c r="B22">
        <v>45232</v>
      </c>
      <c r="C22" s="2">
        <v>188.83600000000001</v>
      </c>
      <c r="D22">
        <v>174</v>
      </c>
      <c r="E22">
        <v>202</v>
      </c>
    </row>
    <row r="23" spans="1:5" x14ac:dyDescent="0.3">
      <c r="A23" s="1" t="s">
        <v>26</v>
      </c>
      <c r="B23">
        <v>45232</v>
      </c>
      <c r="C23" s="2">
        <v>186.185</v>
      </c>
      <c r="D23">
        <v>176</v>
      </c>
      <c r="E23">
        <v>198</v>
      </c>
    </row>
    <row r="24" spans="1:5" x14ac:dyDescent="0.3">
      <c r="A24" s="1" t="s">
        <v>27</v>
      </c>
      <c r="B24">
        <v>45232</v>
      </c>
      <c r="C24" s="2">
        <v>169.905</v>
      </c>
      <c r="D24">
        <v>142</v>
      </c>
      <c r="E24">
        <v>196</v>
      </c>
    </row>
    <row r="25" spans="1:5" x14ac:dyDescent="0.3">
      <c r="A25" s="1" t="s">
        <v>28</v>
      </c>
      <c r="B25">
        <v>45232</v>
      </c>
      <c r="C25" s="2">
        <v>187.726</v>
      </c>
      <c r="D25">
        <v>175</v>
      </c>
      <c r="E25">
        <v>203</v>
      </c>
    </row>
    <row r="26" spans="1:5" x14ac:dyDescent="0.3">
      <c r="A26" t="s">
        <v>29</v>
      </c>
      <c r="B26">
        <v>45232</v>
      </c>
      <c r="C26" s="2">
        <v>153.70099999999999</v>
      </c>
      <c r="D26">
        <v>134</v>
      </c>
      <c r="E26">
        <v>179</v>
      </c>
    </row>
    <row r="27" spans="1:5" x14ac:dyDescent="0.3">
      <c r="A27" t="s">
        <v>30</v>
      </c>
      <c r="B27">
        <v>45232</v>
      </c>
      <c r="C27" s="2">
        <v>164.553</v>
      </c>
      <c r="D27">
        <v>144</v>
      </c>
      <c r="E27">
        <v>186</v>
      </c>
    </row>
    <row r="28" spans="1:5" x14ac:dyDescent="0.3">
      <c r="A28" t="s">
        <v>31</v>
      </c>
      <c r="B28">
        <v>45232</v>
      </c>
      <c r="C28" s="2">
        <v>157.93899999999999</v>
      </c>
      <c r="D28">
        <v>142</v>
      </c>
      <c r="E28">
        <v>180</v>
      </c>
    </row>
    <row r="29" spans="1:5" x14ac:dyDescent="0.3">
      <c r="A29" t="s">
        <v>32</v>
      </c>
      <c r="B29">
        <v>45232</v>
      </c>
      <c r="C29" s="2">
        <v>156.73699999999999</v>
      </c>
      <c r="D29">
        <v>138</v>
      </c>
      <c r="E29">
        <v>179</v>
      </c>
    </row>
    <row r="30" spans="1:5" x14ac:dyDescent="0.3">
      <c r="A30" t="s">
        <v>33</v>
      </c>
      <c r="B30">
        <v>45232</v>
      </c>
      <c r="C30" s="2">
        <v>155.744</v>
      </c>
      <c r="D30">
        <v>125</v>
      </c>
      <c r="E30">
        <v>181</v>
      </c>
    </row>
    <row r="31" spans="1:5" x14ac:dyDescent="0.3">
      <c r="A31" t="s">
        <v>34</v>
      </c>
      <c r="B31">
        <v>45232</v>
      </c>
      <c r="C31" s="2">
        <v>168.99700000000001</v>
      </c>
      <c r="D31">
        <v>152</v>
      </c>
      <c r="E31">
        <v>185</v>
      </c>
    </row>
    <row r="32" spans="1:5" x14ac:dyDescent="0.3">
      <c r="A32" t="s">
        <v>35</v>
      </c>
      <c r="B32">
        <v>45232</v>
      </c>
      <c r="C32" s="2">
        <v>163.87799999999999</v>
      </c>
      <c r="D32">
        <v>150</v>
      </c>
      <c r="E32">
        <v>178</v>
      </c>
    </row>
    <row r="33" spans="1:5" x14ac:dyDescent="0.3">
      <c r="A33" t="s">
        <v>36</v>
      </c>
      <c r="B33">
        <v>45232</v>
      </c>
      <c r="C33" s="2">
        <v>171.82300000000001</v>
      </c>
      <c r="D33">
        <v>150</v>
      </c>
      <c r="E33">
        <v>220</v>
      </c>
    </row>
    <row r="34" spans="1:5" x14ac:dyDescent="0.3">
      <c r="A34" t="s">
        <v>37</v>
      </c>
      <c r="B34">
        <v>45232</v>
      </c>
      <c r="C34" s="2">
        <v>171.19800000000001</v>
      </c>
      <c r="D34">
        <v>151</v>
      </c>
      <c r="E34">
        <v>188</v>
      </c>
    </row>
    <row r="35" spans="1:5" x14ac:dyDescent="0.3">
      <c r="A35" t="s">
        <v>38</v>
      </c>
      <c r="B35">
        <v>45232</v>
      </c>
      <c r="C35" s="2">
        <v>151.97</v>
      </c>
      <c r="D35">
        <v>136</v>
      </c>
      <c r="E35">
        <v>175</v>
      </c>
    </row>
    <row r="36" spans="1:5" x14ac:dyDescent="0.3">
      <c r="A36" t="s">
        <v>39</v>
      </c>
      <c r="B36">
        <v>45232</v>
      </c>
      <c r="C36" s="2">
        <v>159.15700000000001</v>
      </c>
      <c r="D36">
        <v>136</v>
      </c>
      <c r="E36">
        <v>179</v>
      </c>
    </row>
    <row r="37" spans="1:5" x14ac:dyDescent="0.3">
      <c r="A37" t="s">
        <v>40</v>
      </c>
      <c r="B37">
        <v>45232</v>
      </c>
      <c r="C37" s="2">
        <v>163.45699999999999</v>
      </c>
      <c r="D37">
        <v>137</v>
      </c>
      <c r="E37">
        <v>186</v>
      </c>
    </row>
    <row r="38" spans="1:5" x14ac:dyDescent="0.3">
      <c r="A38" t="s">
        <v>41</v>
      </c>
      <c r="B38">
        <v>45232</v>
      </c>
      <c r="C38" s="2">
        <v>172.56299999999999</v>
      </c>
      <c r="D38">
        <v>158</v>
      </c>
      <c r="E38">
        <v>187</v>
      </c>
    </row>
    <row r="39" spans="1:5" x14ac:dyDescent="0.3">
      <c r="A39" t="s">
        <v>42</v>
      </c>
      <c r="B39">
        <v>45232</v>
      </c>
      <c r="C39" s="2">
        <v>177.93199999999999</v>
      </c>
      <c r="D39">
        <v>168</v>
      </c>
      <c r="E39">
        <v>190</v>
      </c>
    </row>
    <row r="40" spans="1:5" x14ac:dyDescent="0.3">
      <c r="A40" t="s">
        <v>43</v>
      </c>
      <c r="B40">
        <v>45232</v>
      </c>
      <c r="C40" s="2">
        <v>178.84399999999999</v>
      </c>
      <c r="D40">
        <v>166</v>
      </c>
      <c r="E40">
        <v>190</v>
      </c>
    </row>
    <row r="41" spans="1:5" x14ac:dyDescent="0.3">
      <c r="A41" t="s">
        <v>44</v>
      </c>
      <c r="B41">
        <v>45232</v>
      </c>
      <c r="C41" s="2">
        <v>173.04</v>
      </c>
      <c r="D41">
        <v>162</v>
      </c>
      <c r="E41">
        <v>190</v>
      </c>
    </row>
    <row r="42" spans="1:5" x14ac:dyDescent="0.3">
      <c r="A42" t="s">
        <v>45</v>
      </c>
      <c r="B42">
        <v>45232</v>
      </c>
      <c r="C42" s="2">
        <v>177.02199999999999</v>
      </c>
      <c r="D42">
        <v>163</v>
      </c>
      <c r="E42">
        <v>190</v>
      </c>
    </row>
    <row r="43" spans="1:5" x14ac:dyDescent="0.3">
      <c r="A43" t="s">
        <v>46</v>
      </c>
      <c r="B43">
        <v>45232</v>
      </c>
      <c r="C43" s="2">
        <v>181.709</v>
      </c>
      <c r="D43">
        <v>171</v>
      </c>
      <c r="E43">
        <v>192</v>
      </c>
    </row>
    <row r="44" spans="1:5" x14ac:dyDescent="0.3">
      <c r="A44" t="s">
        <v>47</v>
      </c>
      <c r="B44">
        <v>45232</v>
      </c>
      <c r="C44" s="2">
        <v>167.22399999999999</v>
      </c>
      <c r="D44">
        <v>96</v>
      </c>
      <c r="E44">
        <v>189</v>
      </c>
    </row>
    <row r="45" spans="1:5" x14ac:dyDescent="0.3">
      <c r="A45" t="s">
        <v>48</v>
      </c>
      <c r="B45">
        <v>45232</v>
      </c>
      <c r="C45" s="2">
        <v>167.977</v>
      </c>
      <c r="D45">
        <v>152</v>
      </c>
      <c r="E45">
        <v>183</v>
      </c>
    </row>
    <row r="46" spans="1:5" x14ac:dyDescent="0.3">
      <c r="A46" t="s">
        <v>49</v>
      </c>
      <c r="B46">
        <v>45232</v>
      </c>
      <c r="C46" s="2">
        <v>176.49100000000001</v>
      </c>
      <c r="D46">
        <v>149</v>
      </c>
      <c r="E46">
        <v>193</v>
      </c>
    </row>
    <row r="47" spans="1:5" x14ac:dyDescent="0.3">
      <c r="A47" t="s">
        <v>50</v>
      </c>
      <c r="B47">
        <v>45232</v>
      </c>
      <c r="C47" s="2">
        <v>179.38</v>
      </c>
      <c r="D47">
        <v>166</v>
      </c>
      <c r="E47">
        <v>195</v>
      </c>
    </row>
    <row r="48" spans="1:5" x14ac:dyDescent="0.3">
      <c r="A48" t="s">
        <v>51</v>
      </c>
      <c r="B48">
        <v>45232</v>
      </c>
      <c r="C48" s="2">
        <v>181.84200000000001</v>
      </c>
      <c r="D48">
        <v>168</v>
      </c>
      <c r="E48">
        <v>196</v>
      </c>
    </row>
    <row r="49" spans="1:5" x14ac:dyDescent="0.3">
      <c r="A49" t="s">
        <v>52</v>
      </c>
      <c r="B49">
        <v>45232</v>
      </c>
      <c r="C49" s="2">
        <v>181.43</v>
      </c>
      <c r="D49">
        <v>162</v>
      </c>
      <c r="E49">
        <v>195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011AC-1764-4A8F-B7A8-0BE022239D04}">
  <dimension ref="A1:V145"/>
  <sheetViews>
    <sheetView topLeftCell="G1" workbookViewId="0">
      <selection activeCell="Q1" sqref="Q1:V17"/>
    </sheetView>
  </sheetViews>
  <sheetFormatPr defaultRowHeight="14.4" x14ac:dyDescent="0.3"/>
  <cols>
    <col min="1" max="1" width="20" customWidth="1"/>
    <col min="8" max="8" width="17.6640625" customWidth="1"/>
    <col min="9" max="9" width="9.88671875" customWidth="1"/>
    <col min="10" max="10" width="10.21875" customWidth="1"/>
    <col min="11" max="11" width="10" customWidth="1"/>
    <col min="12" max="12" width="10.88671875" customWidth="1"/>
    <col min="13" max="13" width="11.77734375" customWidth="1"/>
    <col min="14" max="14" width="14.109375" customWidth="1"/>
    <col min="15" max="15" width="9.21875" customWidth="1"/>
    <col min="17" max="17" width="16" customWidth="1"/>
    <col min="19" max="19" width="9.6640625" customWidth="1"/>
    <col min="21" max="21" width="15.77734375" customWidth="1"/>
  </cols>
  <sheetData>
    <row r="1" spans="1:22" x14ac:dyDescent="0.3">
      <c r="A1" t="s">
        <v>0</v>
      </c>
      <c r="B1" t="s">
        <v>1</v>
      </c>
      <c r="C1" s="2" t="s">
        <v>2</v>
      </c>
      <c r="D1" t="s">
        <v>3</v>
      </c>
      <c r="E1" t="s">
        <v>4</v>
      </c>
      <c r="H1" s="3" t="s">
        <v>197</v>
      </c>
      <c r="I1" s="3" t="s">
        <v>198</v>
      </c>
      <c r="J1" s="3" t="s">
        <v>199</v>
      </c>
      <c r="K1" s="3" t="s">
        <v>200</v>
      </c>
      <c r="L1" s="3" t="s">
        <v>201</v>
      </c>
      <c r="M1" s="3" t="s">
        <v>202</v>
      </c>
      <c r="N1" s="3" t="s">
        <v>203</v>
      </c>
      <c r="Q1" s="3" t="s">
        <v>204</v>
      </c>
      <c r="R1" s="3">
        <v>1</v>
      </c>
      <c r="S1" s="3">
        <v>2</v>
      </c>
      <c r="T1" s="3">
        <v>3</v>
      </c>
      <c r="U1" s="3" t="s">
        <v>205</v>
      </c>
      <c r="V1" s="3" t="s">
        <v>206</v>
      </c>
    </row>
    <row r="2" spans="1:22" x14ac:dyDescent="0.3">
      <c r="A2" t="s">
        <v>53</v>
      </c>
      <c r="B2">
        <v>34312</v>
      </c>
      <c r="C2" s="2">
        <v>214.35</v>
      </c>
      <c r="D2">
        <v>212</v>
      </c>
      <c r="E2">
        <v>220</v>
      </c>
      <c r="H2" t="s">
        <v>5</v>
      </c>
      <c r="I2" s="2">
        <v>214.35</v>
      </c>
      <c r="J2" s="2">
        <v>220.197</v>
      </c>
      <c r="K2" s="2">
        <v>216.107</v>
      </c>
      <c r="L2" s="2">
        <f>AVERAGE(I2:K2)</f>
        <v>216.88466666666667</v>
      </c>
      <c r="M2" s="4">
        <v>166.511</v>
      </c>
      <c r="N2" s="4">
        <f>M2-L2</f>
        <v>-50.373666666666679</v>
      </c>
      <c r="O2" s="4"/>
      <c r="Q2" t="s">
        <v>207</v>
      </c>
      <c r="R2" s="4">
        <v>-50.373666666666679</v>
      </c>
      <c r="S2" s="4">
        <v>-36.055666666666639</v>
      </c>
      <c r="T2" s="4">
        <v>-33.764666666666699</v>
      </c>
      <c r="U2" s="4">
        <f>AVERAGE(R2:T2)</f>
        <v>-40.064666666666675</v>
      </c>
      <c r="V2" s="4">
        <f>_xlfn.STDEV.P(R2:T2)</f>
        <v>7.3493211024329801</v>
      </c>
    </row>
    <row r="3" spans="1:22" x14ac:dyDescent="0.3">
      <c r="A3" t="s">
        <v>54</v>
      </c>
      <c r="B3">
        <v>34312</v>
      </c>
      <c r="C3" s="2">
        <v>220.197</v>
      </c>
      <c r="D3">
        <v>218</v>
      </c>
      <c r="E3">
        <v>222</v>
      </c>
      <c r="H3" t="s">
        <v>6</v>
      </c>
      <c r="I3" s="2">
        <v>200.90799999999999</v>
      </c>
      <c r="J3" s="2">
        <v>210.96199999999999</v>
      </c>
      <c r="K3" s="2">
        <v>209.02699999999999</v>
      </c>
      <c r="L3" s="2">
        <f t="shared" ref="L3:L49" si="0">AVERAGE(I3:K3)</f>
        <v>206.96566666666664</v>
      </c>
      <c r="M3" s="4">
        <v>170.91</v>
      </c>
      <c r="N3" s="4">
        <f t="shared" ref="N3:N49" si="1">M3-L3</f>
        <v>-36.055666666666639</v>
      </c>
      <c r="O3" s="4"/>
      <c r="Q3" t="s">
        <v>208</v>
      </c>
      <c r="R3" s="4">
        <v>-58.577666666666659</v>
      </c>
      <c r="S3" s="4">
        <v>-47.863666666666688</v>
      </c>
      <c r="T3" s="4">
        <v>-33.793333333333322</v>
      </c>
      <c r="U3" s="4">
        <f t="shared" ref="U3:U17" si="2">AVERAGE(R3:T3)</f>
        <v>-46.744888888888887</v>
      </c>
      <c r="V3" s="4">
        <f t="shared" ref="V3:V17" si="3">_xlfn.STDEV.P(R3:T3)</f>
        <v>10.149040758662256</v>
      </c>
    </row>
    <row r="4" spans="1:22" x14ac:dyDescent="0.3">
      <c r="A4" t="s">
        <v>55</v>
      </c>
      <c r="B4">
        <v>34312</v>
      </c>
      <c r="C4" s="2">
        <v>216.107</v>
      </c>
      <c r="D4">
        <v>214</v>
      </c>
      <c r="E4">
        <v>221</v>
      </c>
      <c r="H4" t="s">
        <v>7</v>
      </c>
      <c r="I4" s="2">
        <v>198.46899999999999</v>
      </c>
      <c r="J4" s="2">
        <v>210.285</v>
      </c>
      <c r="K4" s="2">
        <v>202.40799999999999</v>
      </c>
      <c r="L4" s="2">
        <f t="shared" si="0"/>
        <v>203.72066666666669</v>
      </c>
      <c r="M4" s="4">
        <v>169.95599999999999</v>
      </c>
      <c r="N4" s="4">
        <f t="shared" si="1"/>
        <v>-33.764666666666699</v>
      </c>
      <c r="O4" s="4"/>
      <c r="Q4" t="s">
        <v>209</v>
      </c>
      <c r="R4" s="4">
        <v>-50.430999999999983</v>
      </c>
      <c r="S4" s="4">
        <v>-34.557000000000016</v>
      </c>
      <c r="T4" s="4">
        <v>-26.484000000000009</v>
      </c>
      <c r="U4" s="4">
        <f t="shared" si="2"/>
        <v>-37.157333333333334</v>
      </c>
      <c r="V4" s="4">
        <f t="shared" si="3"/>
        <v>9.9477301375182474</v>
      </c>
    </row>
    <row r="5" spans="1:22" x14ac:dyDescent="0.3">
      <c r="A5" t="s">
        <v>56</v>
      </c>
      <c r="B5">
        <v>34312</v>
      </c>
      <c r="C5" s="2">
        <v>200.90799999999999</v>
      </c>
      <c r="D5">
        <v>198</v>
      </c>
      <c r="E5">
        <v>204</v>
      </c>
      <c r="H5" t="s">
        <v>8</v>
      </c>
      <c r="I5" s="2">
        <v>216.15700000000001</v>
      </c>
      <c r="J5" s="2">
        <v>216.233</v>
      </c>
      <c r="K5" s="2">
        <v>209.94800000000001</v>
      </c>
      <c r="L5" s="2">
        <f t="shared" si="0"/>
        <v>214.11266666666666</v>
      </c>
      <c r="M5" s="4">
        <v>155.535</v>
      </c>
      <c r="N5" s="4">
        <f t="shared" si="1"/>
        <v>-58.577666666666659</v>
      </c>
      <c r="O5" s="4"/>
      <c r="Q5" t="s">
        <v>210</v>
      </c>
      <c r="R5" s="4">
        <v>-71.077666666666659</v>
      </c>
      <c r="S5" s="4">
        <v>-44.690333333333314</v>
      </c>
      <c r="T5" s="4">
        <v>-26.625000000000028</v>
      </c>
      <c r="U5" s="4">
        <f t="shared" si="2"/>
        <v>-47.464333333333336</v>
      </c>
      <c r="V5" s="4">
        <f t="shared" si="3"/>
        <v>18.25342343131728</v>
      </c>
    </row>
    <row r="6" spans="1:22" x14ac:dyDescent="0.3">
      <c r="A6" t="s">
        <v>57</v>
      </c>
      <c r="B6">
        <v>34312</v>
      </c>
      <c r="C6" s="2">
        <v>210.96199999999999</v>
      </c>
      <c r="D6">
        <v>170</v>
      </c>
      <c r="E6">
        <v>219</v>
      </c>
      <c r="H6" t="s">
        <v>9</v>
      </c>
      <c r="I6" s="2">
        <v>211.13900000000001</v>
      </c>
      <c r="J6" s="2">
        <v>211.84700000000001</v>
      </c>
      <c r="K6" s="2">
        <v>211.61799999999999</v>
      </c>
      <c r="L6" s="2">
        <f t="shared" si="0"/>
        <v>211.53466666666668</v>
      </c>
      <c r="M6" s="4">
        <v>163.67099999999999</v>
      </c>
      <c r="N6" s="4">
        <f t="shared" si="1"/>
        <v>-47.863666666666688</v>
      </c>
      <c r="O6" s="4"/>
      <c r="Q6" s="1" t="s">
        <v>211</v>
      </c>
      <c r="R6" s="4">
        <v>-53.226666666666688</v>
      </c>
      <c r="S6" s="4">
        <v>-32.859000000000009</v>
      </c>
      <c r="T6" s="4">
        <v>-33.218999999999994</v>
      </c>
      <c r="U6" s="4">
        <f t="shared" si="2"/>
        <v>-39.768222222222228</v>
      </c>
      <c r="V6" s="4">
        <f t="shared" si="3"/>
        <v>9.5176921274066615</v>
      </c>
    </row>
    <row r="7" spans="1:22" x14ac:dyDescent="0.3">
      <c r="A7" t="s">
        <v>58</v>
      </c>
      <c r="B7">
        <v>34312</v>
      </c>
      <c r="C7" s="2">
        <v>209.02699999999999</v>
      </c>
      <c r="D7">
        <v>206</v>
      </c>
      <c r="E7">
        <v>212</v>
      </c>
      <c r="H7" t="s">
        <v>10</v>
      </c>
      <c r="I7" s="2">
        <v>205.506</v>
      </c>
      <c r="J7" s="2">
        <v>205.48400000000001</v>
      </c>
      <c r="K7" s="2">
        <v>202.898</v>
      </c>
      <c r="L7" s="2">
        <f t="shared" si="0"/>
        <v>204.62933333333334</v>
      </c>
      <c r="M7" s="4">
        <v>170.83600000000001</v>
      </c>
      <c r="N7" s="4">
        <f t="shared" si="1"/>
        <v>-33.793333333333322</v>
      </c>
      <c r="O7" s="4"/>
      <c r="Q7" s="1" t="s">
        <v>212</v>
      </c>
      <c r="R7" s="4">
        <v>-33.206999999999994</v>
      </c>
      <c r="S7" s="4">
        <v>-18.556333333333299</v>
      </c>
      <c r="T7" s="4">
        <v>-16.288666666666671</v>
      </c>
      <c r="U7" s="4">
        <f t="shared" si="2"/>
        <v>-22.683999999999987</v>
      </c>
      <c r="V7" s="4">
        <f t="shared" si="3"/>
        <v>7.4982542313873708</v>
      </c>
    </row>
    <row r="8" spans="1:22" x14ac:dyDescent="0.3">
      <c r="A8" t="s">
        <v>59</v>
      </c>
      <c r="B8">
        <v>34312</v>
      </c>
      <c r="C8" s="2">
        <v>198.46899999999999</v>
      </c>
      <c r="D8">
        <v>194</v>
      </c>
      <c r="E8">
        <v>245</v>
      </c>
      <c r="H8" t="s">
        <v>11</v>
      </c>
      <c r="I8" s="2">
        <v>212.63200000000001</v>
      </c>
      <c r="J8" s="2">
        <v>220.18600000000001</v>
      </c>
      <c r="K8" s="2">
        <v>215.155</v>
      </c>
      <c r="L8" s="2">
        <f t="shared" si="0"/>
        <v>215.99099999999999</v>
      </c>
      <c r="M8" s="4">
        <v>165.56</v>
      </c>
      <c r="N8" s="4">
        <f t="shared" si="1"/>
        <v>-50.430999999999983</v>
      </c>
      <c r="O8" s="4"/>
      <c r="Q8" s="1" t="s">
        <v>213</v>
      </c>
      <c r="R8" s="4">
        <v>-32.862666666666684</v>
      </c>
      <c r="S8" s="4">
        <v>-36.332999999999998</v>
      </c>
      <c r="T8" s="4">
        <v>-17.298999999999978</v>
      </c>
      <c r="U8" s="4">
        <f t="shared" si="2"/>
        <v>-28.831555555555553</v>
      </c>
      <c r="V8" s="4">
        <f t="shared" si="3"/>
        <v>8.2769028665152682</v>
      </c>
    </row>
    <row r="9" spans="1:22" x14ac:dyDescent="0.3">
      <c r="A9" t="s">
        <v>60</v>
      </c>
      <c r="B9">
        <v>34312</v>
      </c>
      <c r="C9" s="2">
        <v>210.285</v>
      </c>
      <c r="D9">
        <v>207</v>
      </c>
      <c r="E9">
        <v>214</v>
      </c>
      <c r="H9" t="s">
        <v>12</v>
      </c>
      <c r="I9" s="2">
        <v>207.90600000000001</v>
      </c>
      <c r="J9" s="2">
        <v>218.95400000000001</v>
      </c>
      <c r="K9" s="2">
        <v>217.00299999999999</v>
      </c>
      <c r="L9" s="2">
        <f t="shared" si="0"/>
        <v>214.62100000000001</v>
      </c>
      <c r="M9" s="4">
        <v>180.06399999999999</v>
      </c>
      <c r="N9" s="4">
        <f t="shared" si="1"/>
        <v>-34.557000000000016</v>
      </c>
      <c r="O9" s="4"/>
      <c r="Q9" s="1" t="s">
        <v>214</v>
      </c>
      <c r="R9" s="4">
        <v>-29.299333333333323</v>
      </c>
      <c r="S9" s="4">
        <v>-43.719666666666683</v>
      </c>
      <c r="T9" s="4">
        <v>-16.745333333333321</v>
      </c>
      <c r="U9" s="4">
        <f t="shared" si="2"/>
        <v>-29.921444444444443</v>
      </c>
      <c r="V9" s="4">
        <f t="shared" si="3"/>
        <v>11.021008162304417</v>
      </c>
    </row>
    <row r="10" spans="1:22" x14ac:dyDescent="0.3">
      <c r="A10" t="s">
        <v>61</v>
      </c>
      <c r="B10">
        <v>34312</v>
      </c>
      <c r="C10" s="2">
        <v>202.40799999999999</v>
      </c>
      <c r="D10">
        <v>198</v>
      </c>
      <c r="E10">
        <v>207</v>
      </c>
      <c r="H10" t="s">
        <v>13</v>
      </c>
      <c r="I10" s="2">
        <v>193.63900000000001</v>
      </c>
      <c r="J10" s="2">
        <v>203.739</v>
      </c>
      <c r="K10" s="2">
        <v>198.38300000000001</v>
      </c>
      <c r="L10" s="2">
        <f t="shared" si="0"/>
        <v>198.58700000000002</v>
      </c>
      <c r="M10" s="4">
        <v>172.10300000000001</v>
      </c>
      <c r="N10" s="4">
        <f t="shared" si="1"/>
        <v>-26.484000000000009</v>
      </c>
      <c r="O10" s="4"/>
      <c r="Q10" t="s">
        <v>215</v>
      </c>
      <c r="R10" s="4">
        <v>-59.231666666666683</v>
      </c>
      <c r="S10" s="4">
        <v>-46.171666666666653</v>
      </c>
      <c r="T10" s="4">
        <v>-39.507333333333321</v>
      </c>
      <c r="U10" s="4">
        <f t="shared" si="2"/>
        <v>-48.303555555555555</v>
      </c>
      <c r="V10" s="4">
        <f t="shared" si="3"/>
        <v>8.1923152623678437</v>
      </c>
    </row>
    <row r="11" spans="1:22" x14ac:dyDescent="0.3">
      <c r="A11" t="s">
        <v>62</v>
      </c>
      <c r="B11">
        <v>34312</v>
      </c>
      <c r="C11" s="2">
        <v>216.15700000000001</v>
      </c>
      <c r="D11">
        <v>212</v>
      </c>
      <c r="E11">
        <v>222</v>
      </c>
      <c r="H11" t="s">
        <v>14</v>
      </c>
      <c r="I11" s="2">
        <v>215.572</v>
      </c>
      <c r="J11" s="2">
        <v>214.66</v>
      </c>
      <c r="K11" s="2">
        <v>211.749</v>
      </c>
      <c r="L11" s="2">
        <f t="shared" si="0"/>
        <v>213.99366666666666</v>
      </c>
      <c r="M11" s="4">
        <v>142.916</v>
      </c>
      <c r="N11" s="4">
        <f t="shared" si="1"/>
        <v>-71.077666666666659</v>
      </c>
      <c r="O11" s="4"/>
      <c r="Q11" t="s">
        <v>216</v>
      </c>
      <c r="R11" s="4">
        <v>-55.69066666666663</v>
      </c>
      <c r="S11" s="4">
        <v>-55.800333333333356</v>
      </c>
      <c r="T11" s="4">
        <v>-27.945666666666654</v>
      </c>
      <c r="U11" s="4">
        <f t="shared" si="2"/>
        <v>-46.478888888888882</v>
      </c>
      <c r="V11" s="4">
        <f t="shared" si="3"/>
        <v>13.105043587569591</v>
      </c>
    </row>
    <row r="12" spans="1:22" x14ac:dyDescent="0.3">
      <c r="A12" t="s">
        <v>63</v>
      </c>
      <c r="B12">
        <v>34312</v>
      </c>
      <c r="C12" s="2">
        <v>216.233</v>
      </c>
      <c r="D12">
        <v>213</v>
      </c>
      <c r="E12">
        <v>219</v>
      </c>
      <c r="H12" t="s">
        <v>15</v>
      </c>
      <c r="I12" s="2">
        <v>210.38</v>
      </c>
      <c r="J12" s="2">
        <v>215.13800000000001</v>
      </c>
      <c r="K12" s="2">
        <v>214.04400000000001</v>
      </c>
      <c r="L12" s="2">
        <f t="shared" si="0"/>
        <v>213.18733333333333</v>
      </c>
      <c r="M12" s="4">
        <v>168.49700000000001</v>
      </c>
      <c r="N12" s="4">
        <f t="shared" si="1"/>
        <v>-44.690333333333314</v>
      </c>
      <c r="O12" s="4"/>
      <c r="Q12" t="s">
        <v>217</v>
      </c>
      <c r="R12" s="4">
        <v>-50.569333333333333</v>
      </c>
      <c r="S12" s="4">
        <v>-40.324333333333328</v>
      </c>
      <c r="T12" s="4">
        <v>-26.638999999999982</v>
      </c>
      <c r="U12" s="4">
        <f t="shared" si="2"/>
        <v>-39.17755555555555</v>
      </c>
      <c r="V12" s="4">
        <f t="shared" si="3"/>
        <v>9.8031130366774999</v>
      </c>
    </row>
    <row r="13" spans="1:22" x14ac:dyDescent="0.3">
      <c r="A13" t="s">
        <v>64</v>
      </c>
      <c r="B13">
        <v>34312</v>
      </c>
      <c r="C13" s="2">
        <v>209.94800000000001</v>
      </c>
      <c r="D13">
        <v>208</v>
      </c>
      <c r="E13">
        <v>214</v>
      </c>
      <c r="H13" t="s">
        <v>16</v>
      </c>
      <c r="I13" s="2">
        <v>201.745</v>
      </c>
      <c r="J13" s="2">
        <v>199.976</v>
      </c>
      <c r="K13" s="2">
        <v>197.68199999999999</v>
      </c>
      <c r="L13" s="2">
        <f t="shared" si="0"/>
        <v>199.80100000000002</v>
      </c>
      <c r="M13" s="4">
        <v>173.17599999999999</v>
      </c>
      <c r="N13" s="4">
        <f t="shared" si="1"/>
        <v>-26.625000000000028</v>
      </c>
      <c r="O13" s="4"/>
      <c r="Q13" t="s">
        <v>218</v>
      </c>
      <c r="R13" s="4">
        <v>-59.578666666666663</v>
      </c>
      <c r="S13" s="4">
        <v>-53.15900000000002</v>
      </c>
      <c r="T13" s="4">
        <v>-36.700666666666649</v>
      </c>
      <c r="U13" s="4">
        <f t="shared" si="2"/>
        <v>-49.812777777777775</v>
      </c>
      <c r="V13" s="4">
        <f t="shared" si="3"/>
        <v>9.6349579957697316</v>
      </c>
    </row>
    <row r="14" spans="1:22" x14ac:dyDescent="0.3">
      <c r="A14" t="s">
        <v>65</v>
      </c>
      <c r="B14">
        <v>34312</v>
      </c>
      <c r="C14" s="2">
        <v>211.13900000000001</v>
      </c>
      <c r="D14">
        <v>206</v>
      </c>
      <c r="E14">
        <v>220</v>
      </c>
      <c r="H14" s="1" t="s">
        <v>17</v>
      </c>
      <c r="I14" s="2">
        <v>213.191</v>
      </c>
      <c r="J14" s="2">
        <v>219.35</v>
      </c>
      <c r="K14" s="2">
        <v>215.28399999999999</v>
      </c>
      <c r="L14" s="2">
        <f t="shared" si="0"/>
        <v>215.94166666666669</v>
      </c>
      <c r="M14" s="4">
        <v>162.715</v>
      </c>
      <c r="N14" s="4">
        <f t="shared" si="1"/>
        <v>-53.226666666666688</v>
      </c>
      <c r="O14" s="4"/>
      <c r="Q14" t="s">
        <v>219</v>
      </c>
      <c r="R14" s="4">
        <v>-40.570000000000022</v>
      </c>
      <c r="S14" s="4">
        <v>-33.5446666666667</v>
      </c>
      <c r="T14" s="4">
        <v>-18.494</v>
      </c>
      <c r="U14" s="4">
        <f t="shared" si="2"/>
        <v>-30.869555555555575</v>
      </c>
      <c r="V14" s="4">
        <f t="shared" si="3"/>
        <v>9.2088583654577985</v>
      </c>
    </row>
    <row r="15" spans="1:22" x14ac:dyDescent="0.3">
      <c r="A15" t="s">
        <v>66</v>
      </c>
      <c r="B15">
        <v>34312</v>
      </c>
      <c r="C15" s="2">
        <v>211.84700000000001</v>
      </c>
      <c r="D15">
        <v>156</v>
      </c>
      <c r="E15">
        <v>217</v>
      </c>
      <c r="H15" s="1" t="s">
        <v>18</v>
      </c>
      <c r="I15" s="2">
        <v>204.02799999999999</v>
      </c>
      <c r="J15" s="2">
        <v>214.006</v>
      </c>
      <c r="K15" s="2">
        <v>208.78899999999999</v>
      </c>
      <c r="L15" s="2">
        <f t="shared" si="0"/>
        <v>208.941</v>
      </c>
      <c r="M15" s="4">
        <v>176.08199999999999</v>
      </c>
      <c r="N15" s="4">
        <f t="shared" si="1"/>
        <v>-32.859000000000009</v>
      </c>
      <c r="O15" s="4"/>
      <c r="Q15" t="s">
        <v>220</v>
      </c>
      <c r="R15" s="4">
        <v>-38.606333333333367</v>
      </c>
      <c r="S15" s="4">
        <v>-34.137666666666689</v>
      </c>
      <c r="T15" s="4">
        <v>-14.774666666666661</v>
      </c>
      <c r="U15" s="4">
        <f t="shared" si="2"/>
        <v>-29.172888888888906</v>
      </c>
      <c r="V15" s="4">
        <f t="shared" si="3"/>
        <v>10.343237656066744</v>
      </c>
    </row>
    <row r="16" spans="1:22" x14ac:dyDescent="0.3">
      <c r="A16" t="s">
        <v>67</v>
      </c>
      <c r="B16">
        <v>34312</v>
      </c>
      <c r="C16" s="2">
        <v>211.61799999999999</v>
      </c>
      <c r="D16">
        <v>204</v>
      </c>
      <c r="E16">
        <v>215</v>
      </c>
      <c r="H16" s="1" t="s">
        <v>19</v>
      </c>
      <c r="I16" s="2">
        <v>207.52500000000001</v>
      </c>
      <c r="J16" s="2">
        <v>218.447</v>
      </c>
      <c r="K16" s="2">
        <v>215.31700000000001</v>
      </c>
      <c r="L16" s="2">
        <f t="shared" si="0"/>
        <v>213.76300000000001</v>
      </c>
      <c r="M16" s="4">
        <v>180.54400000000001</v>
      </c>
      <c r="N16" s="4">
        <f t="shared" si="1"/>
        <v>-33.218999999999994</v>
      </c>
      <c r="O16" s="4"/>
      <c r="Q16" t="s">
        <v>221</v>
      </c>
      <c r="R16" s="4">
        <v>-47.529333333333341</v>
      </c>
      <c r="S16" s="4">
        <v>-44.316000000000003</v>
      </c>
      <c r="T16" s="4">
        <v>-23.362333333333311</v>
      </c>
      <c r="U16" s="4">
        <f t="shared" si="2"/>
        <v>-38.402555555555551</v>
      </c>
      <c r="V16" s="4">
        <f t="shared" si="3"/>
        <v>10.715645606562051</v>
      </c>
    </row>
    <row r="17" spans="1:22" x14ac:dyDescent="0.3">
      <c r="A17" t="s">
        <v>68</v>
      </c>
      <c r="B17">
        <v>34312</v>
      </c>
      <c r="C17" s="2">
        <v>205.506</v>
      </c>
      <c r="D17">
        <v>203</v>
      </c>
      <c r="E17">
        <v>215</v>
      </c>
      <c r="H17" s="1" t="s">
        <v>20</v>
      </c>
      <c r="I17" s="2">
        <v>219.434</v>
      </c>
      <c r="J17" s="2">
        <v>217.74</v>
      </c>
      <c r="K17" s="2">
        <v>212.857</v>
      </c>
      <c r="L17" s="2">
        <f t="shared" si="0"/>
        <v>216.67699999999999</v>
      </c>
      <c r="M17" s="4">
        <v>183.47</v>
      </c>
      <c r="N17" s="4">
        <f t="shared" si="1"/>
        <v>-33.206999999999994</v>
      </c>
      <c r="O17" s="4"/>
      <c r="Q17" t="s">
        <v>222</v>
      </c>
      <c r="R17" s="4">
        <v>-34.713333333333338</v>
      </c>
      <c r="S17" s="4">
        <v>-29.975999999999971</v>
      </c>
      <c r="T17" s="4">
        <v>-18.155000000000001</v>
      </c>
      <c r="U17" s="4">
        <f t="shared" si="2"/>
        <v>-27.614777777777771</v>
      </c>
      <c r="V17" s="4">
        <f t="shared" si="3"/>
        <v>6.9630514614155379</v>
      </c>
    </row>
    <row r="18" spans="1:22" x14ac:dyDescent="0.3">
      <c r="A18" t="s">
        <v>69</v>
      </c>
      <c r="B18">
        <v>34312</v>
      </c>
      <c r="C18" s="2">
        <v>205.48400000000001</v>
      </c>
      <c r="D18">
        <v>199</v>
      </c>
      <c r="E18">
        <v>210</v>
      </c>
      <c r="H18" s="1" t="s">
        <v>21</v>
      </c>
      <c r="I18" s="2">
        <v>210.11099999999999</v>
      </c>
      <c r="J18" s="2">
        <v>211.102</v>
      </c>
      <c r="K18" s="2">
        <v>210.291</v>
      </c>
      <c r="L18" s="2">
        <f t="shared" si="0"/>
        <v>210.50133333333329</v>
      </c>
      <c r="M18" s="4">
        <v>191.94499999999999</v>
      </c>
      <c r="N18" s="4">
        <f t="shared" si="1"/>
        <v>-18.556333333333299</v>
      </c>
      <c r="O18" s="4"/>
    </row>
    <row r="19" spans="1:22" x14ac:dyDescent="0.3">
      <c r="A19" t="s">
        <v>70</v>
      </c>
      <c r="B19">
        <v>34312</v>
      </c>
      <c r="C19" s="2">
        <v>202.898</v>
      </c>
      <c r="D19">
        <v>196</v>
      </c>
      <c r="E19">
        <v>223</v>
      </c>
      <c r="H19" s="1" t="s">
        <v>22</v>
      </c>
      <c r="I19" s="2">
        <v>201.67699999999999</v>
      </c>
      <c r="J19" s="2">
        <v>200.76900000000001</v>
      </c>
      <c r="K19" s="2">
        <v>196.809</v>
      </c>
      <c r="L19" s="2">
        <f t="shared" si="0"/>
        <v>199.75166666666667</v>
      </c>
      <c r="M19" s="4">
        <v>183.46299999999999</v>
      </c>
      <c r="N19" s="4">
        <f t="shared" si="1"/>
        <v>-16.288666666666671</v>
      </c>
      <c r="O19" s="4"/>
    </row>
    <row r="20" spans="1:22" x14ac:dyDescent="0.3">
      <c r="A20" t="s">
        <v>71</v>
      </c>
      <c r="B20">
        <v>34312</v>
      </c>
      <c r="C20" s="2">
        <v>212.63200000000001</v>
      </c>
      <c r="D20">
        <v>210</v>
      </c>
      <c r="E20">
        <v>217</v>
      </c>
      <c r="H20" s="1" t="s">
        <v>23</v>
      </c>
      <c r="I20" s="2">
        <v>213.42</v>
      </c>
      <c r="J20" s="2">
        <v>218.65100000000001</v>
      </c>
      <c r="K20" s="2">
        <v>214.47</v>
      </c>
      <c r="L20" s="2">
        <f t="shared" si="0"/>
        <v>215.51366666666669</v>
      </c>
      <c r="M20" s="4">
        <v>182.65100000000001</v>
      </c>
      <c r="N20" s="4">
        <f t="shared" si="1"/>
        <v>-32.862666666666684</v>
      </c>
      <c r="O20" s="4"/>
    </row>
    <row r="21" spans="1:22" x14ac:dyDescent="0.3">
      <c r="A21" t="s">
        <v>72</v>
      </c>
      <c r="B21">
        <v>34312</v>
      </c>
      <c r="C21" s="2">
        <v>220.18600000000001</v>
      </c>
      <c r="D21">
        <v>218</v>
      </c>
      <c r="E21">
        <v>223</v>
      </c>
      <c r="H21" s="1" t="s">
        <v>24</v>
      </c>
      <c r="I21" s="2">
        <v>207.52500000000001</v>
      </c>
      <c r="J21" s="2">
        <v>218.447</v>
      </c>
      <c r="K21" s="2">
        <v>215.31700000000001</v>
      </c>
      <c r="L21" s="2">
        <f t="shared" si="0"/>
        <v>213.76300000000001</v>
      </c>
      <c r="M21" s="4">
        <v>177.43</v>
      </c>
      <c r="N21" s="4">
        <f t="shared" si="1"/>
        <v>-36.332999999999998</v>
      </c>
      <c r="O21" s="4"/>
    </row>
    <row r="22" spans="1:22" x14ac:dyDescent="0.3">
      <c r="A22" t="s">
        <v>73</v>
      </c>
      <c r="B22">
        <v>34312</v>
      </c>
      <c r="C22" s="2">
        <v>215.155</v>
      </c>
      <c r="D22">
        <v>213</v>
      </c>
      <c r="E22">
        <v>219</v>
      </c>
      <c r="H22" s="1" t="s">
        <v>25</v>
      </c>
      <c r="I22" s="2">
        <v>201.697</v>
      </c>
      <c r="J22" s="2">
        <v>211.828</v>
      </c>
      <c r="K22" s="2">
        <v>204.88</v>
      </c>
      <c r="L22" s="2">
        <f t="shared" si="0"/>
        <v>206.13499999999999</v>
      </c>
      <c r="M22" s="4">
        <v>188.83600000000001</v>
      </c>
      <c r="N22" s="4">
        <f t="shared" si="1"/>
        <v>-17.298999999999978</v>
      </c>
      <c r="O22" s="4"/>
    </row>
    <row r="23" spans="1:22" x14ac:dyDescent="0.3">
      <c r="A23" t="s">
        <v>74</v>
      </c>
      <c r="B23">
        <v>34312</v>
      </c>
      <c r="C23" s="2">
        <v>207.90600000000001</v>
      </c>
      <c r="D23">
        <v>205</v>
      </c>
      <c r="E23">
        <v>216</v>
      </c>
      <c r="H23" s="1" t="s">
        <v>26</v>
      </c>
      <c r="I23" s="2">
        <v>216.596</v>
      </c>
      <c r="J23" s="2">
        <v>217.227</v>
      </c>
      <c r="K23" s="2">
        <v>212.63</v>
      </c>
      <c r="L23" s="2">
        <f t="shared" si="0"/>
        <v>215.48433333333332</v>
      </c>
      <c r="M23" s="4">
        <v>186.185</v>
      </c>
      <c r="N23" s="4">
        <f t="shared" si="1"/>
        <v>-29.299333333333323</v>
      </c>
      <c r="O23" s="4"/>
    </row>
    <row r="24" spans="1:22" x14ac:dyDescent="0.3">
      <c r="A24" t="s">
        <v>75</v>
      </c>
      <c r="B24">
        <v>34312</v>
      </c>
      <c r="C24" s="2">
        <v>218.95400000000001</v>
      </c>
      <c r="D24">
        <v>172</v>
      </c>
      <c r="E24">
        <v>232</v>
      </c>
      <c r="H24" s="1" t="s">
        <v>27</v>
      </c>
      <c r="I24" s="2">
        <v>212.489</v>
      </c>
      <c r="J24" s="2">
        <v>214.67</v>
      </c>
      <c r="K24" s="2">
        <v>213.715</v>
      </c>
      <c r="L24" s="2">
        <f t="shared" si="0"/>
        <v>213.62466666666668</v>
      </c>
      <c r="M24" s="4">
        <v>169.905</v>
      </c>
      <c r="N24" s="4">
        <f t="shared" si="1"/>
        <v>-43.719666666666683</v>
      </c>
      <c r="O24" s="4"/>
    </row>
    <row r="25" spans="1:22" x14ac:dyDescent="0.3">
      <c r="A25" t="s">
        <v>76</v>
      </c>
      <c r="B25">
        <v>34312</v>
      </c>
      <c r="C25" s="2">
        <v>217.00299999999999</v>
      </c>
      <c r="D25">
        <v>215</v>
      </c>
      <c r="E25">
        <v>222</v>
      </c>
      <c r="H25" s="1" t="s">
        <v>28</v>
      </c>
      <c r="I25" s="2">
        <v>207.09899999999999</v>
      </c>
      <c r="J25" s="2">
        <v>203.636</v>
      </c>
      <c r="K25" s="2">
        <v>202.679</v>
      </c>
      <c r="L25" s="2">
        <f t="shared" si="0"/>
        <v>204.47133333333332</v>
      </c>
      <c r="M25" s="4">
        <v>187.726</v>
      </c>
      <c r="N25" s="4">
        <f t="shared" si="1"/>
        <v>-16.745333333333321</v>
      </c>
      <c r="O25" s="4"/>
    </row>
    <row r="26" spans="1:22" x14ac:dyDescent="0.3">
      <c r="A26" t="s">
        <v>77</v>
      </c>
      <c r="B26">
        <v>34312</v>
      </c>
      <c r="C26" s="2">
        <v>193.63900000000001</v>
      </c>
      <c r="D26">
        <v>189</v>
      </c>
      <c r="E26">
        <v>235</v>
      </c>
      <c r="H26" t="s">
        <v>29</v>
      </c>
      <c r="I26" s="2">
        <v>209.40199999999999</v>
      </c>
      <c r="J26" s="2">
        <v>216.874</v>
      </c>
      <c r="K26" s="2">
        <v>212.52199999999999</v>
      </c>
      <c r="L26" s="2">
        <f t="shared" si="0"/>
        <v>212.93266666666668</v>
      </c>
      <c r="M26" s="4">
        <v>153.70099999999999</v>
      </c>
      <c r="N26" s="4">
        <f t="shared" si="1"/>
        <v>-59.231666666666683</v>
      </c>
      <c r="O26" s="4"/>
    </row>
    <row r="27" spans="1:22" x14ac:dyDescent="0.3">
      <c r="A27" t="s">
        <v>78</v>
      </c>
      <c r="B27">
        <v>34312</v>
      </c>
      <c r="C27" s="2">
        <v>203.739</v>
      </c>
      <c r="D27">
        <v>147</v>
      </c>
      <c r="E27">
        <v>212</v>
      </c>
      <c r="H27" t="s">
        <v>30</v>
      </c>
      <c r="I27" s="2">
        <v>201.12799999999999</v>
      </c>
      <c r="J27" s="2">
        <v>217.71199999999999</v>
      </c>
      <c r="K27" s="2">
        <v>213.334</v>
      </c>
      <c r="L27" s="2">
        <f t="shared" si="0"/>
        <v>210.72466666666665</v>
      </c>
      <c r="M27" s="4">
        <v>164.553</v>
      </c>
      <c r="N27" s="4">
        <f t="shared" si="1"/>
        <v>-46.171666666666653</v>
      </c>
      <c r="O27" s="4"/>
    </row>
    <row r="28" spans="1:22" x14ac:dyDescent="0.3">
      <c r="A28" t="s">
        <v>79</v>
      </c>
      <c r="B28">
        <v>34312</v>
      </c>
      <c r="C28" s="2">
        <v>198.38300000000001</v>
      </c>
      <c r="D28">
        <v>193</v>
      </c>
      <c r="E28">
        <v>205</v>
      </c>
      <c r="H28" t="s">
        <v>31</v>
      </c>
      <c r="I28" s="2">
        <v>191.34700000000001</v>
      </c>
      <c r="J28" s="2">
        <v>204.077</v>
      </c>
      <c r="K28" s="2">
        <v>196.91499999999999</v>
      </c>
      <c r="L28" s="2">
        <f t="shared" si="0"/>
        <v>197.44633333333331</v>
      </c>
      <c r="M28" s="4">
        <v>157.93899999999999</v>
      </c>
      <c r="N28" s="4">
        <f t="shared" si="1"/>
        <v>-39.507333333333321</v>
      </c>
      <c r="O28" s="4"/>
    </row>
    <row r="29" spans="1:22" x14ac:dyDescent="0.3">
      <c r="A29" t="s">
        <v>80</v>
      </c>
      <c r="B29">
        <v>34312</v>
      </c>
      <c r="C29" s="2">
        <v>215.572</v>
      </c>
      <c r="D29">
        <v>212</v>
      </c>
      <c r="E29">
        <v>220</v>
      </c>
      <c r="H29" t="s">
        <v>32</v>
      </c>
      <c r="I29" s="2">
        <v>214.095</v>
      </c>
      <c r="J29" s="2">
        <v>213.387</v>
      </c>
      <c r="K29" s="2">
        <v>209.80099999999999</v>
      </c>
      <c r="L29" s="2">
        <f t="shared" si="0"/>
        <v>212.42766666666662</v>
      </c>
      <c r="M29" s="4">
        <v>156.73699999999999</v>
      </c>
      <c r="N29" s="4">
        <f t="shared" si="1"/>
        <v>-55.69066666666663</v>
      </c>
      <c r="O29" s="4"/>
    </row>
    <row r="30" spans="1:22" x14ac:dyDescent="0.3">
      <c r="A30" t="s">
        <v>81</v>
      </c>
      <c r="B30">
        <v>34312</v>
      </c>
      <c r="C30" s="2">
        <v>214.66</v>
      </c>
      <c r="D30">
        <v>163</v>
      </c>
      <c r="E30">
        <v>218</v>
      </c>
      <c r="H30" t="s">
        <v>33</v>
      </c>
      <c r="I30" s="2">
        <v>210.96100000000001</v>
      </c>
      <c r="J30" s="2">
        <v>213.255</v>
      </c>
      <c r="K30" s="2">
        <v>210.417</v>
      </c>
      <c r="L30" s="2">
        <f t="shared" si="0"/>
        <v>211.54433333333336</v>
      </c>
      <c r="M30" s="4">
        <v>155.744</v>
      </c>
      <c r="N30" s="4">
        <f t="shared" si="1"/>
        <v>-55.800333333333356</v>
      </c>
      <c r="O30" s="4"/>
    </row>
    <row r="31" spans="1:22" x14ac:dyDescent="0.3">
      <c r="A31" t="s">
        <v>82</v>
      </c>
      <c r="B31">
        <v>34312</v>
      </c>
      <c r="C31" s="2">
        <v>211.749</v>
      </c>
      <c r="D31">
        <v>206</v>
      </c>
      <c r="E31">
        <v>215</v>
      </c>
      <c r="H31" t="s">
        <v>34</v>
      </c>
      <c r="I31" s="2">
        <v>199.15299999999999</v>
      </c>
      <c r="J31" s="2">
        <v>197.29900000000001</v>
      </c>
      <c r="K31" s="2">
        <v>194.376</v>
      </c>
      <c r="L31" s="2">
        <f t="shared" si="0"/>
        <v>196.94266666666667</v>
      </c>
      <c r="M31" s="4">
        <v>168.99700000000001</v>
      </c>
      <c r="N31" s="4">
        <f t="shared" si="1"/>
        <v>-27.945666666666654</v>
      </c>
      <c r="O31" s="4"/>
    </row>
    <row r="32" spans="1:22" x14ac:dyDescent="0.3">
      <c r="A32" t="s">
        <v>83</v>
      </c>
      <c r="B32">
        <v>34312</v>
      </c>
      <c r="C32" s="2">
        <v>210.38</v>
      </c>
      <c r="D32">
        <v>202</v>
      </c>
      <c r="E32">
        <v>217</v>
      </c>
      <c r="H32" t="s">
        <v>35</v>
      </c>
      <c r="I32" s="2">
        <v>210.75</v>
      </c>
      <c r="J32" s="2">
        <v>220.08099999999999</v>
      </c>
      <c r="K32" s="2">
        <v>212.511</v>
      </c>
      <c r="L32" s="2">
        <f t="shared" si="0"/>
        <v>214.44733333333332</v>
      </c>
      <c r="M32" s="4">
        <v>163.87799999999999</v>
      </c>
      <c r="N32" s="4">
        <f t="shared" si="1"/>
        <v>-50.569333333333333</v>
      </c>
      <c r="O32" s="4"/>
    </row>
    <row r="33" spans="1:15" x14ac:dyDescent="0.3">
      <c r="A33" t="s">
        <v>84</v>
      </c>
      <c r="B33">
        <v>34312</v>
      </c>
      <c r="C33" s="2">
        <v>215.13800000000001</v>
      </c>
      <c r="D33">
        <v>168</v>
      </c>
      <c r="E33">
        <v>219</v>
      </c>
      <c r="H33" t="s">
        <v>36</v>
      </c>
      <c r="I33" s="2">
        <v>204.541</v>
      </c>
      <c r="J33" s="2">
        <v>217.05500000000001</v>
      </c>
      <c r="K33" s="2">
        <v>214.846</v>
      </c>
      <c r="L33" s="2">
        <f t="shared" si="0"/>
        <v>212.14733333333334</v>
      </c>
      <c r="M33" s="4">
        <v>171.82300000000001</v>
      </c>
      <c r="N33" s="4">
        <f t="shared" si="1"/>
        <v>-40.324333333333328</v>
      </c>
      <c r="O33" s="4"/>
    </row>
    <row r="34" spans="1:15" x14ac:dyDescent="0.3">
      <c r="A34" t="s">
        <v>85</v>
      </c>
      <c r="B34">
        <v>34312</v>
      </c>
      <c r="C34" s="2">
        <v>214.04400000000001</v>
      </c>
      <c r="D34">
        <v>205</v>
      </c>
      <c r="E34">
        <v>221</v>
      </c>
      <c r="H34" t="s">
        <v>37</v>
      </c>
      <c r="I34" s="2">
        <v>190.833</v>
      </c>
      <c r="J34" s="2">
        <v>204.78399999999999</v>
      </c>
      <c r="K34" s="2">
        <v>197.89400000000001</v>
      </c>
      <c r="L34" s="2">
        <f t="shared" si="0"/>
        <v>197.83699999999999</v>
      </c>
      <c r="M34" s="4">
        <v>171.19800000000001</v>
      </c>
      <c r="N34" s="4">
        <f t="shared" si="1"/>
        <v>-26.638999999999982</v>
      </c>
      <c r="O34" s="4"/>
    </row>
    <row r="35" spans="1:15" x14ac:dyDescent="0.3">
      <c r="A35" t="s">
        <v>86</v>
      </c>
      <c r="B35">
        <v>34312</v>
      </c>
      <c r="C35" s="2">
        <v>201.745</v>
      </c>
      <c r="D35">
        <v>199</v>
      </c>
      <c r="E35">
        <v>211</v>
      </c>
      <c r="H35" t="s">
        <v>38</v>
      </c>
      <c r="I35" s="2">
        <v>210.375</v>
      </c>
      <c r="J35" s="2">
        <v>215.36099999999999</v>
      </c>
      <c r="K35" s="2">
        <v>208.91</v>
      </c>
      <c r="L35" s="2">
        <f t="shared" si="0"/>
        <v>211.54866666666666</v>
      </c>
      <c r="M35" s="4">
        <v>151.97</v>
      </c>
      <c r="N35" s="4">
        <f t="shared" si="1"/>
        <v>-59.578666666666663</v>
      </c>
      <c r="O35" s="4"/>
    </row>
    <row r="36" spans="1:15" x14ac:dyDescent="0.3">
      <c r="A36" t="s">
        <v>87</v>
      </c>
      <c r="B36">
        <v>34312</v>
      </c>
      <c r="C36" s="2">
        <v>199.976</v>
      </c>
      <c r="D36">
        <v>146</v>
      </c>
      <c r="E36">
        <v>206</v>
      </c>
      <c r="H36" t="s">
        <v>39</v>
      </c>
      <c r="I36" s="2">
        <v>211.12899999999999</v>
      </c>
      <c r="J36" s="2">
        <v>213.697</v>
      </c>
      <c r="K36" s="2">
        <v>212.12200000000001</v>
      </c>
      <c r="L36" s="2">
        <f t="shared" si="0"/>
        <v>212.31600000000003</v>
      </c>
      <c r="M36" s="4">
        <v>159.15700000000001</v>
      </c>
      <c r="N36" s="4">
        <f t="shared" si="1"/>
        <v>-53.15900000000002</v>
      </c>
      <c r="O36" s="4"/>
    </row>
    <row r="37" spans="1:15" x14ac:dyDescent="0.3">
      <c r="A37" t="s">
        <v>88</v>
      </c>
      <c r="B37">
        <v>34312</v>
      </c>
      <c r="C37" s="2">
        <v>197.68199999999999</v>
      </c>
      <c r="D37">
        <v>192</v>
      </c>
      <c r="E37">
        <v>221</v>
      </c>
      <c r="H37" t="s">
        <v>40</v>
      </c>
      <c r="I37" s="2">
        <v>201.85400000000001</v>
      </c>
      <c r="J37" s="2">
        <v>200.75299999999999</v>
      </c>
      <c r="K37" s="2">
        <v>197.86600000000001</v>
      </c>
      <c r="L37" s="2">
        <f t="shared" si="0"/>
        <v>200.15766666666664</v>
      </c>
      <c r="M37" s="4">
        <v>163.45699999999999</v>
      </c>
      <c r="N37" s="4">
        <f t="shared" si="1"/>
        <v>-36.700666666666649</v>
      </c>
      <c r="O37" s="4"/>
    </row>
    <row r="38" spans="1:15" x14ac:dyDescent="0.3">
      <c r="A38" s="1" t="s">
        <v>89</v>
      </c>
      <c r="B38">
        <v>34312</v>
      </c>
      <c r="C38" s="2">
        <v>213.191</v>
      </c>
      <c r="D38">
        <v>211</v>
      </c>
      <c r="E38">
        <v>220</v>
      </c>
      <c r="H38" t="s">
        <v>41</v>
      </c>
      <c r="I38" s="2">
        <v>210.94399999999999</v>
      </c>
      <c r="J38" s="2">
        <v>216.55</v>
      </c>
      <c r="K38" s="2">
        <v>211.905</v>
      </c>
      <c r="L38" s="2">
        <f t="shared" si="0"/>
        <v>213.13300000000001</v>
      </c>
      <c r="M38" s="4">
        <v>172.56299999999999</v>
      </c>
      <c r="N38" s="4">
        <f t="shared" si="1"/>
        <v>-40.570000000000022</v>
      </c>
      <c r="O38" s="4"/>
    </row>
    <row r="39" spans="1:15" x14ac:dyDescent="0.3">
      <c r="A39" s="1" t="s">
        <v>90</v>
      </c>
      <c r="B39">
        <v>34312</v>
      </c>
      <c r="C39" s="2">
        <v>219.35</v>
      </c>
      <c r="D39">
        <v>210</v>
      </c>
      <c r="E39">
        <v>223</v>
      </c>
      <c r="H39" t="s">
        <v>42</v>
      </c>
      <c r="I39" s="2">
        <v>210.75299999999999</v>
      </c>
      <c r="J39" s="2">
        <v>213.21100000000001</v>
      </c>
      <c r="K39" s="2">
        <v>210.46600000000001</v>
      </c>
      <c r="L39" s="2">
        <f t="shared" si="0"/>
        <v>211.47666666666669</v>
      </c>
      <c r="M39" s="4">
        <v>177.93199999999999</v>
      </c>
      <c r="N39" s="4">
        <f t="shared" si="1"/>
        <v>-33.5446666666667</v>
      </c>
      <c r="O39" s="4"/>
    </row>
    <row r="40" spans="1:15" x14ac:dyDescent="0.3">
      <c r="A40" s="1" t="s">
        <v>91</v>
      </c>
      <c r="B40">
        <v>34312</v>
      </c>
      <c r="C40" s="2">
        <v>215.28399999999999</v>
      </c>
      <c r="D40">
        <v>213</v>
      </c>
      <c r="E40">
        <v>222</v>
      </c>
      <c r="H40" t="s">
        <v>43</v>
      </c>
      <c r="I40" s="2">
        <v>199.83</v>
      </c>
      <c r="J40" s="2">
        <v>198.51</v>
      </c>
      <c r="K40" s="2">
        <v>193.67400000000001</v>
      </c>
      <c r="L40" s="2">
        <f t="shared" si="0"/>
        <v>197.33799999999999</v>
      </c>
      <c r="M40" s="4">
        <v>178.84399999999999</v>
      </c>
      <c r="N40" s="4">
        <f t="shared" si="1"/>
        <v>-18.494</v>
      </c>
      <c r="O40" s="4"/>
    </row>
    <row r="41" spans="1:15" x14ac:dyDescent="0.3">
      <c r="A41" s="1" t="s">
        <v>92</v>
      </c>
      <c r="B41">
        <v>34312</v>
      </c>
      <c r="C41" s="2">
        <v>204.02799999999999</v>
      </c>
      <c r="D41">
        <v>201</v>
      </c>
      <c r="E41">
        <v>210</v>
      </c>
      <c r="H41" t="s">
        <v>44</v>
      </c>
      <c r="I41" s="2">
        <v>212.375</v>
      </c>
      <c r="J41" s="2">
        <v>214.67500000000001</v>
      </c>
      <c r="K41" s="2">
        <v>207.88900000000001</v>
      </c>
      <c r="L41" s="2">
        <f t="shared" si="0"/>
        <v>211.64633333333336</v>
      </c>
      <c r="M41" s="4">
        <v>173.04</v>
      </c>
      <c r="N41" s="4">
        <f t="shared" si="1"/>
        <v>-38.606333333333367</v>
      </c>
      <c r="O41" s="4"/>
    </row>
    <row r="42" spans="1:15" x14ac:dyDescent="0.3">
      <c r="A42" s="1" t="s">
        <v>93</v>
      </c>
      <c r="B42">
        <v>34312</v>
      </c>
      <c r="C42" s="2">
        <v>214.006</v>
      </c>
      <c r="D42">
        <v>211</v>
      </c>
      <c r="E42">
        <v>223</v>
      </c>
      <c r="H42" t="s">
        <v>45</v>
      </c>
      <c r="I42" s="2">
        <v>202.60599999999999</v>
      </c>
      <c r="J42" s="2">
        <v>218.24600000000001</v>
      </c>
      <c r="K42" s="2">
        <v>212.62700000000001</v>
      </c>
      <c r="L42" s="2">
        <f t="shared" si="0"/>
        <v>211.15966666666668</v>
      </c>
      <c r="M42" s="4">
        <v>177.02199999999999</v>
      </c>
      <c r="N42" s="4">
        <f t="shared" si="1"/>
        <v>-34.137666666666689</v>
      </c>
      <c r="O42" s="4"/>
    </row>
    <row r="43" spans="1:15" x14ac:dyDescent="0.3">
      <c r="A43" s="1" t="s">
        <v>94</v>
      </c>
      <c r="B43">
        <v>34312</v>
      </c>
      <c r="C43" s="2">
        <v>208.78899999999999</v>
      </c>
      <c r="D43">
        <v>201</v>
      </c>
      <c r="E43">
        <v>232</v>
      </c>
      <c r="H43" t="s">
        <v>46</v>
      </c>
      <c r="I43" s="2">
        <v>188.173</v>
      </c>
      <c r="J43" s="2">
        <v>204.18299999999999</v>
      </c>
      <c r="K43" s="2">
        <v>197.095</v>
      </c>
      <c r="L43" s="2">
        <f t="shared" si="0"/>
        <v>196.48366666666666</v>
      </c>
      <c r="M43" s="4">
        <v>181.709</v>
      </c>
      <c r="N43" s="4">
        <f t="shared" si="1"/>
        <v>-14.774666666666661</v>
      </c>
      <c r="O43" s="4"/>
    </row>
    <row r="44" spans="1:15" x14ac:dyDescent="0.3">
      <c r="A44" s="1" t="s">
        <v>95</v>
      </c>
      <c r="B44">
        <v>34312</v>
      </c>
      <c r="C44" s="2">
        <v>207.52500000000001</v>
      </c>
      <c r="D44">
        <v>204</v>
      </c>
      <c r="E44">
        <v>214</v>
      </c>
      <c r="H44" t="s">
        <v>47</v>
      </c>
      <c r="I44" s="2">
        <v>213.11099999999999</v>
      </c>
      <c r="J44" s="2">
        <v>218.36099999999999</v>
      </c>
      <c r="K44" s="2">
        <v>212.78800000000001</v>
      </c>
      <c r="L44" s="2">
        <f t="shared" si="0"/>
        <v>214.75333333333333</v>
      </c>
      <c r="M44" s="4">
        <v>167.22399999999999</v>
      </c>
      <c r="N44" s="4">
        <f t="shared" si="1"/>
        <v>-47.529333333333341</v>
      </c>
      <c r="O44" s="4"/>
    </row>
    <row r="45" spans="1:15" x14ac:dyDescent="0.3">
      <c r="A45" s="1" t="s">
        <v>96</v>
      </c>
      <c r="B45">
        <v>34312</v>
      </c>
      <c r="C45" s="2">
        <v>218.447</v>
      </c>
      <c r="D45">
        <v>215</v>
      </c>
      <c r="E45">
        <v>229</v>
      </c>
      <c r="H45" t="s">
        <v>48</v>
      </c>
      <c r="I45" s="2">
        <v>205.066</v>
      </c>
      <c r="J45" s="2">
        <v>217.60599999999999</v>
      </c>
      <c r="K45" s="2">
        <v>214.20699999999999</v>
      </c>
      <c r="L45" s="2">
        <f t="shared" si="0"/>
        <v>212.29300000000001</v>
      </c>
      <c r="M45" s="4">
        <v>167.977</v>
      </c>
      <c r="N45" s="4">
        <f t="shared" si="1"/>
        <v>-44.316000000000003</v>
      </c>
      <c r="O45" s="4"/>
    </row>
    <row r="46" spans="1:15" x14ac:dyDescent="0.3">
      <c r="A46" s="1" t="s">
        <v>97</v>
      </c>
      <c r="B46">
        <v>34312</v>
      </c>
      <c r="C46" s="2">
        <v>215.31700000000001</v>
      </c>
      <c r="D46">
        <v>206</v>
      </c>
      <c r="E46">
        <v>220</v>
      </c>
      <c r="H46" t="s">
        <v>49</v>
      </c>
      <c r="I46" s="2">
        <v>195.62799999999999</v>
      </c>
      <c r="J46" s="2">
        <v>204.35400000000001</v>
      </c>
      <c r="K46" s="2">
        <v>199.578</v>
      </c>
      <c r="L46" s="2">
        <f t="shared" si="0"/>
        <v>199.85333333333332</v>
      </c>
      <c r="M46" s="4">
        <v>176.49100000000001</v>
      </c>
      <c r="N46" s="4">
        <f t="shared" si="1"/>
        <v>-23.362333333333311</v>
      </c>
      <c r="O46" s="4"/>
    </row>
    <row r="47" spans="1:15" x14ac:dyDescent="0.3">
      <c r="A47" s="1" t="s">
        <v>98</v>
      </c>
      <c r="B47">
        <v>34312</v>
      </c>
      <c r="C47" s="2">
        <v>219.434</v>
      </c>
      <c r="D47">
        <v>216</v>
      </c>
      <c r="E47">
        <v>224</v>
      </c>
      <c r="H47" t="s">
        <v>50</v>
      </c>
      <c r="I47" s="2">
        <v>215.88200000000001</v>
      </c>
      <c r="J47" s="2">
        <v>215.91499999999999</v>
      </c>
      <c r="K47" s="2">
        <v>210.483</v>
      </c>
      <c r="L47" s="2">
        <f t="shared" si="0"/>
        <v>214.09333333333333</v>
      </c>
      <c r="M47" s="4">
        <v>179.38</v>
      </c>
      <c r="N47" s="4">
        <f t="shared" si="1"/>
        <v>-34.713333333333338</v>
      </c>
      <c r="O47" s="4"/>
    </row>
    <row r="48" spans="1:15" x14ac:dyDescent="0.3">
      <c r="A48" s="1" t="s">
        <v>99</v>
      </c>
      <c r="B48">
        <v>34312</v>
      </c>
      <c r="C48" s="2">
        <v>217.74</v>
      </c>
      <c r="D48">
        <v>163</v>
      </c>
      <c r="E48">
        <v>222</v>
      </c>
      <c r="H48" t="s">
        <v>51</v>
      </c>
      <c r="I48" s="2">
        <v>211.92699999999999</v>
      </c>
      <c r="J48" s="2">
        <v>211.501</v>
      </c>
      <c r="K48" s="2">
        <v>212.02600000000001</v>
      </c>
      <c r="L48" s="2">
        <f t="shared" si="0"/>
        <v>211.81799999999998</v>
      </c>
      <c r="M48" s="4">
        <v>181.84200000000001</v>
      </c>
      <c r="N48" s="4">
        <f t="shared" si="1"/>
        <v>-29.975999999999971</v>
      </c>
      <c r="O48" s="4"/>
    </row>
    <row r="49" spans="1:15" x14ac:dyDescent="0.3">
      <c r="A49" s="1" t="s">
        <v>100</v>
      </c>
      <c r="B49">
        <v>34312</v>
      </c>
      <c r="C49" s="2">
        <v>212.857</v>
      </c>
      <c r="D49">
        <v>210</v>
      </c>
      <c r="E49">
        <v>219</v>
      </c>
      <c r="H49" t="s">
        <v>52</v>
      </c>
      <c r="I49" s="2">
        <v>202.05600000000001</v>
      </c>
      <c r="J49" s="2">
        <v>200.46299999999999</v>
      </c>
      <c r="K49" s="2">
        <v>196.23599999999999</v>
      </c>
      <c r="L49" s="2">
        <f t="shared" si="0"/>
        <v>199.58500000000001</v>
      </c>
      <c r="M49" s="4">
        <v>181.43</v>
      </c>
      <c r="N49" s="4">
        <f t="shared" si="1"/>
        <v>-18.155000000000001</v>
      </c>
      <c r="O49" s="4"/>
    </row>
    <row r="50" spans="1:15" x14ac:dyDescent="0.3">
      <c r="A50" s="1" t="s">
        <v>101</v>
      </c>
      <c r="B50">
        <v>34312</v>
      </c>
      <c r="C50" s="2">
        <v>210.11099999999999</v>
      </c>
      <c r="D50">
        <v>207</v>
      </c>
      <c r="E50">
        <v>217</v>
      </c>
    </row>
    <row r="51" spans="1:15" x14ac:dyDescent="0.3">
      <c r="A51" s="1" t="s">
        <v>102</v>
      </c>
      <c r="B51">
        <v>34312</v>
      </c>
      <c r="C51" s="2">
        <v>211.102</v>
      </c>
      <c r="D51">
        <v>205</v>
      </c>
      <c r="E51">
        <v>216</v>
      </c>
    </row>
    <row r="52" spans="1:15" x14ac:dyDescent="0.3">
      <c r="A52" s="1" t="s">
        <v>103</v>
      </c>
      <c r="B52">
        <v>34312</v>
      </c>
      <c r="C52" s="2">
        <v>210.291</v>
      </c>
      <c r="D52">
        <v>196</v>
      </c>
      <c r="E52">
        <v>215</v>
      </c>
    </row>
    <row r="53" spans="1:15" x14ac:dyDescent="0.3">
      <c r="A53" s="1" t="s">
        <v>104</v>
      </c>
      <c r="B53">
        <v>34312</v>
      </c>
      <c r="C53" s="2">
        <v>201.67699999999999</v>
      </c>
      <c r="D53">
        <v>199</v>
      </c>
      <c r="E53">
        <v>210</v>
      </c>
    </row>
    <row r="54" spans="1:15" x14ac:dyDescent="0.3">
      <c r="A54" s="1" t="s">
        <v>105</v>
      </c>
      <c r="B54">
        <v>34312</v>
      </c>
      <c r="C54" s="2">
        <v>200.76900000000001</v>
      </c>
      <c r="D54">
        <v>196</v>
      </c>
      <c r="E54">
        <v>205</v>
      </c>
    </row>
    <row r="55" spans="1:15" x14ac:dyDescent="0.3">
      <c r="A55" s="1" t="s">
        <v>106</v>
      </c>
      <c r="B55">
        <v>34312</v>
      </c>
      <c r="C55" s="2">
        <v>196.809</v>
      </c>
      <c r="D55">
        <v>188</v>
      </c>
      <c r="E55">
        <v>203</v>
      </c>
    </row>
    <row r="56" spans="1:15" x14ac:dyDescent="0.3">
      <c r="A56" s="1" t="s">
        <v>107</v>
      </c>
      <c r="B56">
        <v>34312</v>
      </c>
      <c r="C56" s="2">
        <v>213.42</v>
      </c>
      <c r="D56">
        <v>205</v>
      </c>
      <c r="E56">
        <v>220</v>
      </c>
    </row>
    <row r="57" spans="1:15" x14ac:dyDescent="0.3">
      <c r="A57" s="1" t="s">
        <v>108</v>
      </c>
      <c r="B57">
        <v>34312</v>
      </c>
      <c r="C57" s="2">
        <v>218.65100000000001</v>
      </c>
      <c r="D57">
        <v>169</v>
      </c>
      <c r="E57">
        <v>223</v>
      </c>
    </row>
    <row r="58" spans="1:15" x14ac:dyDescent="0.3">
      <c r="A58" s="1" t="s">
        <v>109</v>
      </c>
      <c r="B58">
        <v>34312</v>
      </c>
      <c r="C58" s="2">
        <v>214.47</v>
      </c>
      <c r="D58">
        <v>212</v>
      </c>
      <c r="E58">
        <v>217</v>
      </c>
    </row>
    <row r="59" spans="1:15" x14ac:dyDescent="0.3">
      <c r="A59" s="1" t="s">
        <v>110</v>
      </c>
      <c r="B59">
        <v>34312</v>
      </c>
      <c r="C59" s="2">
        <v>207.52500000000001</v>
      </c>
      <c r="D59">
        <v>204</v>
      </c>
      <c r="E59">
        <v>214</v>
      </c>
    </row>
    <row r="60" spans="1:15" x14ac:dyDescent="0.3">
      <c r="A60" s="1" t="s">
        <v>111</v>
      </c>
      <c r="B60">
        <v>34312</v>
      </c>
      <c r="C60" s="2">
        <v>218.447</v>
      </c>
      <c r="D60">
        <v>215</v>
      </c>
      <c r="E60">
        <v>229</v>
      </c>
    </row>
    <row r="61" spans="1:15" x14ac:dyDescent="0.3">
      <c r="A61" s="1" t="s">
        <v>112</v>
      </c>
      <c r="B61">
        <v>34312</v>
      </c>
      <c r="C61" s="2">
        <v>215.31700000000001</v>
      </c>
      <c r="D61">
        <v>206</v>
      </c>
      <c r="E61">
        <v>220</v>
      </c>
    </row>
    <row r="62" spans="1:15" x14ac:dyDescent="0.3">
      <c r="A62" s="1" t="s">
        <v>113</v>
      </c>
      <c r="B62">
        <v>34312</v>
      </c>
      <c r="C62" s="2">
        <v>201.697</v>
      </c>
      <c r="D62">
        <v>161</v>
      </c>
      <c r="E62">
        <v>213</v>
      </c>
    </row>
    <row r="63" spans="1:15" x14ac:dyDescent="0.3">
      <c r="A63" s="1" t="s">
        <v>114</v>
      </c>
      <c r="B63">
        <v>34312</v>
      </c>
      <c r="C63" s="2">
        <v>211.828</v>
      </c>
      <c r="D63">
        <v>208</v>
      </c>
      <c r="E63">
        <v>217</v>
      </c>
    </row>
    <row r="64" spans="1:15" x14ac:dyDescent="0.3">
      <c r="A64" s="1" t="s">
        <v>115</v>
      </c>
      <c r="B64">
        <v>34312</v>
      </c>
      <c r="C64" s="2">
        <v>204.88</v>
      </c>
      <c r="D64">
        <v>200</v>
      </c>
      <c r="E64">
        <v>212</v>
      </c>
    </row>
    <row r="65" spans="1:5" x14ac:dyDescent="0.3">
      <c r="A65" s="1" t="s">
        <v>116</v>
      </c>
      <c r="B65">
        <v>34312</v>
      </c>
      <c r="C65" s="2">
        <v>216.596</v>
      </c>
      <c r="D65">
        <v>213</v>
      </c>
      <c r="E65">
        <v>222</v>
      </c>
    </row>
    <row r="66" spans="1:5" x14ac:dyDescent="0.3">
      <c r="A66" s="1" t="s">
        <v>117</v>
      </c>
      <c r="B66">
        <v>34312</v>
      </c>
      <c r="C66" s="2">
        <v>217.227</v>
      </c>
      <c r="D66">
        <v>212</v>
      </c>
      <c r="E66">
        <v>220</v>
      </c>
    </row>
    <row r="67" spans="1:5" x14ac:dyDescent="0.3">
      <c r="A67" s="1" t="s">
        <v>118</v>
      </c>
      <c r="B67">
        <v>34312</v>
      </c>
      <c r="C67" s="2">
        <v>212.63</v>
      </c>
      <c r="D67">
        <v>210</v>
      </c>
      <c r="E67">
        <v>217</v>
      </c>
    </row>
    <row r="68" spans="1:5" x14ac:dyDescent="0.3">
      <c r="A68" s="1" t="s">
        <v>119</v>
      </c>
      <c r="B68">
        <v>34312</v>
      </c>
      <c r="C68" s="2">
        <v>212.489</v>
      </c>
      <c r="D68">
        <v>210</v>
      </c>
      <c r="E68">
        <v>216</v>
      </c>
    </row>
    <row r="69" spans="1:5" x14ac:dyDescent="0.3">
      <c r="A69" s="1" t="s">
        <v>120</v>
      </c>
      <c r="B69">
        <v>34312</v>
      </c>
      <c r="C69" s="2">
        <v>214.67</v>
      </c>
      <c r="D69">
        <v>209</v>
      </c>
      <c r="E69">
        <v>219</v>
      </c>
    </row>
    <row r="70" spans="1:5" x14ac:dyDescent="0.3">
      <c r="A70" s="1" t="s">
        <v>121</v>
      </c>
      <c r="B70">
        <v>34312</v>
      </c>
      <c r="C70" s="2">
        <v>213.715</v>
      </c>
      <c r="D70">
        <v>195</v>
      </c>
      <c r="E70">
        <v>234</v>
      </c>
    </row>
    <row r="71" spans="1:5" x14ac:dyDescent="0.3">
      <c r="A71" s="1" t="s">
        <v>122</v>
      </c>
      <c r="B71">
        <v>34312</v>
      </c>
      <c r="C71" s="2">
        <v>207.09899999999999</v>
      </c>
      <c r="D71">
        <v>205</v>
      </c>
      <c r="E71">
        <v>212</v>
      </c>
    </row>
    <row r="72" spans="1:5" x14ac:dyDescent="0.3">
      <c r="A72" s="1" t="s">
        <v>123</v>
      </c>
      <c r="B72">
        <v>34312</v>
      </c>
      <c r="C72" s="2">
        <v>203.636</v>
      </c>
      <c r="D72">
        <v>154</v>
      </c>
      <c r="E72">
        <v>209</v>
      </c>
    </row>
    <row r="73" spans="1:5" x14ac:dyDescent="0.3">
      <c r="A73" s="1" t="s">
        <v>124</v>
      </c>
      <c r="B73">
        <v>34312</v>
      </c>
      <c r="C73" s="2">
        <v>202.679</v>
      </c>
      <c r="D73">
        <v>197</v>
      </c>
      <c r="E73">
        <v>215</v>
      </c>
    </row>
    <row r="74" spans="1:5" x14ac:dyDescent="0.3">
      <c r="A74" t="s">
        <v>125</v>
      </c>
      <c r="B74">
        <v>34312</v>
      </c>
      <c r="C74" s="2">
        <v>209.40199999999999</v>
      </c>
      <c r="D74">
        <v>171</v>
      </c>
      <c r="E74">
        <v>227</v>
      </c>
    </row>
    <row r="75" spans="1:5" x14ac:dyDescent="0.3">
      <c r="A75" t="s">
        <v>126</v>
      </c>
      <c r="B75">
        <v>34312</v>
      </c>
      <c r="C75" s="2">
        <v>216.874</v>
      </c>
      <c r="D75">
        <v>201</v>
      </c>
      <c r="E75">
        <v>220</v>
      </c>
    </row>
    <row r="76" spans="1:5" x14ac:dyDescent="0.3">
      <c r="A76" t="s">
        <v>127</v>
      </c>
      <c r="B76">
        <v>34312</v>
      </c>
      <c r="C76" s="2">
        <v>212.52199999999999</v>
      </c>
      <c r="D76">
        <v>209</v>
      </c>
      <c r="E76">
        <v>216</v>
      </c>
    </row>
    <row r="77" spans="1:5" x14ac:dyDescent="0.3">
      <c r="A77" t="s">
        <v>128</v>
      </c>
      <c r="B77">
        <v>34312</v>
      </c>
      <c r="C77" s="2">
        <v>201.12799999999999</v>
      </c>
      <c r="D77">
        <v>149</v>
      </c>
      <c r="E77">
        <v>218</v>
      </c>
    </row>
    <row r="78" spans="1:5" x14ac:dyDescent="0.3">
      <c r="A78" t="s">
        <v>129</v>
      </c>
      <c r="B78">
        <v>34312</v>
      </c>
      <c r="C78" s="2">
        <v>217.71199999999999</v>
      </c>
      <c r="D78">
        <v>215</v>
      </c>
      <c r="E78">
        <v>228</v>
      </c>
    </row>
    <row r="79" spans="1:5" x14ac:dyDescent="0.3">
      <c r="A79" t="s">
        <v>130</v>
      </c>
      <c r="B79">
        <v>34312</v>
      </c>
      <c r="C79" s="2">
        <v>213.334</v>
      </c>
      <c r="D79">
        <v>210</v>
      </c>
      <c r="E79">
        <v>219</v>
      </c>
    </row>
    <row r="80" spans="1:5" x14ac:dyDescent="0.3">
      <c r="A80" t="s">
        <v>131</v>
      </c>
      <c r="B80">
        <v>34312</v>
      </c>
      <c r="C80" s="2">
        <v>191.34700000000001</v>
      </c>
      <c r="D80">
        <v>136</v>
      </c>
      <c r="E80">
        <v>202</v>
      </c>
    </row>
    <row r="81" spans="1:5" x14ac:dyDescent="0.3">
      <c r="A81" t="s">
        <v>132</v>
      </c>
      <c r="B81">
        <v>34312</v>
      </c>
      <c r="C81" s="2">
        <v>204.077</v>
      </c>
      <c r="D81">
        <v>201</v>
      </c>
      <c r="E81">
        <v>209</v>
      </c>
    </row>
    <row r="82" spans="1:5" x14ac:dyDescent="0.3">
      <c r="A82" t="s">
        <v>133</v>
      </c>
      <c r="B82">
        <v>34312</v>
      </c>
      <c r="C82" s="2">
        <v>196.91499999999999</v>
      </c>
      <c r="D82">
        <v>193</v>
      </c>
      <c r="E82">
        <v>203</v>
      </c>
    </row>
    <row r="83" spans="1:5" x14ac:dyDescent="0.3">
      <c r="A83" t="s">
        <v>134</v>
      </c>
      <c r="B83">
        <v>34312</v>
      </c>
      <c r="C83" s="2">
        <v>214.095</v>
      </c>
      <c r="D83">
        <v>204</v>
      </c>
      <c r="E83">
        <v>221</v>
      </c>
    </row>
    <row r="84" spans="1:5" x14ac:dyDescent="0.3">
      <c r="A84" t="s">
        <v>135</v>
      </c>
      <c r="B84">
        <v>34312</v>
      </c>
      <c r="C84" s="2">
        <v>213.387</v>
      </c>
      <c r="D84">
        <v>209</v>
      </c>
      <c r="E84">
        <v>217</v>
      </c>
    </row>
    <row r="85" spans="1:5" x14ac:dyDescent="0.3">
      <c r="A85" t="s">
        <v>136</v>
      </c>
      <c r="B85">
        <v>34312</v>
      </c>
      <c r="C85" s="2">
        <v>209.80099999999999</v>
      </c>
      <c r="D85">
        <v>207</v>
      </c>
      <c r="E85">
        <v>216</v>
      </c>
    </row>
    <row r="86" spans="1:5" x14ac:dyDescent="0.3">
      <c r="A86" t="s">
        <v>137</v>
      </c>
      <c r="B86">
        <v>34312</v>
      </c>
      <c r="C86" s="2">
        <v>210.96100000000001</v>
      </c>
      <c r="D86">
        <v>207</v>
      </c>
      <c r="E86">
        <v>225</v>
      </c>
    </row>
    <row r="87" spans="1:5" x14ac:dyDescent="0.3">
      <c r="A87" t="s">
        <v>138</v>
      </c>
      <c r="B87">
        <v>34312</v>
      </c>
      <c r="C87" s="2">
        <v>213.255</v>
      </c>
      <c r="D87">
        <v>208</v>
      </c>
      <c r="E87">
        <v>218</v>
      </c>
    </row>
    <row r="88" spans="1:5" x14ac:dyDescent="0.3">
      <c r="A88" t="s">
        <v>139</v>
      </c>
      <c r="B88">
        <v>34312</v>
      </c>
      <c r="C88" s="2">
        <v>210.417</v>
      </c>
      <c r="D88">
        <v>199</v>
      </c>
      <c r="E88">
        <v>216</v>
      </c>
    </row>
    <row r="89" spans="1:5" x14ac:dyDescent="0.3">
      <c r="A89" t="s">
        <v>140</v>
      </c>
      <c r="B89">
        <v>34312</v>
      </c>
      <c r="C89" s="2">
        <v>199.15299999999999</v>
      </c>
      <c r="D89">
        <v>195</v>
      </c>
      <c r="E89">
        <v>226</v>
      </c>
    </row>
    <row r="90" spans="1:5" x14ac:dyDescent="0.3">
      <c r="A90" t="s">
        <v>141</v>
      </c>
      <c r="B90">
        <v>34312</v>
      </c>
      <c r="C90" s="2">
        <v>197.29900000000001</v>
      </c>
      <c r="D90">
        <v>193</v>
      </c>
      <c r="E90">
        <v>203</v>
      </c>
    </row>
    <row r="91" spans="1:5" x14ac:dyDescent="0.3">
      <c r="A91" t="s">
        <v>142</v>
      </c>
      <c r="B91">
        <v>34312</v>
      </c>
      <c r="C91" s="2">
        <v>194.376</v>
      </c>
      <c r="D91">
        <v>189</v>
      </c>
      <c r="E91">
        <v>204</v>
      </c>
    </row>
    <row r="92" spans="1:5" x14ac:dyDescent="0.3">
      <c r="A92" t="s">
        <v>143</v>
      </c>
      <c r="B92">
        <v>34312</v>
      </c>
      <c r="C92" s="2">
        <v>210.75</v>
      </c>
      <c r="D92">
        <v>208</v>
      </c>
      <c r="E92">
        <v>215</v>
      </c>
    </row>
    <row r="93" spans="1:5" x14ac:dyDescent="0.3">
      <c r="A93" t="s">
        <v>144</v>
      </c>
      <c r="B93">
        <v>34312</v>
      </c>
      <c r="C93" s="2">
        <v>220.08099999999999</v>
      </c>
      <c r="D93">
        <v>215</v>
      </c>
      <c r="E93">
        <v>223</v>
      </c>
    </row>
    <row r="94" spans="1:5" x14ac:dyDescent="0.3">
      <c r="A94" t="s">
        <v>145</v>
      </c>
      <c r="B94">
        <v>34312</v>
      </c>
      <c r="C94" s="2">
        <v>212.511</v>
      </c>
      <c r="D94">
        <v>210</v>
      </c>
      <c r="E94">
        <v>215</v>
      </c>
    </row>
    <row r="95" spans="1:5" x14ac:dyDescent="0.3">
      <c r="A95" t="s">
        <v>146</v>
      </c>
      <c r="B95">
        <v>34312</v>
      </c>
      <c r="C95" s="2">
        <v>204.541</v>
      </c>
      <c r="D95">
        <v>201</v>
      </c>
      <c r="E95">
        <v>210</v>
      </c>
    </row>
    <row r="96" spans="1:5" x14ac:dyDescent="0.3">
      <c r="A96" t="s">
        <v>147</v>
      </c>
      <c r="B96">
        <v>34312</v>
      </c>
      <c r="C96" s="2">
        <v>217.05500000000001</v>
      </c>
      <c r="D96">
        <v>214</v>
      </c>
      <c r="E96">
        <v>232</v>
      </c>
    </row>
    <row r="97" spans="1:5" x14ac:dyDescent="0.3">
      <c r="A97" t="s">
        <v>148</v>
      </c>
      <c r="B97">
        <v>34312</v>
      </c>
      <c r="C97" s="2">
        <v>214.846</v>
      </c>
      <c r="D97">
        <v>211</v>
      </c>
      <c r="E97">
        <v>221</v>
      </c>
    </row>
    <row r="98" spans="1:5" x14ac:dyDescent="0.3">
      <c r="A98" t="s">
        <v>149</v>
      </c>
      <c r="B98">
        <v>34312</v>
      </c>
      <c r="C98" s="2">
        <v>190.833</v>
      </c>
      <c r="D98">
        <v>186</v>
      </c>
      <c r="E98">
        <v>205</v>
      </c>
    </row>
    <row r="99" spans="1:5" x14ac:dyDescent="0.3">
      <c r="A99" t="s">
        <v>150</v>
      </c>
      <c r="B99">
        <v>34312</v>
      </c>
      <c r="C99" s="2">
        <v>204.78399999999999</v>
      </c>
      <c r="D99">
        <v>201</v>
      </c>
      <c r="E99">
        <v>209</v>
      </c>
    </row>
    <row r="100" spans="1:5" x14ac:dyDescent="0.3">
      <c r="A100" t="s">
        <v>151</v>
      </c>
      <c r="B100">
        <v>34312</v>
      </c>
      <c r="C100" s="2">
        <v>197.89400000000001</v>
      </c>
      <c r="D100">
        <v>192</v>
      </c>
      <c r="E100">
        <v>206</v>
      </c>
    </row>
    <row r="101" spans="1:5" x14ac:dyDescent="0.3">
      <c r="A101" t="s">
        <v>152</v>
      </c>
      <c r="B101">
        <v>34312</v>
      </c>
      <c r="C101" s="2">
        <v>210.375</v>
      </c>
      <c r="D101">
        <v>156</v>
      </c>
      <c r="E101">
        <v>219</v>
      </c>
    </row>
    <row r="102" spans="1:5" x14ac:dyDescent="0.3">
      <c r="A102" t="s">
        <v>153</v>
      </c>
      <c r="B102">
        <v>34312</v>
      </c>
      <c r="C102" s="2">
        <v>215.36099999999999</v>
      </c>
      <c r="D102">
        <v>159</v>
      </c>
      <c r="E102">
        <v>220</v>
      </c>
    </row>
    <row r="103" spans="1:5" x14ac:dyDescent="0.3">
      <c r="A103" t="s">
        <v>154</v>
      </c>
      <c r="B103">
        <v>34312</v>
      </c>
      <c r="C103" s="2">
        <v>208.91</v>
      </c>
      <c r="D103">
        <v>204</v>
      </c>
      <c r="E103">
        <v>213</v>
      </c>
    </row>
    <row r="104" spans="1:5" x14ac:dyDescent="0.3">
      <c r="A104" t="s">
        <v>155</v>
      </c>
      <c r="B104">
        <v>34312</v>
      </c>
      <c r="C104" s="2">
        <v>211.12899999999999</v>
      </c>
      <c r="D104">
        <v>172</v>
      </c>
      <c r="E104">
        <v>227</v>
      </c>
    </row>
    <row r="105" spans="1:5" x14ac:dyDescent="0.3">
      <c r="A105" t="s">
        <v>156</v>
      </c>
      <c r="B105">
        <v>34312</v>
      </c>
      <c r="C105" s="2">
        <v>213.697</v>
      </c>
      <c r="D105">
        <v>161</v>
      </c>
      <c r="E105">
        <v>218</v>
      </c>
    </row>
    <row r="106" spans="1:5" x14ac:dyDescent="0.3">
      <c r="A106" t="s">
        <v>157</v>
      </c>
      <c r="B106">
        <v>34312</v>
      </c>
      <c r="C106" s="2">
        <v>212.12200000000001</v>
      </c>
      <c r="D106">
        <v>202</v>
      </c>
      <c r="E106">
        <v>216</v>
      </c>
    </row>
    <row r="107" spans="1:5" x14ac:dyDescent="0.3">
      <c r="A107" t="s">
        <v>158</v>
      </c>
      <c r="B107">
        <v>34312</v>
      </c>
      <c r="C107" s="2">
        <v>201.85400000000001</v>
      </c>
      <c r="D107">
        <v>197</v>
      </c>
      <c r="E107">
        <v>215</v>
      </c>
    </row>
    <row r="108" spans="1:5" x14ac:dyDescent="0.3">
      <c r="A108" t="s">
        <v>159</v>
      </c>
      <c r="B108">
        <v>34312</v>
      </c>
      <c r="C108" s="2">
        <v>200.75299999999999</v>
      </c>
      <c r="D108">
        <v>153</v>
      </c>
      <c r="E108">
        <v>209</v>
      </c>
    </row>
    <row r="109" spans="1:5" x14ac:dyDescent="0.3">
      <c r="A109" t="s">
        <v>160</v>
      </c>
      <c r="B109">
        <v>34312</v>
      </c>
      <c r="C109" s="2">
        <v>197.86600000000001</v>
      </c>
      <c r="D109">
        <v>193</v>
      </c>
      <c r="E109">
        <v>206</v>
      </c>
    </row>
    <row r="110" spans="1:5" x14ac:dyDescent="0.3">
      <c r="A110" t="s">
        <v>161</v>
      </c>
      <c r="B110">
        <v>34312</v>
      </c>
      <c r="C110" s="2">
        <v>210.94399999999999</v>
      </c>
      <c r="D110">
        <v>208</v>
      </c>
      <c r="E110">
        <v>213</v>
      </c>
    </row>
    <row r="111" spans="1:5" x14ac:dyDescent="0.3">
      <c r="A111" t="s">
        <v>162</v>
      </c>
      <c r="B111">
        <v>34312</v>
      </c>
      <c r="C111" s="2">
        <v>216.55</v>
      </c>
      <c r="D111">
        <v>213</v>
      </c>
      <c r="E111">
        <v>223</v>
      </c>
    </row>
    <row r="112" spans="1:5" x14ac:dyDescent="0.3">
      <c r="A112" t="s">
        <v>163</v>
      </c>
      <c r="B112">
        <v>34312</v>
      </c>
      <c r="C112" s="2">
        <v>211.905</v>
      </c>
      <c r="D112">
        <v>210</v>
      </c>
      <c r="E112">
        <v>214</v>
      </c>
    </row>
    <row r="113" spans="1:5" x14ac:dyDescent="0.3">
      <c r="A113" t="s">
        <v>164</v>
      </c>
      <c r="B113">
        <v>34312</v>
      </c>
      <c r="C113" s="2">
        <v>210.75299999999999</v>
      </c>
      <c r="D113">
        <v>208</v>
      </c>
      <c r="E113">
        <v>231</v>
      </c>
    </row>
    <row r="114" spans="1:5" x14ac:dyDescent="0.3">
      <c r="A114" t="s">
        <v>165</v>
      </c>
      <c r="B114">
        <v>34312</v>
      </c>
      <c r="C114" s="2">
        <v>213.21100000000001</v>
      </c>
      <c r="D114">
        <v>208</v>
      </c>
      <c r="E114">
        <v>216</v>
      </c>
    </row>
    <row r="115" spans="1:5" x14ac:dyDescent="0.3">
      <c r="A115" t="s">
        <v>166</v>
      </c>
      <c r="B115">
        <v>34312</v>
      </c>
      <c r="C115" s="2">
        <v>210.46600000000001</v>
      </c>
      <c r="D115">
        <v>205</v>
      </c>
      <c r="E115">
        <v>215</v>
      </c>
    </row>
    <row r="116" spans="1:5" x14ac:dyDescent="0.3">
      <c r="A116" t="s">
        <v>167</v>
      </c>
      <c r="B116">
        <v>34312</v>
      </c>
      <c r="C116" s="2">
        <v>199.83</v>
      </c>
      <c r="D116">
        <v>196</v>
      </c>
      <c r="E116">
        <v>239</v>
      </c>
    </row>
    <row r="117" spans="1:5" x14ac:dyDescent="0.3">
      <c r="A117" t="s">
        <v>168</v>
      </c>
      <c r="B117">
        <v>34312</v>
      </c>
      <c r="C117" s="2">
        <v>198.51</v>
      </c>
      <c r="D117">
        <v>144</v>
      </c>
      <c r="E117">
        <v>205</v>
      </c>
    </row>
    <row r="118" spans="1:5" x14ac:dyDescent="0.3">
      <c r="A118" t="s">
        <v>169</v>
      </c>
      <c r="B118">
        <v>34312</v>
      </c>
      <c r="C118" s="2">
        <v>193.67400000000001</v>
      </c>
      <c r="D118">
        <v>189</v>
      </c>
      <c r="E118">
        <v>198</v>
      </c>
    </row>
    <row r="119" spans="1:5" x14ac:dyDescent="0.3">
      <c r="A119" t="s">
        <v>170</v>
      </c>
      <c r="B119">
        <v>34312</v>
      </c>
      <c r="C119" s="2">
        <v>212.375</v>
      </c>
      <c r="D119">
        <v>162</v>
      </c>
      <c r="E119">
        <v>218</v>
      </c>
    </row>
    <row r="120" spans="1:5" x14ac:dyDescent="0.3">
      <c r="A120" t="s">
        <v>171</v>
      </c>
      <c r="B120">
        <v>34312</v>
      </c>
      <c r="C120" s="2">
        <v>214.67500000000001</v>
      </c>
      <c r="D120">
        <v>161</v>
      </c>
      <c r="E120">
        <v>219</v>
      </c>
    </row>
    <row r="121" spans="1:5" x14ac:dyDescent="0.3">
      <c r="A121" t="s">
        <v>172</v>
      </c>
      <c r="B121">
        <v>34312</v>
      </c>
      <c r="C121" s="2">
        <v>207.88900000000001</v>
      </c>
      <c r="D121">
        <v>204</v>
      </c>
      <c r="E121">
        <v>212</v>
      </c>
    </row>
    <row r="122" spans="1:5" x14ac:dyDescent="0.3">
      <c r="A122" t="s">
        <v>173</v>
      </c>
      <c r="B122">
        <v>34312</v>
      </c>
      <c r="C122" s="2">
        <v>202.60599999999999</v>
      </c>
      <c r="D122">
        <v>199</v>
      </c>
      <c r="E122">
        <v>206</v>
      </c>
    </row>
    <row r="123" spans="1:5" x14ac:dyDescent="0.3">
      <c r="A123" t="s">
        <v>174</v>
      </c>
      <c r="B123">
        <v>34312</v>
      </c>
      <c r="C123" s="2">
        <v>218.24600000000001</v>
      </c>
      <c r="D123">
        <v>215</v>
      </c>
      <c r="E123">
        <v>226</v>
      </c>
    </row>
    <row r="124" spans="1:5" x14ac:dyDescent="0.3">
      <c r="A124" t="s">
        <v>175</v>
      </c>
      <c r="B124">
        <v>34312</v>
      </c>
      <c r="C124" s="2">
        <v>212.62700000000001</v>
      </c>
      <c r="D124">
        <v>210</v>
      </c>
      <c r="E124">
        <v>215</v>
      </c>
    </row>
    <row r="125" spans="1:5" x14ac:dyDescent="0.3">
      <c r="A125" t="s">
        <v>176</v>
      </c>
      <c r="B125">
        <v>34312</v>
      </c>
      <c r="C125" s="2">
        <v>188.173</v>
      </c>
      <c r="D125">
        <v>139</v>
      </c>
      <c r="E125">
        <v>193</v>
      </c>
    </row>
    <row r="126" spans="1:5" x14ac:dyDescent="0.3">
      <c r="A126" t="s">
        <v>177</v>
      </c>
      <c r="B126">
        <v>34312</v>
      </c>
      <c r="C126" s="2">
        <v>204.18299999999999</v>
      </c>
      <c r="D126">
        <v>159</v>
      </c>
      <c r="E126">
        <v>208</v>
      </c>
    </row>
    <row r="127" spans="1:5" x14ac:dyDescent="0.3">
      <c r="A127" t="s">
        <v>178</v>
      </c>
      <c r="B127">
        <v>34312</v>
      </c>
      <c r="C127" s="2">
        <v>197.095</v>
      </c>
      <c r="D127">
        <v>192</v>
      </c>
      <c r="E127">
        <v>206</v>
      </c>
    </row>
    <row r="128" spans="1:5" x14ac:dyDescent="0.3">
      <c r="A128" t="s">
        <v>179</v>
      </c>
      <c r="B128">
        <v>34312</v>
      </c>
      <c r="C128" s="2">
        <v>213.11099999999999</v>
      </c>
      <c r="D128">
        <v>211</v>
      </c>
      <c r="E128">
        <v>218</v>
      </c>
    </row>
    <row r="129" spans="1:5" x14ac:dyDescent="0.3">
      <c r="A129" t="s">
        <v>180</v>
      </c>
      <c r="B129">
        <v>34312</v>
      </c>
      <c r="C129" s="2">
        <v>218.36099999999999</v>
      </c>
      <c r="D129">
        <v>208</v>
      </c>
      <c r="E129">
        <v>222</v>
      </c>
    </row>
    <row r="130" spans="1:5" x14ac:dyDescent="0.3">
      <c r="A130" t="s">
        <v>181</v>
      </c>
      <c r="B130">
        <v>34312</v>
      </c>
      <c r="C130" s="2">
        <v>212.78800000000001</v>
      </c>
      <c r="D130">
        <v>210</v>
      </c>
      <c r="E130">
        <v>216</v>
      </c>
    </row>
    <row r="131" spans="1:5" x14ac:dyDescent="0.3">
      <c r="A131" t="s">
        <v>182</v>
      </c>
      <c r="B131">
        <v>34312</v>
      </c>
      <c r="C131" s="2">
        <v>205.066</v>
      </c>
      <c r="D131">
        <v>188</v>
      </c>
      <c r="E131">
        <v>213</v>
      </c>
    </row>
    <row r="132" spans="1:5" x14ac:dyDescent="0.3">
      <c r="A132" t="s">
        <v>183</v>
      </c>
      <c r="B132">
        <v>34312</v>
      </c>
      <c r="C132" s="2">
        <v>217.60599999999999</v>
      </c>
      <c r="D132">
        <v>215</v>
      </c>
      <c r="E132">
        <v>226</v>
      </c>
    </row>
    <row r="133" spans="1:5" x14ac:dyDescent="0.3">
      <c r="A133" t="s">
        <v>184</v>
      </c>
      <c r="B133">
        <v>34312</v>
      </c>
      <c r="C133" s="2">
        <v>214.20699999999999</v>
      </c>
      <c r="D133">
        <v>212</v>
      </c>
      <c r="E133">
        <v>218</v>
      </c>
    </row>
    <row r="134" spans="1:5" x14ac:dyDescent="0.3">
      <c r="A134" t="s">
        <v>185</v>
      </c>
      <c r="B134">
        <v>34312</v>
      </c>
      <c r="C134" s="2">
        <v>195.62799999999999</v>
      </c>
      <c r="D134">
        <v>191</v>
      </c>
      <c r="E134">
        <v>223</v>
      </c>
    </row>
    <row r="135" spans="1:5" x14ac:dyDescent="0.3">
      <c r="A135" t="s">
        <v>186</v>
      </c>
      <c r="B135">
        <v>34312</v>
      </c>
      <c r="C135" s="2">
        <v>204.35400000000001</v>
      </c>
      <c r="D135">
        <v>154</v>
      </c>
      <c r="E135">
        <v>209</v>
      </c>
    </row>
    <row r="136" spans="1:5" x14ac:dyDescent="0.3">
      <c r="A136" t="s">
        <v>187</v>
      </c>
      <c r="B136">
        <v>34312</v>
      </c>
      <c r="C136" s="2">
        <v>199.578</v>
      </c>
      <c r="D136">
        <v>195</v>
      </c>
      <c r="E136">
        <v>205</v>
      </c>
    </row>
    <row r="137" spans="1:5" x14ac:dyDescent="0.3">
      <c r="A137" t="s">
        <v>188</v>
      </c>
      <c r="B137">
        <v>34312</v>
      </c>
      <c r="C137" s="2">
        <v>215.88200000000001</v>
      </c>
      <c r="D137">
        <v>209</v>
      </c>
      <c r="E137">
        <v>219</v>
      </c>
    </row>
    <row r="138" spans="1:5" x14ac:dyDescent="0.3">
      <c r="A138" t="s">
        <v>189</v>
      </c>
      <c r="B138">
        <v>34312</v>
      </c>
      <c r="C138" s="2">
        <v>215.91499999999999</v>
      </c>
      <c r="D138">
        <v>161</v>
      </c>
      <c r="E138">
        <v>222</v>
      </c>
    </row>
    <row r="139" spans="1:5" x14ac:dyDescent="0.3">
      <c r="A139" t="s">
        <v>190</v>
      </c>
      <c r="B139">
        <v>34312</v>
      </c>
      <c r="C139" s="2">
        <v>210.483</v>
      </c>
      <c r="D139">
        <v>206</v>
      </c>
      <c r="E139">
        <v>215</v>
      </c>
    </row>
    <row r="140" spans="1:5" x14ac:dyDescent="0.3">
      <c r="A140" t="s">
        <v>191</v>
      </c>
      <c r="B140">
        <v>34312</v>
      </c>
      <c r="C140" s="2">
        <v>211.92699999999999</v>
      </c>
      <c r="D140">
        <v>209</v>
      </c>
      <c r="E140">
        <v>217</v>
      </c>
    </row>
    <row r="141" spans="1:5" x14ac:dyDescent="0.3">
      <c r="A141" t="s">
        <v>192</v>
      </c>
      <c r="B141">
        <v>34312</v>
      </c>
      <c r="C141" s="2">
        <v>211.501</v>
      </c>
      <c r="D141">
        <v>178</v>
      </c>
      <c r="E141">
        <v>216</v>
      </c>
    </row>
    <row r="142" spans="1:5" x14ac:dyDescent="0.3">
      <c r="A142" t="s">
        <v>193</v>
      </c>
      <c r="B142">
        <v>34312</v>
      </c>
      <c r="C142" s="2">
        <v>212.02600000000001</v>
      </c>
      <c r="D142">
        <v>204</v>
      </c>
      <c r="E142">
        <v>215</v>
      </c>
    </row>
    <row r="143" spans="1:5" x14ac:dyDescent="0.3">
      <c r="A143" t="s">
        <v>194</v>
      </c>
      <c r="B143">
        <v>34312</v>
      </c>
      <c r="C143" s="2">
        <v>202.05600000000001</v>
      </c>
      <c r="D143">
        <v>198</v>
      </c>
      <c r="E143">
        <v>238</v>
      </c>
    </row>
    <row r="144" spans="1:5" x14ac:dyDescent="0.3">
      <c r="A144" t="s">
        <v>195</v>
      </c>
      <c r="B144">
        <v>34312</v>
      </c>
      <c r="C144" s="2">
        <v>200.46299999999999</v>
      </c>
      <c r="D144">
        <v>181</v>
      </c>
      <c r="E144">
        <v>213</v>
      </c>
    </row>
    <row r="145" spans="1:5" x14ac:dyDescent="0.3">
      <c r="A145" t="s">
        <v>196</v>
      </c>
      <c r="B145">
        <v>34312</v>
      </c>
      <c r="C145" s="2">
        <v>196.23599999999999</v>
      </c>
      <c r="D145">
        <v>191</v>
      </c>
      <c r="E145">
        <v>201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AA264-DCCB-4007-BD26-7EE39C025CE3}">
  <dimension ref="B2:Y18"/>
  <sheetViews>
    <sheetView topLeftCell="J1" workbookViewId="0">
      <selection activeCell="S24" sqref="S24"/>
    </sheetView>
  </sheetViews>
  <sheetFormatPr defaultRowHeight="14.4" x14ac:dyDescent="0.3"/>
  <cols>
    <col min="2" max="2" width="17.109375" customWidth="1"/>
    <col min="6" max="6" width="11.88671875" customWidth="1"/>
    <col min="8" max="8" width="9.5546875" customWidth="1"/>
    <col min="10" max="10" width="11.5546875" customWidth="1"/>
    <col min="17" max="17" width="7.6640625" customWidth="1"/>
    <col min="18" max="18" width="7.33203125" customWidth="1"/>
    <col min="19" max="19" width="16.109375" customWidth="1"/>
    <col min="20" max="20" width="11.44140625" customWidth="1"/>
    <col min="21" max="21" width="7.109375" customWidth="1"/>
    <col min="22" max="22" width="7" customWidth="1"/>
    <col min="23" max="23" width="11.33203125" customWidth="1"/>
    <col min="24" max="24" width="10" customWidth="1"/>
  </cols>
  <sheetData>
    <row r="2" spans="2:25" ht="34.799999999999997" customHeight="1" x14ac:dyDescent="0.3">
      <c r="B2" s="5" t="s">
        <v>204</v>
      </c>
      <c r="C2" s="5">
        <v>1</v>
      </c>
      <c r="D2" s="5">
        <v>2</v>
      </c>
      <c r="E2" s="5">
        <v>3</v>
      </c>
      <c r="F2" s="8" t="s">
        <v>205</v>
      </c>
      <c r="G2" s="5" t="s">
        <v>206</v>
      </c>
      <c r="J2" s="5" t="s">
        <v>223</v>
      </c>
      <c r="K2" s="5">
        <v>1</v>
      </c>
      <c r="L2" s="5">
        <v>2</v>
      </c>
      <c r="M2" s="5">
        <v>3</v>
      </c>
      <c r="N2" s="5">
        <v>4</v>
      </c>
      <c r="O2" s="5" t="s">
        <v>2</v>
      </c>
      <c r="P2" s="5" t="s">
        <v>206</v>
      </c>
      <c r="S2" s="7" t="s">
        <v>204</v>
      </c>
      <c r="T2" s="8" t="s">
        <v>228</v>
      </c>
      <c r="W2" s="8" t="s">
        <v>223</v>
      </c>
      <c r="X2" s="8" t="s">
        <v>229</v>
      </c>
      <c r="Y2" s="5" t="s">
        <v>206</v>
      </c>
    </row>
    <row r="3" spans="2:25" x14ac:dyDescent="0.3">
      <c r="B3" t="s">
        <v>207</v>
      </c>
      <c r="C3" s="4">
        <v>-50.373666666666679</v>
      </c>
      <c r="D3" s="4">
        <v>-36.055666666666639</v>
      </c>
      <c r="E3" s="4">
        <v>-33.764666666666699</v>
      </c>
      <c r="F3" s="4">
        <f>AVERAGE(C3:E3)</f>
        <v>-40.064666666666675</v>
      </c>
      <c r="G3" s="4">
        <f>_xlfn.STDEV.P(C3:E3)</f>
        <v>7.3493211024329801</v>
      </c>
      <c r="H3" s="4"/>
      <c r="J3" t="s">
        <v>224</v>
      </c>
      <c r="K3" s="4">
        <v>-40.064666666666675</v>
      </c>
      <c r="L3" s="4">
        <v>-46.744888888888887</v>
      </c>
      <c r="M3" s="4">
        <v>-37.157333333333334</v>
      </c>
      <c r="N3" s="4">
        <v>-47.464333333333336</v>
      </c>
      <c r="O3" s="6">
        <f>AVERAGE(K3:N3)</f>
        <v>-42.857805555555558</v>
      </c>
      <c r="P3" s="4">
        <f>_xlfn.STDEV.P(K3:N3)</f>
        <v>4.3768288582221775</v>
      </c>
      <c r="S3" s="9" t="s">
        <v>207</v>
      </c>
      <c r="T3" s="10">
        <f>F3/O3</f>
        <v>0.9348277670150843</v>
      </c>
      <c r="W3" t="s">
        <v>224</v>
      </c>
      <c r="X3" s="4">
        <f>AVERAGE(T3:T6)</f>
        <v>1</v>
      </c>
      <c r="Y3" s="4">
        <f>_xlfn.STDEV.P(T3:T6)</f>
        <v>0.10212442754561081</v>
      </c>
    </row>
    <row r="4" spans="2:25" x14ac:dyDescent="0.3">
      <c r="B4" t="s">
        <v>208</v>
      </c>
      <c r="C4" s="4">
        <v>-58.577666666666659</v>
      </c>
      <c r="D4" s="4">
        <v>-47.863666666666688</v>
      </c>
      <c r="E4" s="4">
        <v>-33.793333333333322</v>
      </c>
      <c r="F4" s="4">
        <f t="shared" ref="F4:F18" si="0">AVERAGE(C4:E4)</f>
        <v>-46.744888888888887</v>
      </c>
      <c r="G4" s="4">
        <f t="shared" ref="G4:G18" si="1">_xlfn.STDEV.P(C4:E4)</f>
        <v>10.149040758662256</v>
      </c>
      <c r="H4" s="4"/>
      <c r="J4" s="1" t="s">
        <v>225</v>
      </c>
      <c r="K4" s="4">
        <v>-39.768222222222228</v>
      </c>
      <c r="L4" s="4">
        <v>-22.683999999999987</v>
      </c>
      <c r="M4" s="4">
        <v>-28.831555555555553</v>
      </c>
      <c r="N4" s="4">
        <v>-29.921444444444443</v>
      </c>
      <c r="O4" s="4">
        <f t="shared" ref="O4:O6" si="2">AVERAGE(K4:N4)</f>
        <v>-30.301305555555555</v>
      </c>
      <c r="P4" s="4">
        <f t="shared" ref="P4:P6" si="3">_xlfn.STDEV.P(K4:N4)</f>
        <v>6.1227100745205725</v>
      </c>
      <c r="S4" s="9" t="s">
        <v>208</v>
      </c>
      <c r="T4" s="10">
        <f>F4/O3</f>
        <v>1.0906972086635327</v>
      </c>
      <c r="W4" s="1" t="s">
        <v>225</v>
      </c>
      <c r="X4" s="4">
        <f>AVERAGE(T7:T10)</f>
        <v>0.70701953034615106</v>
      </c>
      <c r="Y4" s="4">
        <f>_xlfn.STDEV.P(T7:T10)</f>
        <v>0.14286102601739245</v>
      </c>
    </row>
    <row r="5" spans="2:25" x14ac:dyDescent="0.3">
      <c r="B5" t="s">
        <v>209</v>
      </c>
      <c r="C5" s="4">
        <v>-50.430999999999983</v>
      </c>
      <c r="D5" s="4">
        <v>-34.557000000000016</v>
      </c>
      <c r="E5" s="4">
        <v>-26.484000000000009</v>
      </c>
      <c r="F5" s="4">
        <f t="shared" si="0"/>
        <v>-37.157333333333334</v>
      </c>
      <c r="G5" s="4">
        <f t="shared" si="1"/>
        <v>9.9477301375182474</v>
      </c>
      <c r="H5" s="4"/>
      <c r="J5" s="1" t="s">
        <v>226</v>
      </c>
      <c r="K5" s="4">
        <v>-48.303555555555555</v>
      </c>
      <c r="L5" s="4">
        <v>-46.478888888888882</v>
      </c>
      <c r="M5" s="4">
        <v>-39.17755555555555</v>
      </c>
      <c r="N5" s="4">
        <v>-49.812777777777775</v>
      </c>
      <c r="O5" s="4">
        <f t="shared" si="2"/>
        <v>-45.943194444444437</v>
      </c>
      <c r="P5" s="4">
        <f t="shared" si="3"/>
        <v>4.08061937275186</v>
      </c>
      <c r="S5" s="9" t="s">
        <v>209</v>
      </c>
      <c r="T5" s="10">
        <f>F5/O3</f>
        <v>0.86699103819413159</v>
      </c>
      <c r="W5" s="1" t="s">
        <v>226</v>
      </c>
      <c r="X5" s="4">
        <f>AVERAGE(T11:T14)</f>
        <v>1.0719912942086913</v>
      </c>
      <c r="Y5" s="4">
        <f>_xlfn.STDEV.P(T11:T14)</f>
        <v>9.5212979756097202E-2</v>
      </c>
    </row>
    <row r="6" spans="2:25" x14ac:dyDescent="0.3">
      <c r="B6" t="s">
        <v>210</v>
      </c>
      <c r="C6" s="4">
        <v>-71.077666666666659</v>
      </c>
      <c r="D6" s="4">
        <v>-44.690333333333314</v>
      </c>
      <c r="E6" s="4">
        <v>-26.625000000000028</v>
      </c>
      <c r="F6" s="4">
        <f t="shared" si="0"/>
        <v>-47.464333333333336</v>
      </c>
      <c r="G6" s="4">
        <f t="shared" si="1"/>
        <v>18.25342343131728</v>
      </c>
      <c r="H6" s="4"/>
      <c r="J6" s="1" t="s">
        <v>227</v>
      </c>
      <c r="K6" s="4">
        <v>-30.869555555555575</v>
      </c>
      <c r="L6" s="4">
        <v>-29.172888888888906</v>
      </c>
      <c r="M6" s="4">
        <v>-38.402555555555551</v>
      </c>
      <c r="N6" s="4">
        <v>-27.614777777777771</v>
      </c>
      <c r="O6" s="4">
        <f t="shared" si="2"/>
        <v>-31.514944444444453</v>
      </c>
      <c r="P6" s="4">
        <f t="shared" si="3"/>
        <v>4.1398139417396571</v>
      </c>
      <c r="S6" s="9" t="s">
        <v>210</v>
      </c>
      <c r="T6" s="10">
        <f>F6/O3</f>
        <v>1.1074839861272516</v>
      </c>
      <c r="W6" s="1" t="s">
        <v>227</v>
      </c>
      <c r="X6" s="4">
        <f>AVERAGE(T15:T18)</f>
        <v>0.73533733320975514</v>
      </c>
      <c r="Y6" s="4">
        <f>_xlfn.STDEV.P(T15:T18)</f>
        <v>9.6594165008596272E-2</v>
      </c>
    </row>
    <row r="7" spans="2:25" x14ac:dyDescent="0.3">
      <c r="B7" s="1" t="s">
        <v>211</v>
      </c>
      <c r="C7" s="4">
        <v>-53.226666666666688</v>
      </c>
      <c r="D7" s="4">
        <v>-32.859000000000009</v>
      </c>
      <c r="E7" s="4">
        <v>-33.218999999999994</v>
      </c>
      <c r="F7" s="4">
        <f t="shared" si="0"/>
        <v>-39.768222222222228</v>
      </c>
      <c r="G7" s="4">
        <f t="shared" si="1"/>
        <v>9.5176921274066615</v>
      </c>
      <c r="H7" s="4"/>
      <c r="S7" s="11" t="s">
        <v>211</v>
      </c>
      <c r="T7" s="12">
        <f>F7/O3</f>
        <v>0.92791083693428078</v>
      </c>
    </row>
    <row r="8" spans="2:25" x14ac:dyDescent="0.3">
      <c r="B8" s="1" t="s">
        <v>212</v>
      </c>
      <c r="C8" s="4">
        <v>-33.206999999999994</v>
      </c>
      <c r="D8" s="4">
        <v>-18.556333333333299</v>
      </c>
      <c r="E8" s="4">
        <v>-16.288666666666671</v>
      </c>
      <c r="F8" s="4">
        <f t="shared" si="0"/>
        <v>-22.683999999999987</v>
      </c>
      <c r="G8" s="4">
        <f t="shared" si="1"/>
        <v>7.4982542313873708</v>
      </c>
      <c r="H8" s="4"/>
      <c r="S8" s="11" t="s">
        <v>212</v>
      </c>
      <c r="T8" s="12">
        <f>F8/O3</f>
        <v>0.52928514901667689</v>
      </c>
    </row>
    <row r="9" spans="2:25" x14ac:dyDescent="0.3">
      <c r="B9" s="1" t="s">
        <v>213</v>
      </c>
      <c r="C9" s="4">
        <v>-32.862666666666684</v>
      </c>
      <c r="D9" s="4">
        <v>-36.332999999999998</v>
      </c>
      <c r="E9" s="4">
        <v>-17.298999999999978</v>
      </c>
      <c r="F9" s="4">
        <f t="shared" si="0"/>
        <v>-28.831555555555553</v>
      </c>
      <c r="G9" s="4">
        <f t="shared" si="1"/>
        <v>8.2769028665152682</v>
      </c>
      <c r="H9" s="4"/>
      <c r="S9" s="11" t="s">
        <v>213</v>
      </c>
      <c r="T9" s="12">
        <f>F9/O3</f>
        <v>0.67272589396071369</v>
      </c>
    </row>
    <row r="10" spans="2:25" x14ac:dyDescent="0.3">
      <c r="B10" s="1" t="s">
        <v>214</v>
      </c>
      <c r="C10" s="4">
        <v>-29.299333333333323</v>
      </c>
      <c r="D10" s="4">
        <v>-43.719666666666683</v>
      </c>
      <c r="E10" s="4">
        <v>-16.745333333333321</v>
      </c>
      <c r="F10" s="4">
        <f t="shared" si="0"/>
        <v>-29.921444444444443</v>
      </c>
      <c r="G10" s="4">
        <f t="shared" si="1"/>
        <v>11.021008162304417</v>
      </c>
      <c r="H10" s="4"/>
      <c r="S10" s="11" t="s">
        <v>214</v>
      </c>
      <c r="T10" s="12">
        <f>F10/O3</f>
        <v>0.69815624147293276</v>
      </c>
    </row>
    <row r="11" spans="2:25" x14ac:dyDescent="0.3">
      <c r="B11" t="s">
        <v>215</v>
      </c>
      <c r="C11" s="4">
        <v>-59.231666666666683</v>
      </c>
      <c r="D11" s="4">
        <v>-46.171666666666653</v>
      </c>
      <c r="E11" s="4">
        <v>-39.507333333333321</v>
      </c>
      <c r="F11" s="4">
        <f t="shared" si="0"/>
        <v>-48.303555555555555</v>
      </c>
      <c r="G11" s="4">
        <f t="shared" si="1"/>
        <v>8.1923152623678437</v>
      </c>
      <c r="H11" s="4"/>
      <c r="S11" s="13" t="s">
        <v>215</v>
      </c>
      <c r="T11" s="14">
        <f>F11/O3</f>
        <v>1.1270655351903354</v>
      </c>
    </row>
    <row r="12" spans="2:25" x14ac:dyDescent="0.3">
      <c r="B12" t="s">
        <v>216</v>
      </c>
      <c r="C12" s="4">
        <v>-55.69066666666663</v>
      </c>
      <c r="D12" s="4">
        <v>-55.800333333333356</v>
      </c>
      <c r="E12" s="4">
        <v>-27.945666666666654</v>
      </c>
      <c r="F12" s="4">
        <f t="shared" si="0"/>
        <v>-46.478888888888882</v>
      </c>
      <c r="G12" s="4">
        <f t="shared" si="1"/>
        <v>13.105043587569591</v>
      </c>
      <c r="H12" s="4"/>
      <c r="S12" s="13" t="s">
        <v>216</v>
      </c>
      <c r="T12" s="14">
        <f>F12/O3</f>
        <v>1.0844906379688386</v>
      </c>
    </row>
    <row r="13" spans="2:25" x14ac:dyDescent="0.3">
      <c r="B13" t="s">
        <v>217</v>
      </c>
      <c r="C13" s="4">
        <v>-50.569333333333333</v>
      </c>
      <c r="D13" s="4">
        <v>-40.324333333333328</v>
      </c>
      <c r="E13" s="4">
        <v>-26.638999999999982</v>
      </c>
      <c r="F13" s="4">
        <f t="shared" si="0"/>
        <v>-39.17755555555555</v>
      </c>
      <c r="G13" s="4">
        <f t="shared" si="1"/>
        <v>9.8031130366774999</v>
      </c>
      <c r="H13" s="4"/>
      <c r="S13" s="13" t="s">
        <v>217</v>
      </c>
      <c r="T13" s="14">
        <f>F13/O3</f>
        <v>0.91412882782275473</v>
      </c>
    </row>
    <row r="14" spans="2:25" x14ac:dyDescent="0.3">
      <c r="B14" t="s">
        <v>218</v>
      </c>
      <c r="C14" s="4">
        <v>-59.578666666666663</v>
      </c>
      <c r="D14" s="4">
        <v>-53.15900000000002</v>
      </c>
      <c r="E14" s="4">
        <v>-36.700666666666649</v>
      </c>
      <c r="F14" s="4">
        <f t="shared" si="0"/>
        <v>-49.812777777777775</v>
      </c>
      <c r="G14" s="4">
        <f t="shared" si="1"/>
        <v>9.6349579957697316</v>
      </c>
      <c r="H14" s="4"/>
      <c r="S14" s="13" t="s">
        <v>218</v>
      </c>
      <c r="T14" s="14">
        <f>F14/O3</f>
        <v>1.1622801758528363</v>
      </c>
    </row>
    <row r="15" spans="2:25" x14ac:dyDescent="0.3">
      <c r="B15" t="s">
        <v>219</v>
      </c>
      <c r="C15" s="4">
        <v>-40.570000000000022</v>
      </c>
      <c r="D15" s="4">
        <v>-33.5446666666667</v>
      </c>
      <c r="E15" s="4">
        <v>-18.494</v>
      </c>
      <c r="F15" s="4">
        <f t="shared" si="0"/>
        <v>-30.869555555555575</v>
      </c>
      <c r="G15" s="4">
        <f t="shared" si="1"/>
        <v>9.2088583654577985</v>
      </c>
      <c r="H15" s="4"/>
      <c r="S15" s="15" t="s">
        <v>219</v>
      </c>
      <c r="T15" s="16">
        <f>F15/O3</f>
        <v>0.72027849198998539</v>
      </c>
    </row>
    <row r="16" spans="2:25" x14ac:dyDescent="0.3">
      <c r="B16" t="s">
        <v>220</v>
      </c>
      <c r="C16" s="4">
        <v>-38.606333333333367</v>
      </c>
      <c r="D16" s="4">
        <v>-34.137666666666689</v>
      </c>
      <c r="E16" s="4">
        <v>-14.774666666666661</v>
      </c>
      <c r="F16" s="4">
        <f t="shared" si="0"/>
        <v>-29.172888888888906</v>
      </c>
      <c r="G16" s="4">
        <f t="shared" si="1"/>
        <v>10.343237656066744</v>
      </c>
      <c r="H16" s="4"/>
      <c r="S16" s="15" t="s">
        <v>220</v>
      </c>
      <c r="T16" s="16">
        <f>F16/O3</f>
        <v>0.68069021525315343</v>
      </c>
    </row>
    <row r="17" spans="2:20" x14ac:dyDescent="0.3">
      <c r="B17" t="s">
        <v>221</v>
      </c>
      <c r="C17" s="4">
        <v>-47.529333333333341</v>
      </c>
      <c r="D17" s="4">
        <v>-44.316000000000003</v>
      </c>
      <c r="E17" s="4">
        <v>-23.362333333333311</v>
      </c>
      <c r="F17" s="4">
        <f t="shared" si="0"/>
        <v>-38.402555555555551</v>
      </c>
      <c r="G17" s="4">
        <f t="shared" si="1"/>
        <v>10.715645606562051</v>
      </c>
      <c r="H17" s="4"/>
      <c r="S17" s="15" t="s">
        <v>221</v>
      </c>
      <c r="T17" s="16">
        <f>F17/O3</f>
        <v>0.89604577410701136</v>
      </c>
    </row>
    <row r="18" spans="2:20" x14ac:dyDescent="0.3">
      <c r="B18" t="s">
        <v>222</v>
      </c>
      <c r="C18" s="4">
        <v>-34.713333333333338</v>
      </c>
      <c r="D18" s="4">
        <v>-29.975999999999971</v>
      </c>
      <c r="E18" s="4">
        <v>-18.155000000000001</v>
      </c>
      <c r="F18" s="4">
        <f t="shared" si="0"/>
        <v>-27.614777777777771</v>
      </c>
      <c r="G18" s="4">
        <f t="shared" si="1"/>
        <v>6.9630514614155379</v>
      </c>
      <c r="H18" s="4"/>
      <c r="S18" s="15" t="s">
        <v>222</v>
      </c>
      <c r="T18" s="16">
        <f>F18/O3</f>
        <v>0.64433485148887026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74125-2F4C-4CCA-896C-11EE27C6BE64}">
  <dimension ref="B2:G18"/>
  <sheetViews>
    <sheetView tabSelected="1" workbookViewId="0">
      <selection activeCell="G20" sqref="G20"/>
    </sheetView>
  </sheetViews>
  <sheetFormatPr defaultRowHeight="14.4" x14ac:dyDescent="0.3"/>
  <cols>
    <col min="2" max="3" width="17.33203125" customWidth="1"/>
  </cols>
  <sheetData>
    <row r="2" spans="2:7" x14ac:dyDescent="0.3">
      <c r="B2" t="s">
        <v>232</v>
      </c>
      <c r="C2" t="s">
        <v>234</v>
      </c>
      <c r="D2" t="s">
        <v>233</v>
      </c>
    </row>
    <row r="3" spans="2:7" x14ac:dyDescent="0.3">
      <c r="B3" t="s">
        <v>224</v>
      </c>
      <c r="C3" t="s">
        <v>235</v>
      </c>
      <c r="D3" s="4">
        <v>0.9348277670150843</v>
      </c>
      <c r="G3" t="s">
        <v>231</v>
      </c>
    </row>
    <row r="4" spans="2:7" x14ac:dyDescent="0.3">
      <c r="B4" t="s">
        <v>224</v>
      </c>
      <c r="C4" t="s">
        <v>235</v>
      </c>
      <c r="D4" s="4">
        <v>1.0906972086635327</v>
      </c>
    </row>
    <row r="5" spans="2:7" x14ac:dyDescent="0.3">
      <c r="B5" t="s">
        <v>224</v>
      </c>
      <c r="C5" t="s">
        <v>235</v>
      </c>
      <c r="D5" s="4">
        <v>0.86699103819413159</v>
      </c>
    </row>
    <row r="6" spans="2:7" x14ac:dyDescent="0.3">
      <c r="B6" t="s">
        <v>224</v>
      </c>
      <c r="C6" t="s">
        <v>235</v>
      </c>
      <c r="D6" s="4">
        <v>1.1074839861272516</v>
      </c>
    </row>
    <row r="7" spans="2:7" x14ac:dyDescent="0.3">
      <c r="B7" t="s">
        <v>230</v>
      </c>
      <c r="C7" t="s">
        <v>236</v>
      </c>
      <c r="D7" s="4">
        <v>0.92791083693428078</v>
      </c>
    </row>
    <row r="8" spans="2:7" x14ac:dyDescent="0.3">
      <c r="B8" t="s">
        <v>230</v>
      </c>
      <c r="C8" t="s">
        <v>236</v>
      </c>
      <c r="D8" s="4">
        <v>0.52928514901667689</v>
      </c>
    </row>
    <row r="9" spans="2:7" x14ac:dyDescent="0.3">
      <c r="B9" t="s">
        <v>230</v>
      </c>
      <c r="C9" t="s">
        <v>236</v>
      </c>
      <c r="D9" s="4">
        <v>0.67272589396071369</v>
      </c>
    </row>
    <row r="10" spans="2:7" x14ac:dyDescent="0.3">
      <c r="B10" t="s">
        <v>230</v>
      </c>
      <c r="C10" t="s">
        <v>236</v>
      </c>
      <c r="D10" s="4">
        <v>0.69815624147293276</v>
      </c>
    </row>
    <row r="11" spans="2:7" x14ac:dyDescent="0.3">
      <c r="B11" t="s">
        <v>226</v>
      </c>
      <c r="C11" t="s">
        <v>237</v>
      </c>
      <c r="D11" s="4">
        <v>1.1270655351903354</v>
      </c>
    </row>
    <row r="12" spans="2:7" x14ac:dyDescent="0.3">
      <c r="B12" t="s">
        <v>226</v>
      </c>
      <c r="C12" t="s">
        <v>237</v>
      </c>
      <c r="D12" s="4">
        <v>1.0844906379688386</v>
      </c>
    </row>
    <row r="13" spans="2:7" x14ac:dyDescent="0.3">
      <c r="B13" t="s">
        <v>226</v>
      </c>
      <c r="C13" t="s">
        <v>237</v>
      </c>
      <c r="D13" s="4">
        <v>0.91412882782275473</v>
      </c>
    </row>
    <row r="14" spans="2:7" x14ac:dyDescent="0.3">
      <c r="B14" t="s">
        <v>226</v>
      </c>
      <c r="C14" t="s">
        <v>237</v>
      </c>
      <c r="D14" s="4">
        <v>1.1622801758528363</v>
      </c>
    </row>
    <row r="15" spans="2:7" x14ac:dyDescent="0.3">
      <c r="B15" t="s">
        <v>239</v>
      </c>
      <c r="C15" t="s">
        <v>238</v>
      </c>
      <c r="D15" s="4">
        <v>0.72027849198998539</v>
      </c>
    </row>
    <row r="16" spans="2:7" x14ac:dyDescent="0.3">
      <c r="B16" t="s">
        <v>239</v>
      </c>
      <c r="C16" t="s">
        <v>238</v>
      </c>
      <c r="D16" s="4">
        <v>0.68069021525315343</v>
      </c>
    </row>
    <row r="17" spans="2:4" x14ac:dyDescent="0.3">
      <c r="B17" t="s">
        <v>239</v>
      </c>
      <c r="C17" t="s">
        <v>238</v>
      </c>
      <c r="D17" s="4">
        <v>0.89604577410701136</v>
      </c>
    </row>
    <row r="18" spans="2:4" x14ac:dyDescent="0.3">
      <c r="B18" t="s">
        <v>239</v>
      </c>
      <c r="C18" t="s">
        <v>238</v>
      </c>
      <c r="D18" s="4">
        <v>0.64433485148887026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Inner Circle</vt:lpstr>
      <vt:lpstr>Three circles</vt:lpstr>
      <vt:lpstr>Normalization</vt:lpstr>
      <vt:lpstr>ESTADÍSTICA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Chavez Rodriguez, Luciana</cp:lastModifiedBy>
  <dcterms:created xsi:type="dcterms:W3CDTF">2025-07-06T18:33:21Z</dcterms:created>
  <dcterms:modified xsi:type="dcterms:W3CDTF">2025-07-08T10:54:58Z</dcterms:modified>
</cp:coreProperties>
</file>