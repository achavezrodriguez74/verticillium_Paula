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D1C8CB1C-E085-459C-911F-489FBB0B6CBA}" xr6:coauthVersionLast="47" xr6:coauthVersionMax="47" xr10:uidLastSave="{00000000-0000-0000-0000-000000000000}"/>
  <bookViews>
    <workbookView xWindow="-108" yWindow="-108" windowWidth="23256" windowHeight="12456" activeTab="3" xr2:uid="{4666BC1F-E1FD-498B-BFD1-D32BBF6EE224}"/>
  </bookViews>
  <sheets>
    <sheet name="LLM1" sheetId="1" r:id="rId1"/>
    <sheet name="AML1" sheetId="2" r:id="rId2"/>
    <sheet name="NML1" sheetId="3" r:id="rId3"/>
    <sheet name="Thesis" sheetId="7" r:id="rId4"/>
    <sheet name="MET1" sheetId="4" r:id="rId5"/>
    <sheet name="CTZ1" sheetId="5" r:id="rId6"/>
    <sheet name="YAL1" sheetId="6" r:id="rId7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6" l="1"/>
  <c r="L24" i="6"/>
  <c r="L25" i="6"/>
  <c r="L26" i="6"/>
  <c r="J22" i="6"/>
  <c r="K22" i="6"/>
  <c r="L22" i="6"/>
  <c r="J23" i="6"/>
  <c r="K23" i="6"/>
  <c r="J24" i="6"/>
  <c r="K24" i="6"/>
  <c r="I23" i="6"/>
  <c r="I24" i="6"/>
  <c r="J13" i="6"/>
  <c r="K13" i="6"/>
  <c r="L13" i="6"/>
  <c r="J14" i="6"/>
  <c r="K14" i="6"/>
  <c r="L14" i="6"/>
  <c r="J15" i="6"/>
  <c r="K15" i="6"/>
  <c r="L15" i="6"/>
  <c r="I14" i="6"/>
  <c r="I15" i="6"/>
  <c r="J4" i="6"/>
  <c r="K4" i="6"/>
  <c r="L4" i="6"/>
  <c r="J5" i="6"/>
  <c r="K5" i="6"/>
  <c r="L5" i="6"/>
  <c r="J6" i="6"/>
  <c r="K6" i="6"/>
  <c r="L6" i="6"/>
  <c r="I5" i="6"/>
  <c r="I6" i="6"/>
  <c r="J4" i="5"/>
  <c r="K4" i="5"/>
  <c r="L4" i="5"/>
  <c r="J5" i="5"/>
  <c r="K5" i="5"/>
  <c r="L5" i="5"/>
  <c r="J6" i="5"/>
  <c r="K6" i="5"/>
  <c r="L6" i="5"/>
  <c r="I5" i="5"/>
  <c r="I6" i="5"/>
  <c r="J13" i="3"/>
  <c r="K13" i="3"/>
  <c r="L13" i="3"/>
  <c r="J14" i="3"/>
  <c r="K14" i="3"/>
  <c r="L14" i="3"/>
  <c r="J15" i="3"/>
  <c r="K15" i="3"/>
  <c r="L15" i="3"/>
  <c r="I14" i="3"/>
  <c r="I15" i="3"/>
  <c r="J13" i="2"/>
  <c r="K13" i="2"/>
  <c r="L13" i="2"/>
  <c r="J14" i="2"/>
  <c r="K14" i="2"/>
  <c r="L14" i="2"/>
  <c r="J15" i="2"/>
  <c r="K15" i="2"/>
  <c r="L15" i="2"/>
  <c r="I14" i="2"/>
  <c r="I15" i="2"/>
  <c r="AA5" i="2" l="1"/>
  <c r="I4" i="5"/>
  <c r="I8" i="5" s="1"/>
  <c r="K8" i="6"/>
  <c r="I4" i="6"/>
  <c r="F8" i="5"/>
  <c r="D8" i="5"/>
  <c r="E8" i="5"/>
  <c r="C8" i="5"/>
  <c r="F7" i="5"/>
  <c r="D7" i="5"/>
  <c r="E7" i="5"/>
  <c r="C7" i="5"/>
  <c r="F8" i="6"/>
  <c r="D8" i="6"/>
  <c r="E8" i="6"/>
  <c r="C8" i="6"/>
  <c r="F7" i="6"/>
  <c r="D7" i="6"/>
  <c r="E7" i="6"/>
  <c r="C7" i="6"/>
  <c r="J22" i="5"/>
  <c r="K22" i="5"/>
  <c r="L22" i="5"/>
  <c r="J23" i="5"/>
  <c r="K23" i="5"/>
  <c r="L23" i="5"/>
  <c r="J24" i="5"/>
  <c r="K24" i="5"/>
  <c r="L24" i="5"/>
  <c r="I23" i="5"/>
  <c r="I24" i="5"/>
  <c r="I22" i="5"/>
  <c r="F26" i="5"/>
  <c r="E26" i="5"/>
  <c r="D26" i="5"/>
  <c r="C26" i="5"/>
  <c r="F25" i="5"/>
  <c r="E25" i="5"/>
  <c r="D25" i="5"/>
  <c r="C25" i="5"/>
  <c r="I22" i="6"/>
  <c r="I26" i="6" s="1"/>
  <c r="E26" i="6"/>
  <c r="D26" i="6"/>
  <c r="F26" i="6"/>
  <c r="E25" i="6"/>
  <c r="D25" i="6"/>
  <c r="F25" i="6"/>
  <c r="C26" i="6"/>
  <c r="C25" i="6"/>
  <c r="J13" i="5"/>
  <c r="K13" i="5"/>
  <c r="L13" i="5"/>
  <c r="J14" i="5"/>
  <c r="K14" i="5"/>
  <c r="L14" i="5"/>
  <c r="J15" i="5"/>
  <c r="K15" i="5"/>
  <c r="L15" i="5"/>
  <c r="I14" i="5"/>
  <c r="I15" i="5"/>
  <c r="I13" i="5"/>
  <c r="D17" i="5"/>
  <c r="E17" i="5"/>
  <c r="F17" i="5"/>
  <c r="C17" i="5"/>
  <c r="D16" i="5"/>
  <c r="E16" i="5"/>
  <c r="F16" i="5"/>
  <c r="C16" i="5"/>
  <c r="I13" i="6"/>
  <c r="E17" i="6"/>
  <c r="D17" i="6"/>
  <c r="F17" i="6"/>
  <c r="C17" i="6"/>
  <c r="E16" i="6"/>
  <c r="D16" i="6"/>
  <c r="F16" i="6"/>
  <c r="C16" i="6"/>
  <c r="Q26" i="3"/>
  <c r="O26" i="3"/>
  <c r="Q25" i="3"/>
  <c r="O25" i="3"/>
  <c r="Q17" i="3"/>
  <c r="P17" i="3"/>
  <c r="O17" i="3"/>
  <c r="Q16" i="3"/>
  <c r="P16" i="3"/>
  <c r="O16" i="3"/>
  <c r="Q8" i="3"/>
  <c r="P8" i="3"/>
  <c r="O8" i="3"/>
  <c r="Q7" i="3"/>
  <c r="P7" i="3"/>
  <c r="O7" i="3"/>
  <c r="J22" i="3"/>
  <c r="K22" i="3"/>
  <c r="L22" i="3"/>
  <c r="J23" i="3"/>
  <c r="K23" i="3"/>
  <c r="L23" i="3"/>
  <c r="J24" i="3"/>
  <c r="K24" i="3"/>
  <c r="K26" i="3" s="1"/>
  <c r="L24" i="3"/>
  <c r="I23" i="3"/>
  <c r="I24" i="3"/>
  <c r="I22" i="3"/>
  <c r="I25" i="3" s="1"/>
  <c r="L26" i="3"/>
  <c r="I26" i="3"/>
  <c r="L25" i="3"/>
  <c r="K25" i="3"/>
  <c r="D26" i="3"/>
  <c r="E26" i="3"/>
  <c r="F26" i="3"/>
  <c r="C26" i="3"/>
  <c r="D25" i="3"/>
  <c r="E25" i="3"/>
  <c r="F25" i="3"/>
  <c r="C25" i="3"/>
  <c r="K16" i="3"/>
  <c r="I13" i="3"/>
  <c r="E17" i="3"/>
  <c r="D17" i="3"/>
  <c r="F17" i="3"/>
  <c r="C17" i="3"/>
  <c r="E16" i="3"/>
  <c r="D16" i="3"/>
  <c r="F16" i="3"/>
  <c r="C16" i="3"/>
  <c r="J4" i="3"/>
  <c r="K4" i="3"/>
  <c r="L4" i="3"/>
  <c r="J5" i="3"/>
  <c r="K5" i="3"/>
  <c r="L5" i="3"/>
  <c r="J6" i="3"/>
  <c r="K6" i="3"/>
  <c r="L6" i="3"/>
  <c r="I5" i="3"/>
  <c r="I6" i="3"/>
  <c r="I4" i="3"/>
  <c r="D8" i="3"/>
  <c r="E8" i="3"/>
  <c r="F8" i="3"/>
  <c r="C8" i="3"/>
  <c r="D7" i="3"/>
  <c r="E7" i="3"/>
  <c r="F7" i="3"/>
  <c r="C7" i="3"/>
  <c r="Q17" i="2"/>
  <c r="P17" i="2"/>
  <c r="O17" i="2"/>
  <c r="Q16" i="2"/>
  <c r="P16" i="2"/>
  <c r="O16" i="2"/>
  <c r="V15" i="2"/>
  <c r="U15" i="2"/>
  <c r="T15" i="2"/>
  <c r="V14" i="2"/>
  <c r="U14" i="2"/>
  <c r="T14" i="2"/>
  <c r="V13" i="2"/>
  <c r="V17" i="2" s="1"/>
  <c r="U13" i="2"/>
  <c r="U17" i="2" s="1"/>
  <c r="T13" i="2"/>
  <c r="T16" i="2" s="1"/>
  <c r="Q8" i="2"/>
  <c r="P8" i="2"/>
  <c r="O8" i="2"/>
  <c r="Q7" i="2"/>
  <c r="P7" i="2"/>
  <c r="O7" i="2"/>
  <c r="V6" i="2"/>
  <c r="U6" i="2"/>
  <c r="AA6" i="2" s="1"/>
  <c r="T6" i="2"/>
  <c r="V5" i="2"/>
  <c r="U5" i="2"/>
  <c r="T5" i="2"/>
  <c r="V4" i="2"/>
  <c r="U4" i="2"/>
  <c r="T4" i="2"/>
  <c r="Q26" i="2"/>
  <c r="O26" i="2"/>
  <c r="Q25" i="2"/>
  <c r="O25" i="2"/>
  <c r="V24" i="2"/>
  <c r="U24" i="2"/>
  <c r="T24" i="2"/>
  <c r="V23" i="2"/>
  <c r="U23" i="2"/>
  <c r="T23" i="2"/>
  <c r="V22" i="2"/>
  <c r="U22" i="2"/>
  <c r="T22" i="2"/>
  <c r="J22" i="2"/>
  <c r="K22" i="2"/>
  <c r="L22" i="2"/>
  <c r="J23" i="2"/>
  <c r="K23" i="2"/>
  <c r="L23" i="2"/>
  <c r="J24" i="2"/>
  <c r="K24" i="2"/>
  <c r="L24" i="2"/>
  <c r="I23" i="2"/>
  <c r="I24" i="2"/>
  <c r="I22" i="2"/>
  <c r="D26" i="2"/>
  <c r="E26" i="2"/>
  <c r="F26" i="2"/>
  <c r="C26" i="2"/>
  <c r="D25" i="2"/>
  <c r="E25" i="2"/>
  <c r="F25" i="2"/>
  <c r="C25" i="2"/>
  <c r="I13" i="2"/>
  <c r="I16" i="2" s="1"/>
  <c r="I17" i="2"/>
  <c r="K16" i="2"/>
  <c r="E17" i="2"/>
  <c r="D17" i="2"/>
  <c r="F17" i="2"/>
  <c r="C17" i="2"/>
  <c r="E16" i="2"/>
  <c r="D16" i="2"/>
  <c r="F16" i="2"/>
  <c r="C16" i="2"/>
  <c r="J4" i="2"/>
  <c r="K4" i="2"/>
  <c r="L4" i="2"/>
  <c r="J5" i="2"/>
  <c r="K5" i="2"/>
  <c r="L5" i="2"/>
  <c r="J6" i="2"/>
  <c r="K6" i="2"/>
  <c r="L6" i="2"/>
  <c r="I5" i="2"/>
  <c r="I6" i="2"/>
  <c r="I4" i="2"/>
  <c r="D8" i="2"/>
  <c r="E8" i="2"/>
  <c r="F8" i="2"/>
  <c r="C8" i="2"/>
  <c r="D7" i="2"/>
  <c r="E7" i="2"/>
  <c r="F7" i="2"/>
  <c r="C7" i="2"/>
  <c r="I25" i="6" l="1"/>
  <c r="I7" i="6"/>
  <c r="L8" i="6"/>
  <c r="J8" i="6"/>
  <c r="K7" i="6"/>
  <c r="L7" i="6"/>
  <c r="J7" i="6"/>
  <c r="K25" i="6"/>
  <c r="J25" i="6"/>
  <c r="I8" i="6"/>
  <c r="L7" i="5"/>
  <c r="J7" i="5"/>
  <c r="J8" i="5"/>
  <c r="L8" i="5"/>
  <c r="K7" i="5"/>
  <c r="K8" i="5"/>
  <c r="L7" i="3"/>
  <c r="K8" i="3"/>
  <c r="J8" i="3"/>
  <c r="I16" i="3"/>
  <c r="J25" i="3"/>
  <c r="L17" i="3"/>
  <c r="J17" i="3"/>
  <c r="J26" i="3"/>
  <c r="K7" i="3"/>
  <c r="L8" i="3"/>
  <c r="I8" i="3"/>
  <c r="J7" i="3"/>
  <c r="J16" i="3"/>
  <c r="L16" i="3"/>
  <c r="I17" i="3"/>
  <c r="T8" i="2"/>
  <c r="U8" i="2"/>
  <c r="V8" i="2"/>
  <c r="I26" i="2"/>
  <c r="I25" i="2"/>
  <c r="L8" i="2"/>
  <c r="J16" i="2"/>
  <c r="AA4" i="2"/>
  <c r="AA8" i="2" s="1"/>
  <c r="AA7" i="2"/>
  <c r="I7" i="5"/>
  <c r="I26" i="5"/>
  <c r="I25" i="5"/>
  <c r="I17" i="5"/>
  <c r="K16" i="5"/>
  <c r="L26" i="5"/>
  <c r="K26" i="5"/>
  <c r="J25" i="5"/>
  <c r="K26" i="6"/>
  <c r="J26" i="6"/>
  <c r="J26" i="5"/>
  <c r="K25" i="5"/>
  <c r="L25" i="5"/>
  <c r="J17" i="5"/>
  <c r="I16" i="5"/>
  <c r="L16" i="5"/>
  <c r="I16" i="6"/>
  <c r="K17" i="6"/>
  <c r="J17" i="6"/>
  <c r="I17" i="6"/>
  <c r="L16" i="6"/>
  <c r="J16" i="5"/>
  <c r="L17" i="5"/>
  <c r="K17" i="5"/>
  <c r="L17" i="6"/>
  <c r="J16" i="6"/>
  <c r="K16" i="6"/>
  <c r="K17" i="3"/>
  <c r="I7" i="3"/>
  <c r="K7" i="2"/>
  <c r="J7" i="2"/>
  <c r="T7" i="2"/>
  <c r="J8" i="2"/>
  <c r="J26" i="2"/>
  <c r="T26" i="2"/>
  <c r="L7" i="2"/>
  <c r="K26" i="2"/>
  <c r="I7" i="2"/>
  <c r="V26" i="2"/>
  <c r="T17" i="2"/>
  <c r="L25" i="2"/>
  <c r="K8" i="2"/>
  <c r="U16" i="2"/>
  <c r="V16" i="2"/>
  <c r="V7" i="2"/>
  <c r="U7" i="2"/>
  <c r="J25" i="2"/>
  <c r="K25" i="2"/>
  <c r="L26" i="2"/>
  <c r="L17" i="2"/>
  <c r="K17" i="2"/>
  <c r="J17" i="2"/>
  <c r="T25" i="2"/>
  <c r="V25" i="2"/>
  <c r="L16" i="2"/>
  <c r="I8" i="2"/>
  <c r="J22" i="4"/>
  <c r="J25" i="4" s="1"/>
  <c r="K22" i="4"/>
  <c r="L22" i="4"/>
  <c r="J23" i="4"/>
  <c r="K23" i="4"/>
  <c r="L23" i="4"/>
  <c r="J24" i="4"/>
  <c r="K24" i="4"/>
  <c r="L24" i="4"/>
  <c r="I23" i="4"/>
  <c r="I24" i="4"/>
  <c r="I22" i="4"/>
  <c r="I25" i="4" s="1"/>
  <c r="J13" i="4"/>
  <c r="K13" i="4"/>
  <c r="K17" i="4" s="1"/>
  <c r="L13" i="4"/>
  <c r="L17" i="4" s="1"/>
  <c r="J14" i="4"/>
  <c r="J17" i="4" s="1"/>
  <c r="K14" i="4"/>
  <c r="K16" i="4" s="1"/>
  <c r="L14" i="4"/>
  <c r="J15" i="4"/>
  <c r="J16" i="4" s="1"/>
  <c r="K15" i="4"/>
  <c r="L15" i="4"/>
  <c r="L16" i="4" s="1"/>
  <c r="I14" i="4"/>
  <c r="I15" i="4"/>
  <c r="I13" i="4"/>
  <c r="J4" i="4"/>
  <c r="K4" i="4"/>
  <c r="L4" i="4"/>
  <c r="J5" i="4"/>
  <c r="K5" i="4"/>
  <c r="L5" i="4"/>
  <c r="J6" i="4"/>
  <c r="K6" i="4"/>
  <c r="L6" i="4"/>
  <c r="I5" i="4"/>
  <c r="I6" i="4"/>
  <c r="I4" i="4"/>
  <c r="I7" i="4" s="1"/>
  <c r="L26" i="4"/>
  <c r="K26" i="4"/>
  <c r="J26" i="4"/>
  <c r="L25" i="4"/>
  <c r="K25" i="4"/>
  <c r="I17" i="4"/>
  <c r="I16" i="4"/>
  <c r="L8" i="4"/>
  <c r="K8" i="4"/>
  <c r="J8" i="4"/>
  <c r="L7" i="4"/>
  <c r="K7" i="4"/>
  <c r="J7" i="4"/>
  <c r="F26" i="4"/>
  <c r="E26" i="4"/>
  <c r="D26" i="4"/>
  <c r="C26" i="4"/>
  <c r="F25" i="4"/>
  <c r="E25" i="4"/>
  <c r="D25" i="4"/>
  <c r="C25" i="4"/>
  <c r="F17" i="4"/>
  <c r="E17" i="4"/>
  <c r="D17" i="4"/>
  <c r="C17" i="4"/>
  <c r="F16" i="4"/>
  <c r="E16" i="4"/>
  <c r="D16" i="4"/>
  <c r="C16" i="4"/>
  <c r="F8" i="4"/>
  <c r="E8" i="4"/>
  <c r="D8" i="4"/>
  <c r="C8" i="4"/>
  <c r="F7" i="4"/>
  <c r="E7" i="4"/>
  <c r="D7" i="4"/>
  <c r="C7" i="4"/>
  <c r="Q17" i="1"/>
  <c r="P17" i="1"/>
  <c r="O17" i="1"/>
  <c r="Q16" i="1"/>
  <c r="P16" i="1"/>
  <c r="O16" i="1"/>
  <c r="V15" i="1"/>
  <c r="U15" i="1"/>
  <c r="T15" i="1"/>
  <c r="V14" i="1"/>
  <c r="U14" i="1"/>
  <c r="T14" i="1"/>
  <c r="V13" i="1"/>
  <c r="U13" i="1"/>
  <c r="T13" i="1"/>
  <c r="Q8" i="1"/>
  <c r="P8" i="1"/>
  <c r="O8" i="1"/>
  <c r="Q7" i="1"/>
  <c r="P7" i="1"/>
  <c r="O7" i="1"/>
  <c r="V6" i="1"/>
  <c r="U6" i="1"/>
  <c r="T6" i="1"/>
  <c r="V5" i="1"/>
  <c r="U5" i="1"/>
  <c r="T5" i="1"/>
  <c r="V4" i="1"/>
  <c r="V7" i="1" s="1"/>
  <c r="U4" i="1"/>
  <c r="T4" i="1"/>
  <c r="Q26" i="1"/>
  <c r="O26" i="1"/>
  <c r="Q25" i="1"/>
  <c r="O25" i="1"/>
  <c r="V24" i="1"/>
  <c r="U24" i="1"/>
  <c r="T24" i="1"/>
  <c r="V23" i="1"/>
  <c r="U23" i="1"/>
  <c r="T23" i="1"/>
  <c r="V22" i="1"/>
  <c r="U22" i="1"/>
  <c r="T22" i="1"/>
  <c r="F26" i="1"/>
  <c r="E26" i="1"/>
  <c r="D26" i="1"/>
  <c r="C26" i="1"/>
  <c r="F25" i="1"/>
  <c r="E25" i="1"/>
  <c r="D25" i="1"/>
  <c r="C25" i="1"/>
  <c r="L24" i="1"/>
  <c r="K24" i="1"/>
  <c r="J24" i="1"/>
  <c r="I24" i="1"/>
  <c r="L23" i="1"/>
  <c r="K23" i="1"/>
  <c r="J23" i="1"/>
  <c r="I23" i="1"/>
  <c r="L22" i="1"/>
  <c r="K22" i="1"/>
  <c r="J22" i="1"/>
  <c r="I22" i="1"/>
  <c r="F17" i="1"/>
  <c r="E17" i="1"/>
  <c r="D17" i="1"/>
  <c r="C17" i="1"/>
  <c r="F16" i="1"/>
  <c r="E16" i="1"/>
  <c r="D16" i="1"/>
  <c r="C16" i="1"/>
  <c r="L15" i="1"/>
  <c r="K15" i="1"/>
  <c r="J15" i="1"/>
  <c r="I15" i="1"/>
  <c r="L14" i="1"/>
  <c r="K14" i="1"/>
  <c r="J14" i="1"/>
  <c r="I14" i="1"/>
  <c r="L13" i="1"/>
  <c r="K13" i="1"/>
  <c r="J13" i="1"/>
  <c r="I13" i="1"/>
  <c r="F8" i="1"/>
  <c r="E8" i="1"/>
  <c r="D8" i="1"/>
  <c r="C8" i="1"/>
  <c r="F7" i="1"/>
  <c r="E7" i="1"/>
  <c r="D7" i="1"/>
  <c r="C7" i="1"/>
  <c r="L6" i="1"/>
  <c r="K6" i="1"/>
  <c r="J6" i="1"/>
  <c r="I6" i="1"/>
  <c r="L5" i="1"/>
  <c r="K5" i="1"/>
  <c r="J5" i="1"/>
  <c r="I5" i="1"/>
  <c r="L4" i="1"/>
  <c r="K4" i="1"/>
  <c r="J4" i="1"/>
  <c r="I4" i="1"/>
  <c r="I16" i="1" l="1"/>
  <c r="I17" i="1"/>
  <c r="U8" i="1"/>
  <c r="T25" i="1"/>
  <c r="L7" i="1"/>
  <c r="U17" i="1"/>
  <c r="V17" i="1"/>
  <c r="T17" i="1"/>
  <c r="V8" i="1"/>
  <c r="T8" i="1"/>
  <c r="I26" i="4"/>
  <c r="I8" i="4"/>
  <c r="U16" i="1"/>
  <c r="T16" i="1"/>
  <c r="V16" i="1"/>
  <c r="T7" i="1"/>
  <c r="U7" i="1"/>
  <c r="J8" i="1"/>
  <c r="I26" i="1"/>
  <c r="K8" i="1"/>
  <c r="K17" i="1"/>
  <c r="L17" i="1"/>
  <c r="L26" i="1"/>
  <c r="I7" i="1"/>
  <c r="J17" i="1"/>
  <c r="L8" i="1"/>
  <c r="J25" i="1"/>
  <c r="V26" i="1"/>
  <c r="K26" i="1"/>
  <c r="I25" i="1"/>
  <c r="J16" i="1"/>
  <c r="K16" i="1"/>
  <c r="L16" i="1"/>
  <c r="J7" i="1"/>
  <c r="K7" i="1"/>
  <c r="V25" i="1"/>
  <c r="T26" i="1"/>
  <c r="J26" i="1"/>
  <c r="L25" i="1"/>
  <c r="I8" i="1"/>
  <c r="K25" i="1"/>
</calcChain>
</file>

<file path=xl/sharedStrings.xml><?xml version="1.0" encoding="utf-8"?>
<sst xmlns="http://schemas.openxmlformats.org/spreadsheetml/2006/main" count="995" uniqueCount="36">
  <si>
    <t>SXM</t>
  </si>
  <si>
    <t>SXM-Log2</t>
  </si>
  <si>
    <t>WT</t>
  </si>
  <si>
    <t>ΔVel1</t>
  </si>
  <si>
    <t>ΔVel2</t>
  </si>
  <si>
    <r>
      <t>ΔVel2</t>
    </r>
    <r>
      <rPr>
        <b/>
        <vertAlign val="superscript"/>
        <sz val="10"/>
        <color theme="1"/>
        <rFont val="Calibri"/>
        <family val="2"/>
      </rPr>
      <t>IDD</t>
    </r>
  </si>
  <si>
    <t>LLM1</t>
  </si>
  <si>
    <t>AVERAGE</t>
  </si>
  <si>
    <t>SD</t>
  </si>
  <si>
    <t>PDM</t>
  </si>
  <si>
    <t>PDM-Log2</t>
  </si>
  <si>
    <t>PLATE</t>
  </si>
  <si>
    <t>H2B-RFP</t>
  </si>
  <si>
    <t>oeVel1-H2B</t>
  </si>
  <si>
    <t>oeVel2-H2B</t>
  </si>
  <si>
    <t>PLATE-Log2</t>
  </si>
  <si>
    <t>MET1</t>
  </si>
  <si>
    <r>
      <t>VEL2</t>
    </r>
    <r>
      <rPr>
        <b/>
        <vertAlign val="superscript"/>
        <sz val="11"/>
        <color theme="1"/>
        <rFont val="Calibri"/>
        <family val="2"/>
      </rPr>
      <t>ΔIDD</t>
    </r>
  </si>
  <si>
    <t>AML1</t>
  </si>
  <si>
    <t>NML1</t>
  </si>
  <si>
    <t>YAL1</t>
  </si>
  <si>
    <t>CTZ1</t>
  </si>
  <si>
    <r>
      <t>Vel2</t>
    </r>
    <r>
      <rPr>
        <b/>
        <vertAlign val="superscript"/>
        <sz val="10"/>
        <color theme="1"/>
        <rFont val="Calibri"/>
        <family val="2"/>
      </rPr>
      <t>IDD</t>
    </r>
  </si>
  <si>
    <t>ΔVel2IDD</t>
  </si>
  <si>
    <t>SXM este</t>
  </si>
  <si>
    <t>PDM este</t>
  </si>
  <si>
    <t>PLATE este</t>
  </si>
  <si>
    <t>Stage</t>
  </si>
  <si>
    <t>Gen</t>
  </si>
  <si>
    <t xml:space="preserve">PLATE </t>
  </si>
  <si>
    <t>oeVel1</t>
  </si>
  <si>
    <t>oeVel2</t>
  </si>
  <si>
    <t>ΔVel2_IDD</t>
  </si>
  <si>
    <t>Treatment</t>
  </si>
  <si>
    <t>Expression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</si>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</sst>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#0.00000;\-###0.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sz val="11"/>
      <color theme="8" tint="-0.249977111117893"/>
      <name val="Aptos Narrow"/>
      <family val="2"/>
      <scheme val="minor"/>
    </font>
    <font>
      <b/>
      <vertAlign val="superscript"/>
      <sz val="11"/>
      <color theme="1"/>
      <name val="Calibri"/>
      <family val="2"/>
    </font>
    <font>
      <sz val="8.25"/>
      <name val="Microsoft Sans Serif"/>
      <family val="2"/>
    </font>
    <font>
      <b/>
      <sz val="11"/>
      <color theme="4" tint="-0.499984740745262"/>
      <name val="Aptos Narrow"/>
      <family val="2"/>
      <scheme val="minor"/>
    </font>
    <font>
      <sz val="12"/>
      <name val="Microsoft Sans Serif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0" fontId="0" fillId="3" borderId="0" xfId="0" applyFill="1" applyAlignment="1">
      <alignment vertic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/>
    </xf>
    <xf numFmtId="0" fontId="0" fillId="7" borderId="0" xfId="0" applyFill="1"/>
    <xf numFmtId="1" fontId="0" fillId="0" borderId="0" xfId="0" applyNumberFormat="1"/>
    <xf numFmtId="0" fontId="1" fillId="7" borderId="0" xfId="0" applyFont="1" applyFill="1"/>
    <xf numFmtId="0" fontId="0" fillId="3" borderId="0" xfId="0" applyFill="1"/>
    <xf numFmtId="0" fontId="1" fillId="7" borderId="0" xfId="0" applyFont="1" applyFill="1" applyAlignment="1">
      <alignment vertical="center"/>
    </xf>
    <xf numFmtId="165" fontId="6" fillId="0" borderId="0" xfId="0" applyNumberFormat="1" applyFont="1" applyAlignment="1">
      <alignment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0" fillId="10" borderId="0" xfId="0" applyFill="1"/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 - LLM1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'LLM1'!$Z$8:$AE$8</c15:sqref>
                    </c15:fullRef>
                  </c:ext>
                </c:extLst>
                <c:f>'LLM1'!$AA$8:$AE$8</c:f>
                <c:numCache>
                  <c:formatCode>General</c:formatCode>
                  <c:ptCount val="5"/>
                  <c:pt idx="0">
                    <c:v>0.2782290327957897</c:v>
                  </c:pt>
                  <c:pt idx="1">
                    <c:v>6.6717225294940674E-2</c:v>
                  </c:pt>
                  <c:pt idx="2">
                    <c:v>0.52213220077926603</c:v>
                  </c:pt>
                  <c:pt idx="3">
                    <c:v>0.23488234007689274</c:v>
                  </c:pt>
                  <c:pt idx="4">
                    <c:v>0.39147018076291629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'LLM1'!$Z$8:$AE$8</c15:sqref>
                    </c15:fullRef>
                  </c:ext>
                </c:extLst>
                <c:f>'LLM1'!$AA$8:$AE$8</c:f>
                <c:numCache>
                  <c:formatCode>General</c:formatCode>
                  <c:ptCount val="5"/>
                  <c:pt idx="0">
                    <c:v>0.2782290327957897</c:v>
                  </c:pt>
                  <c:pt idx="1">
                    <c:v>6.6717225294940674E-2</c:v>
                  </c:pt>
                  <c:pt idx="2">
                    <c:v>0.52213220077926603</c:v>
                  </c:pt>
                  <c:pt idx="3">
                    <c:v>0.23488234007689274</c:v>
                  </c:pt>
                  <c:pt idx="4">
                    <c:v>0.39147018076291629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'LLM1'!$Z$3:$AE$3</c15:sqref>
                  </c15:fullRef>
                </c:ext>
              </c:extLst>
              <c:f>'LLM1'!$AA$3:$AE$3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'LLM1'!$Z$7:$AE$7</c15:sqref>
                  </c15:fullRef>
                </c:ext>
              </c:extLst>
              <c:f>'LLM1'!$AA$7:$AE$7</c:f>
              <c:numCache>
                <c:formatCode>0.000</c:formatCode>
                <c:ptCount val="5"/>
                <c:pt idx="0">
                  <c:v>3.7173030513852541</c:v>
                </c:pt>
                <c:pt idx="1">
                  <c:v>0.22065220318347714</c:v>
                </c:pt>
                <c:pt idx="2">
                  <c:v>1.6751259289431488</c:v>
                </c:pt>
                <c:pt idx="3">
                  <c:v>-0.26878375557917583</c:v>
                </c:pt>
                <c:pt idx="4">
                  <c:v>-0.48635824855699644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6-4DC6-A2D2-E0780FFC5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567263"/>
        <c:axId val="886573023"/>
      </c:barChart>
      <c:catAx>
        <c:axId val="8865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86573023"/>
        <c:crosses val="autoZero"/>
        <c:auto val="1"/>
        <c:lblAlgn val="ctr"/>
        <c:lblOffset val="100"/>
        <c:noMultiLvlLbl val="0"/>
      </c:catAx>
      <c:valAx>
        <c:axId val="8865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8656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PDM - LLM1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'LLM1'!$Z$31:$AE$31</c15:sqref>
                    </c15:fullRef>
                  </c:ext>
                </c:extLst>
                <c:f>'LLM1'!$AA$31:$AE$31</c:f>
                <c:numCache>
                  <c:formatCode>General</c:formatCode>
                  <c:ptCount val="5"/>
                  <c:pt idx="0">
                    <c:v>0.30439827548891635</c:v>
                  </c:pt>
                  <c:pt idx="1">
                    <c:v>0.35558128113790916</c:v>
                  </c:pt>
                  <c:pt idx="2">
                    <c:v>0.36228676826679596</c:v>
                  </c:pt>
                  <c:pt idx="3">
                    <c:v>0.49518285499652337</c:v>
                  </c:pt>
                  <c:pt idx="4">
                    <c:v>0.19834822313278122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'LLM1'!$Z$31:$AE$31</c15:sqref>
                    </c15:fullRef>
                  </c:ext>
                </c:extLst>
                <c:f>'LLM1'!$AA$31:$AE$31</c:f>
                <c:numCache>
                  <c:formatCode>General</c:formatCode>
                  <c:ptCount val="5"/>
                  <c:pt idx="0">
                    <c:v>0.30439827548891635</c:v>
                  </c:pt>
                  <c:pt idx="1">
                    <c:v>0.35558128113790916</c:v>
                  </c:pt>
                  <c:pt idx="2">
                    <c:v>0.36228676826679596</c:v>
                  </c:pt>
                  <c:pt idx="3">
                    <c:v>0.49518285499652337</c:v>
                  </c:pt>
                  <c:pt idx="4">
                    <c:v>0.19834822313278122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'LLM1'!$Z$26:$AE$26</c15:sqref>
                  </c15:fullRef>
                </c:ext>
              </c:extLst>
              <c:f>'LLM1'!$AA$26:$AE$26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'LLM1'!$Z$30:$AE$30</c15:sqref>
                  </c15:fullRef>
                </c:ext>
              </c:extLst>
              <c:f>'LLM1'!$AA$30:$AE$30</c:f>
              <c:numCache>
                <c:formatCode>0.000</c:formatCode>
                <c:ptCount val="5"/>
                <c:pt idx="0">
                  <c:v>1.8683637863515827</c:v>
                </c:pt>
                <c:pt idx="1">
                  <c:v>-0.65961081117283926</c:v>
                </c:pt>
                <c:pt idx="2">
                  <c:v>0.86952907739331586</c:v>
                </c:pt>
                <c:pt idx="3">
                  <c:v>-3.7818149722442719E-2</c:v>
                </c:pt>
                <c:pt idx="4">
                  <c:v>2.1802310149783788E-2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E-4148-967A-593476281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319615"/>
        <c:axId val="1016318175"/>
      </c:barChart>
      <c:catAx>
        <c:axId val="10163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16318175"/>
        <c:crosses val="autoZero"/>
        <c:auto val="1"/>
        <c:lblAlgn val="ctr"/>
        <c:lblOffset val="100"/>
        <c:noMultiLvlLbl val="0"/>
      </c:catAx>
      <c:valAx>
        <c:axId val="10163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1631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</a:t>
            </a:r>
            <a:r>
              <a:rPr lang="en-DE" b="1" baseline="0"/>
              <a:t> - LLM1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'LLM1'!$AI$8:$AN$8</c15:sqref>
                    </c15:fullRef>
                  </c:ext>
                </c:extLst>
                <c:f>'LLM1'!$AJ$8:$AN$8</c:f>
                <c:numCache>
                  <c:formatCode>General</c:formatCode>
                  <c:ptCount val="5"/>
                  <c:pt idx="0">
                    <c:v>0.40243882485861643</c:v>
                  </c:pt>
                  <c:pt idx="1">
                    <c:v>8.049445097899266E-2</c:v>
                  </c:pt>
                  <c:pt idx="2">
                    <c:v>0.1234683498166286</c:v>
                  </c:pt>
                  <c:pt idx="3">
                    <c:v>0.31831068216682373</c:v>
                  </c:pt>
                  <c:pt idx="4">
                    <c:v>0.24272943587733142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'LLM1'!$AI$8:$AN$8</c15:sqref>
                    </c15:fullRef>
                  </c:ext>
                </c:extLst>
                <c:f>'LLM1'!$AJ$8:$AN$8</c:f>
                <c:numCache>
                  <c:formatCode>General</c:formatCode>
                  <c:ptCount val="5"/>
                  <c:pt idx="0">
                    <c:v>0.40243882485861643</c:v>
                  </c:pt>
                  <c:pt idx="1">
                    <c:v>8.049445097899266E-2</c:v>
                  </c:pt>
                  <c:pt idx="2">
                    <c:v>0.1234683498166286</c:v>
                  </c:pt>
                  <c:pt idx="3">
                    <c:v>0.31831068216682373</c:v>
                  </c:pt>
                  <c:pt idx="4">
                    <c:v>0.24272943587733142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'LLM1'!$AI$3:$AN$3</c15:sqref>
                  </c15:fullRef>
                </c:ext>
              </c:extLst>
              <c:f>'LLM1'!$AJ$3:$AN$3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'LLM1'!$AI$7:$AN$7</c15:sqref>
                  </c15:fullRef>
                </c:ext>
              </c:extLst>
              <c:f>'LLM1'!$AJ$7:$AN$7</c:f>
              <c:numCache>
                <c:formatCode>0.000</c:formatCode>
                <c:ptCount val="5"/>
                <c:pt idx="0">
                  <c:v>4.1885606796681278</c:v>
                </c:pt>
                <c:pt idx="1">
                  <c:v>1.0174992249506654</c:v>
                </c:pt>
                <c:pt idx="2">
                  <c:v>2.5859329623807601</c:v>
                </c:pt>
                <c:pt idx="3">
                  <c:v>-0.37609862557092383</c:v>
                </c:pt>
                <c:pt idx="4">
                  <c:v>-0.15670948138897384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4-4C34-BC76-FBB5ACEF2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875136"/>
        <c:axId val="687876576"/>
      </c:barChart>
      <c:catAx>
        <c:axId val="6878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7876576"/>
        <c:crosses val="autoZero"/>
        <c:auto val="1"/>
        <c:lblAlgn val="ctr"/>
        <c:lblOffset val="100"/>
        <c:noMultiLvlLbl val="0"/>
      </c:catAx>
      <c:valAx>
        <c:axId val="6878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787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</a:t>
            </a:r>
            <a:r>
              <a:rPr lang="en-DE" b="1" baseline="0"/>
              <a:t> - AML1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'AML1'!$Z$8:$AE$8</c15:sqref>
                    </c15:fullRef>
                  </c:ext>
                </c:extLst>
                <c:f>'AML1'!$AA$8:$AE$8</c:f>
                <c:numCache>
                  <c:formatCode>General</c:formatCode>
                  <c:ptCount val="5"/>
                  <c:pt idx="0">
                    <c:v>0.66393571986688249</c:v>
                  </c:pt>
                  <c:pt idx="1">
                    <c:v>0.94295103974360472</c:v>
                  </c:pt>
                  <c:pt idx="2">
                    <c:v>0.68671129908041462</c:v>
                  </c:pt>
                  <c:pt idx="3">
                    <c:v>0.8063104197766312</c:v>
                  </c:pt>
                  <c:pt idx="4">
                    <c:v>1.4123969651402175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'AML1'!$Z$8:$AE$8</c15:sqref>
                    </c15:fullRef>
                  </c:ext>
                </c:extLst>
                <c:f>'AML1'!$AA$8:$AE$8</c:f>
                <c:numCache>
                  <c:formatCode>General</c:formatCode>
                  <c:ptCount val="5"/>
                  <c:pt idx="0">
                    <c:v>0.66393571986688249</c:v>
                  </c:pt>
                  <c:pt idx="1">
                    <c:v>0.94295103974360472</c:v>
                  </c:pt>
                  <c:pt idx="2">
                    <c:v>0.68671129908041462</c:v>
                  </c:pt>
                  <c:pt idx="3">
                    <c:v>0.8063104197766312</c:v>
                  </c:pt>
                  <c:pt idx="4">
                    <c:v>1.4123969651402175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'AML1'!$Z$3:$AE$3</c15:sqref>
                  </c15:fullRef>
                </c:ext>
              </c:extLst>
              <c:f>'AML1'!$AA$3:$AE$3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'AML1'!$Z$7:$AE$7</c15:sqref>
                  </c15:fullRef>
                </c:ext>
              </c:extLst>
              <c:f>'AML1'!$AA$7:$AE$7</c:f>
              <c:numCache>
                <c:formatCode>0.000</c:formatCode>
                <c:ptCount val="5"/>
                <c:pt idx="0">
                  <c:v>0.94602531118439925</c:v>
                </c:pt>
                <c:pt idx="1">
                  <c:v>2.0667225889296481</c:v>
                </c:pt>
                <c:pt idx="2">
                  <c:v>-1.2243101422491331</c:v>
                </c:pt>
                <c:pt idx="3">
                  <c:v>0.98159086241380622</c:v>
                </c:pt>
                <c:pt idx="4">
                  <c:v>-1.2752903363373533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4-42DC-B955-889BF331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367728"/>
        <c:axId val="727368208"/>
      </c:barChart>
      <c:catAx>
        <c:axId val="7273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27368208"/>
        <c:crosses val="autoZero"/>
        <c:auto val="1"/>
        <c:lblAlgn val="ctr"/>
        <c:lblOffset val="100"/>
        <c:noMultiLvlLbl val="0"/>
      </c:catAx>
      <c:valAx>
        <c:axId val="7273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273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PDM</a:t>
            </a:r>
            <a:r>
              <a:rPr lang="en-DE" b="1"/>
              <a:t> </a:t>
            </a:r>
            <a:r>
              <a:rPr lang="en-US" b="1"/>
              <a:t>-</a:t>
            </a:r>
            <a:r>
              <a:rPr lang="en-DE" b="1"/>
              <a:t> AML1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'AML1'!$Z$33:$AE$33</c15:sqref>
                    </c15:fullRef>
                  </c:ext>
                </c:extLst>
                <c:f>'AML1'!$AA$33:$AE$33</c:f>
                <c:numCache>
                  <c:formatCode>General</c:formatCode>
                  <c:ptCount val="5"/>
                  <c:pt idx="0">
                    <c:v>1.0859085635255448</c:v>
                  </c:pt>
                  <c:pt idx="1">
                    <c:v>0.8636532215734658</c:v>
                  </c:pt>
                  <c:pt idx="2">
                    <c:v>0.3503854121090853</c:v>
                  </c:pt>
                  <c:pt idx="3">
                    <c:v>1.3639237099784551</c:v>
                  </c:pt>
                  <c:pt idx="4">
                    <c:v>0.8387760573492159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'AML1'!$Z$33:$AE$33</c15:sqref>
                    </c15:fullRef>
                  </c:ext>
                </c:extLst>
                <c:f>'AML1'!$AA$33:$AE$33</c:f>
                <c:numCache>
                  <c:formatCode>General</c:formatCode>
                  <c:ptCount val="5"/>
                  <c:pt idx="0">
                    <c:v>1.0859085635255448</c:v>
                  </c:pt>
                  <c:pt idx="1">
                    <c:v>0.8636532215734658</c:v>
                  </c:pt>
                  <c:pt idx="2">
                    <c:v>0.3503854121090853</c:v>
                  </c:pt>
                  <c:pt idx="3">
                    <c:v>1.3639237099784551</c:v>
                  </c:pt>
                  <c:pt idx="4">
                    <c:v>0.8387760573492159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'AML1'!$Z$28:$AE$28</c15:sqref>
                  </c15:fullRef>
                </c:ext>
              </c:extLst>
              <c:f>'AML1'!$AA$28:$AE$28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'AML1'!$Z$32:$AE$32</c15:sqref>
                  </c15:fullRef>
                </c:ext>
              </c:extLst>
              <c:f>'AML1'!$AA$32:$AE$32</c:f>
              <c:numCache>
                <c:formatCode>0.000</c:formatCode>
                <c:ptCount val="5"/>
                <c:pt idx="0">
                  <c:v>2.7212519153159511</c:v>
                </c:pt>
                <c:pt idx="1">
                  <c:v>0.33177523993093566</c:v>
                </c:pt>
                <c:pt idx="2">
                  <c:v>2.0338833400334484</c:v>
                </c:pt>
                <c:pt idx="3">
                  <c:v>-0.61808968253732999</c:v>
                </c:pt>
                <c:pt idx="4">
                  <c:v>-1.2420950136895519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C-485E-84E6-E9A3A170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122656"/>
        <c:axId val="569121216"/>
      </c:barChart>
      <c:catAx>
        <c:axId val="5691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69121216"/>
        <c:crosses val="autoZero"/>
        <c:auto val="1"/>
        <c:lblAlgn val="ctr"/>
        <c:lblOffset val="100"/>
        <c:noMultiLvlLbl val="0"/>
      </c:catAx>
      <c:valAx>
        <c:axId val="5691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6912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 - AML1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'AML1'!$AI$8:$AN$8</c15:sqref>
                    </c15:fullRef>
                  </c:ext>
                </c:extLst>
                <c:f>'AML1'!$AJ$8:$AN$8</c:f>
                <c:numCache>
                  <c:formatCode>General</c:formatCode>
                  <c:ptCount val="5"/>
                  <c:pt idx="0">
                    <c:v>0.25606449851002744</c:v>
                  </c:pt>
                  <c:pt idx="1">
                    <c:v>0.10231440319742986</c:v>
                  </c:pt>
                  <c:pt idx="2">
                    <c:v>0.23881168892344837</c:v>
                  </c:pt>
                  <c:pt idx="3">
                    <c:v>0.39918425461551782</c:v>
                  </c:pt>
                  <c:pt idx="4">
                    <c:v>0.77527932589512238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'AML1'!$AI$8:$AN$8</c15:sqref>
                    </c15:fullRef>
                  </c:ext>
                </c:extLst>
                <c:f>'AML1'!$AJ$8:$AN$8</c:f>
                <c:numCache>
                  <c:formatCode>General</c:formatCode>
                  <c:ptCount val="5"/>
                  <c:pt idx="0">
                    <c:v>0.25606449851002744</c:v>
                  </c:pt>
                  <c:pt idx="1">
                    <c:v>0.10231440319742986</c:v>
                  </c:pt>
                  <c:pt idx="2">
                    <c:v>0.23881168892344837</c:v>
                  </c:pt>
                  <c:pt idx="3">
                    <c:v>0.39918425461551782</c:v>
                  </c:pt>
                  <c:pt idx="4">
                    <c:v>0.77527932589512238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'AML1'!$AI$3:$AN$3</c15:sqref>
                  </c15:fullRef>
                </c:ext>
              </c:extLst>
              <c:f>'AML1'!$AJ$3:$AN$3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'AML1'!$AI$7:$AN$7</c15:sqref>
                  </c15:fullRef>
                </c:ext>
              </c:extLst>
              <c:f>'AML1'!$AJ$7:$AN$7</c:f>
              <c:numCache>
                <c:formatCode>0.000</c:formatCode>
                <c:ptCount val="5"/>
                <c:pt idx="0">
                  <c:v>-0.96821056019649843</c:v>
                </c:pt>
                <c:pt idx="1">
                  <c:v>0.9052635768994276</c:v>
                </c:pt>
                <c:pt idx="2">
                  <c:v>-1.0458092015571652</c:v>
                </c:pt>
                <c:pt idx="3">
                  <c:v>-0.15927156829291877</c:v>
                </c:pt>
                <c:pt idx="4">
                  <c:v>-0.2004179766829253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7-450A-8BE7-00FA4D7B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97376"/>
        <c:axId val="794894976"/>
      </c:barChart>
      <c:catAx>
        <c:axId val="7948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94894976"/>
        <c:crosses val="autoZero"/>
        <c:auto val="1"/>
        <c:lblAlgn val="ctr"/>
        <c:lblOffset val="100"/>
        <c:noMultiLvlLbl val="0"/>
      </c:catAx>
      <c:valAx>
        <c:axId val="794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9489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 - NML1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'NML1'!$Z$8:$AE$8</c15:sqref>
                    </c15:fullRef>
                  </c:ext>
                </c:extLst>
                <c:f>'NML1'!$AA$8:$AE$8</c:f>
                <c:numCache>
                  <c:formatCode>General</c:formatCode>
                  <c:ptCount val="5"/>
                  <c:pt idx="0">
                    <c:v>0.18501370112077778</c:v>
                  </c:pt>
                  <c:pt idx="1">
                    <c:v>0.16419043860315877</c:v>
                  </c:pt>
                  <c:pt idx="2">
                    <c:v>0.55045349858668846</c:v>
                  </c:pt>
                  <c:pt idx="3">
                    <c:v>0.41128502839103231</c:v>
                  </c:pt>
                  <c:pt idx="4">
                    <c:v>0.19581288711528319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'NML1'!$Z$8:$AE$8</c15:sqref>
                    </c15:fullRef>
                  </c:ext>
                </c:extLst>
                <c:f>'NML1'!$AA$8:$AE$8</c:f>
                <c:numCache>
                  <c:formatCode>General</c:formatCode>
                  <c:ptCount val="5"/>
                  <c:pt idx="0">
                    <c:v>0.18501370112077778</c:v>
                  </c:pt>
                  <c:pt idx="1">
                    <c:v>0.16419043860315877</c:v>
                  </c:pt>
                  <c:pt idx="2">
                    <c:v>0.55045349858668846</c:v>
                  </c:pt>
                  <c:pt idx="3">
                    <c:v>0.41128502839103231</c:v>
                  </c:pt>
                  <c:pt idx="4">
                    <c:v>0.19581288711528319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'NML1'!$Z$3:$AE$3</c15:sqref>
                  </c15:fullRef>
                </c:ext>
              </c:extLst>
              <c:f>'NML1'!$AA$3:$AE$3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'NML1'!$Z$7:$AE$7</c15:sqref>
                  </c15:fullRef>
                </c:ext>
              </c:extLst>
              <c:f>'NML1'!$AA$7:$AE$7</c:f>
              <c:numCache>
                <c:formatCode>0.000</c:formatCode>
                <c:ptCount val="5"/>
                <c:pt idx="0">
                  <c:v>0.83545490213483686</c:v>
                </c:pt>
                <c:pt idx="1">
                  <c:v>-2.5528324683753576E-2</c:v>
                </c:pt>
                <c:pt idx="2">
                  <c:v>0.44260421729299315</c:v>
                </c:pt>
                <c:pt idx="3">
                  <c:v>0.14762886113209761</c:v>
                </c:pt>
                <c:pt idx="4">
                  <c:v>-0.23307733131066999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1-450A-ACAD-778F709B4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198992"/>
        <c:axId val="846199472"/>
      </c:barChart>
      <c:catAx>
        <c:axId val="84619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6199472"/>
        <c:crosses val="autoZero"/>
        <c:auto val="1"/>
        <c:lblAlgn val="ctr"/>
        <c:lblOffset val="100"/>
        <c:noMultiLvlLbl val="0"/>
      </c:catAx>
      <c:valAx>
        <c:axId val="8461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619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PDM - NML1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'NML1'!$Z$33:$AE$33</c15:sqref>
                    </c15:fullRef>
                  </c:ext>
                </c:extLst>
                <c:f>'NML1'!$AA$33:$AE$33</c:f>
                <c:numCache>
                  <c:formatCode>General</c:formatCode>
                  <c:ptCount val="5"/>
                  <c:pt idx="0">
                    <c:v>1.050165995666918</c:v>
                  </c:pt>
                  <c:pt idx="1">
                    <c:v>0.99371168498443474</c:v>
                  </c:pt>
                  <c:pt idx="2">
                    <c:v>0.73702264169960097</c:v>
                  </c:pt>
                  <c:pt idx="3">
                    <c:v>0.87613721688494661</c:v>
                  </c:pt>
                  <c:pt idx="4">
                    <c:v>0.79503122712926699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'NML1'!$Z$33:$AE$33</c15:sqref>
                    </c15:fullRef>
                  </c:ext>
                </c:extLst>
                <c:f>'NML1'!$AA$33:$AE$33</c:f>
                <c:numCache>
                  <c:formatCode>General</c:formatCode>
                  <c:ptCount val="5"/>
                  <c:pt idx="0">
                    <c:v>1.050165995666918</c:v>
                  </c:pt>
                  <c:pt idx="1">
                    <c:v>0.99371168498443474</c:v>
                  </c:pt>
                  <c:pt idx="2">
                    <c:v>0.73702264169960097</c:v>
                  </c:pt>
                  <c:pt idx="3">
                    <c:v>0.87613721688494661</c:v>
                  </c:pt>
                  <c:pt idx="4">
                    <c:v>0.79503122712926699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'NML1'!$Z$28:$AE$28</c15:sqref>
                  </c15:fullRef>
                </c:ext>
              </c:extLst>
              <c:f>'NML1'!$AA$28:$AE$28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'NML1'!$Z$32:$AE$32</c15:sqref>
                  </c15:fullRef>
                </c:ext>
              </c:extLst>
              <c:f>'NML1'!$AA$32:$AE$32</c:f>
              <c:numCache>
                <c:formatCode>0.000</c:formatCode>
                <c:ptCount val="5"/>
                <c:pt idx="0">
                  <c:v>1.0956330891993888</c:v>
                </c:pt>
                <c:pt idx="1">
                  <c:v>1.0010035327189934</c:v>
                </c:pt>
                <c:pt idx="2">
                  <c:v>1.6471069651159216</c:v>
                </c:pt>
                <c:pt idx="3">
                  <c:v>0.83113116965922262</c:v>
                </c:pt>
                <c:pt idx="4">
                  <c:v>-1.0313951966353725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6-41F4-995C-CC6548D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29408"/>
        <c:axId val="152229888"/>
      </c:barChart>
      <c:catAx>
        <c:axId val="1522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2229888"/>
        <c:crosses val="autoZero"/>
        <c:auto val="1"/>
        <c:lblAlgn val="ctr"/>
        <c:lblOffset val="100"/>
        <c:noMultiLvlLbl val="0"/>
      </c:catAx>
      <c:valAx>
        <c:axId val="1522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22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 - NML1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'NML1'!$AI$8:$AN$8</c15:sqref>
                    </c15:fullRef>
                  </c:ext>
                </c:extLst>
                <c:f>'NML1'!$AJ$8:$AN$8</c:f>
                <c:numCache>
                  <c:formatCode>General</c:formatCode>
                  <c:ptCount val="5"/>
                  <c:pt idx="0">
                    <c:v>0.34502737540604034</c:v>
                  </c:pt>
                  <c:pt idx="1">
                    <c:v>0.17132206102228417</c:v>
                  </c:pt>
                  <c:pt idx="2">
                    <c:v>0.276234390904319</c:v>
                  </c:pt>
                  <c:pt idx="3">
                    <c:v>0.16060972484234484</c:v>
                  </c:pt>
                  <c:pt idx="4">
                    <c:v>0.49436158419930304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'NML1'!$AI$8:$AN$8</c15:sqref>
                    </c15:fullRef>
                  </c:ext>
                </c:extLst>
                <c:f>'NML1'!$AJ$8:$AN$8</c:f>
                <c:numCache>
                  <c:formatCode>General</c:formatCode>
                  <c:ptCount val="5"/>
                  <c:pt idx="0">
                    <c:v>0.34502737540604034</c:v>
                  </c:pt>
                  <c:pt idx="1">
                    <c:v>0.17132206102228417</c:v>
                  </c:pt>
                  <c:pt idx="2">
                    <c:v>0.276234390904319</c:v>
                  </c:pt>
                  <c:pt idx="3">
                    <c:v>0.16060972484234484</c:v>
                  </c:pt>
                  <c:pt idx="4">
                    <c:v>0.49436158419930304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'NML1'!$AI$3:$AN$3</c15:sqref>
                  </c15:fullRef>
                </c:ext>
              </c:extLst>
              <c:f>'NML1'!$AJ$3:$AN$3</c:f>
              <c:strCache>
                <c:ptCount val="5"/>
                <c:pt idx="0">
                  <c:v>ΔVel1</c:v>
                </c:pt>
                <c:pt idx="1">
                  <c:v>oeVel1-H2B</c:v>
                </c:pt>
                <c:pt idx="2">
                  <c:v>ΔVel2</c:v>
                </c:pt>
                <c:pt idx="3">
                  <c:v>oeVel2-H2B</c:v>
                </c:pt>
                <c:pt idx="4">
                  <c:v>ΔVel2IDD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'NML1'!$AI$7:$AN$7</c15:sqref>
                  </c15:fullRef>
                </c:ext>
              </c:extLst>
              <c:f>'NML1'!$AJ$7:$AN$7</c:f>
              <c:numCache>
                <c:formatCode>0.000</c:formatCode>
                <c:ptCount val="5"/>
                <c:pt idx="0">
                  <c:v>1.2227792147936105</c:v>
                </c:pt>
                <c:pt idx="1">
                  <c:v>1.1858850108327017</c:v>
                </c:pt>
                <c:pt idx="2">
                  <c:v>0.13430858954290084</c:v>
                </c:pt>
                <c:pt idx="3">
                  <c:v>-0.20446294286422961</c:v>
                </c:pt>
                <c:pt idx="4">
                  <c:v>-0.33548461783056432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D-4A9D-B6B1-4B4B4ABC7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461824"/>
        <c:axId val="852462784"/>
      </c:barChart>
      <c:catAx>
        <c:axId val="8524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2462784"/>
        <c:crosses val="autoZero"/>
        <c:auto val="1"/>
        <c:lblAlgn val="ctr"/>
        <c:lblOffset val="100"/>
        <c:noMultiLvlLbl val="0"/>
      </c:catAx>
      <c:valAx>
        <c:axId val="8524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246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'MET1'!$I$8:$L$8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0.96111988427187989</c:v>
                  </c:pt>
                  <c:pt idx="2">
                    <c:v>0.17884243949695078</c:v>
                  </c:pt>
                  <c:pt idx="3">
                    <c:v>0.55465540741075225</c:v>
                  </c:pt>
                </c:numCache>
              </c:numRef>
            </c:plus>
            <c:minus>
              <c:numRef>
                <c:f>'MET1'!$I$8:$L$8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0.96111988427187989</c:v>
                  </c:pt>
                  <c:pt idx="2">
                    <c:v>0.17884243949695078</c:v>
                  </c:pt>
                  <c:pt idx="3">
                    <c:v>0.55465540741075225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'MET1'!$I$3:$L$3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'MET1'!$I$7:$L$7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5.2155972719614976</c:v>
                </c:pt>
                <c:pt idx="2">
                  <c:v>1.6419928716143801</c:v>
                </c:pt>
                <c:pt idx="3">
                  <c:v>0.69007677879000673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A-462C-87A0-CA3E29A8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695280"/>
        <c:axId val="802695760"/>
      </c:barChart>
      <c:catAx>
        <c:axId val="8026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2695760"/>
        <c:crosses val="autoZero"/>
        <c:auto val="1"/>
        <c:lblAlgn val="ctr"/>
        <c:lblOffset val="100"/>
        <c:noMultiLvlLbl val="0"/>
      </c:catAx>
      <c:valAx>
        <c:axId val="8026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269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PDM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'MET1'!$I$17:$L$17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0.44101266801701799</c:v>
                  </c:pt>
                  <c:pt idx="2">
                    <c:v>0.40212084783333041</c:v>
                  </c:pt>
                  <c:pt idx="3">
                    <c:v>0.11361086238975233</c:v>
                  </c:pt>
                </c:numCache>
              </c:numRef>
            </c:plus>
            <c:minus>
              <c:numRef>
                <c:f>'MET1'!$I$17:$L$17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0.44101266801701799</c:v>
                  </c:pt>
                  <c:pt idx="2">
                    <c:v>0.40212084783333041</c:v>
                  </c:pt>
                  <c:pt idx="3">
                    <c:v>0.11361086238975233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'MET1'!$I$12:$L$12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'MET1'!$I$16:$L$16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1.7166771976621582</c:v>
                </c:pt>
                <c:pt idx="2">
                  <c:v>0.35822264424206468</c:v>
                </c:pt>
                <c:pt idx="3">
                  <c:v>1.0597072069124505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C-48DC-8310-7250CAED8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277952"/>
        <c:axId val="845277472"/>
      </c:barChart>
      <c:catAx>
        <c:axId val="84527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5277472"/>
        <c:crosses val="autoZero"/>
        <c:auto val="1"/>
        <c:lblAlgn val="ctr"/>
        <c:lblOffset val="100"/>
        <c:noMultiLvlLbl val="0"/>
      </c:catAx>
      <c:valAx>
        <c:axId val="8452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4527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'MET1'!$I$26:$L$26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0.26122791217774671</c:v>
                  </c:pt>
                  <c:pt idx="2">
                    <c:v>0.46502462349081691</c:v>
                  </c:pt>
                  <c:pt idx="3">
                    <c:v>0.31946207257733045</c:v>
                  </c:pt>
                </c:numCache>
              </c:numRef>
            </c:plus>
            <c:minus>
              <c:numRef>
                <c:f>'MET1'!$I$26:$L$26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0.26122791217774671</c:v>
                  </c:pt>
                  <c:pt idx="2">
                    <c:v>0.46502462349081691</c:v>
                  </c:pt>
                  <c:pt idx="3">
                    <c:v>0.31946207257733045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'MET1'!$I$21:$L$21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'MET1'!$I$25:$L$25</c:f>
              <c:numCache>
                <c:formatCode>0.000</c:formatCode>
                <c:ptCount val="4"/>
                <c:pt idx="0" formatCode="0">
                  <c:v>0</c:v>
                </c:pt>
                <c:pt idx="1">
                  <c:v>3.7797088066472817</c:v>
                </c:pt>
                <c:pt idx="2">
                  <c:v>-1.1131454404883039</c:v>
                </c:pt>
                <c:pt idx="3">
                  <c:v>0.66510747985272267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1-4376-B105-B44C6C9B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538464"/>
        <c:axId val="791538944"/>
      </c:barChart>
      <c:catAx>
        <c:axId val="7915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91538944"/>
        <c:crosses val="autoZero"/>
        <c:auto val="1"/>
        <c:lblAlgn val="ctr"/>
        <c:lblOffset val="100"/>
        <c:noMultiLvlLbl val="0"/>
      </c:catAx>
      <c:valAx>
        <c:axId val="7915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915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'CTZ1'!$I$8:$L$8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0.2661639500390422</c:v>
                  </c:pt>
                  <c:pt idx="2">
                    <c:v>0.60271348630330923</c:v>
                  </c:pt>
                  <c:pt idx="3">
                    <c:v>0.72434250733283234</c:v>
                  </c:pt>
                </c:numCache>
              </c:numRef>
            </c:plus>
            <c:minus>
              <c:numRef>
                <c:f>'CTZ1'!$I$8:$L$8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0.2661639500390422</c:v>
                  </c:pt>
                  <c:pt idx="2">
                    <c:v>0.60271348630330923</c:v>
                  </c:pt>
                  <c:pt idx="3">
                    <c:v>0.72434250733283234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'CTZ1'!$I$3:$L$3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'CTZ1'!$I$7:$L$7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-2.3451106138294846</c:v>
                </c:pt>
                <c:pt idx="2">
                  <c:v>0.74666511170746741</c:v>
                </c:pt>
                <c:pt idx="3">
                  <c:v>0.45563810908841723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3-40CD-B44B-58545BA1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659648"/>
        <c:axId val="787659168"/>
      </c:barChart>
      <c:catAx>
        <c:axId val="78765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87659168"/>
        <c:crosses val="autoZero"/>
        <c:auto val="1"/>
        <c:lblAlgn val="ctr"/>
        <c:lblOffset val="100"/>
        <c:noMultiLvlLbl val="0"/>
      </c:catAx>
      <c:valAx>
        <c:axId val="7876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8765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PDM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'CTZ1'!$I$17:$L$17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0.38856581808931356</c:v>
                  </c:pt>
                  <c:pt idx="2">
                    <c:v>0.10366242108351754</c:v>
                  </c:pt>
                  <c:pt idx="3">
                    <c:v>1.3435535662619644</c:v>
                  </c:pt>
                </c:numCache>
              </c:numRef>
            </c:plus>
            <c:minus>
              <c:numRef>
                <c:f>'CTZ1'!$I$17:$L$17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0.38856581808931356</c:v>
                  </c:pt>
                  <c:pt idx="2">
                    <c:v>0.10366242108351754</c:v>
                  </c:pt>
                  <c:pt idx="3">
                    <c:v>1.3435535662619644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'CTZ1'!$I$12:$L$12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'CTZ1'!$I$16:$L$16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-1.5953224000140842</c:v>
                </c:pt>
                <c:pt idx="2">
                  <c:v>-1.5630341403325823</c:v>
                </c:pt>
                <c:pt idx="3">
                  <c:v>-1.3217890221381916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A-43ED-97F4-75044201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56208"/>
        <c:axId val="855372864"/>
      </c:barChart>
      <c:catAx>
        <c:axId val="77305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5372864"/>
        <c:crosses val="autoZero"/>
        <c:auto val="1"/>
        <c:lblAlgn val="ctr"/>
        <c:lblOffset val="100"/>
        <c:noMultiLvlLbl val="0"/>
      </c:catAx>
      <c:valAx>
        <c:axId val="8553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730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'CTZ1'!$I$26:$L$26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2.5212044235071257E-2</c:v>
                  </c:pt>
                  <c:pt idx="2">
                    <c:v>0.148900749288257</c:v>
                  </c:pt>
                  <c:pt idx="3">
                    <c:v>0.33947513792716627</c:v>
                  </c:pt>
                </c:numCache>
              </c:numRef>
            </c:plus>
            <c:minus>
              <c:numRef>
                <c:f>'CTZ1'!$I$26:$L$26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2.5212044235071257E-2</c:v>
                  </c:pt>
                  <c:pt idx="2">
                    <c:v>0.148900749288257</c:v>
                  </c:pt>
                  <c:pt idx="3">
                    <c:v>0.33947513792716627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'CTZ1'!$I$21:$L$21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'CTZ1'!$I$25:$L$25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-0.68339002913452562</c:v>
                </c:pt>
                <c:pt idx="2">
                  <c:v>-0.63348258463023388</c:v>
                </c:pt>
                <c:pt idx="3">
                  <c:v>0.22815212980745433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F-46D8-AB1D-AC7F1FB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395072"/>
        <c:axId val="933394592"/>
      </c:barChart>
      <c:catAx>
        <c:axId val="9333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33394592"/>
        <c:crosses val="autoZero"/>
        <c:auto val="1"/>
        <c:lblAlgn val="ctr"/>
        <c:lblOffset val="100"/>
        <c:noMultiLvlLbl val="0"/>
      </c:catAx>
      <c:valAx>
        <c:axId val="933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3339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SXM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YAL1!$I$8:$L$8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0.42264429738611092</c:v>
                  </c:pt>
                  <c:pt idx="2">
                    <c:v>0.31236740885467157</c:v>
                  </c:pt>
                  <c:pt idx="3">
                    <c:v>0.6068291126302735</c:v>
                  </c:pt>
                </c:numCache>
              </c:numRef>
            </c:plus>
            <c:minus>
              <c:numRef>
                <c:f>YAL1!$I$8:$L$8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0.42264429738611092</c:v>
                  </c:pt>
                  <c:pt idx="2">
                    <c:v>0.31236740885467157</c:v>
                  </c:pt>
                  <c:pt idx="3">
                    <c:v>0.6068291126302735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YAL1!$I$3:$L$3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YAL1!$I$7:$L$7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-0.59477665516279754</c:v>
                </c:pt>
                <c:pt idx="2">
                  <c:v>-0.76610718986028592</c:v>
                </c:pt>
                <c:pt idx="3">
                  <c:v>-0.58583676647774274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A-43C7-89F2-5440E5DC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494512"/>
        <c:axId val="985511312"/>
      </c:barChart>
      <c:catAx>
        <c:axId val="9854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85511312"/>
        <c:crosses val="autoZero"/>
        <c:auto val="1"/>
        <c:lblAlgn val="ctr"/>
        <c:lblOffset val="100"/>
        <c:noMultiLvlLbl val="0"/>
      </c:catAx>
      <c:valAx>
        <c:axId val="9855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8549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PDM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YAL1!$I$17:$L$17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0.26924711976316668</c:v>
                  </c:pt>
                  <c:pt idx="2">
                    <c:v>0.30221963075262592</c:v>
                  </c:pt>
                  <c:pt idx="3">
                    <c:v>0.48649159677130838</c:v>
                  </c:pt>
                </c:numCache>
              </c:numRef>
            </c:plus>
            <c:minus>
              <c:numRef>
                <c:f>YAL1!$I$17:$L$17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0.26924711976316668</c:v>
                  </c:pt>
                  <c:pt idx="2">
                    <c:v>0.30221963075262592</c:v>
                  </c:pt>
                  <c:pt idx="3">
                    <c:v>0.48649159677130838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YAL1!$I$12:$L$12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ΔVel2IDD</c:v>
                </c:pt>
              </c:strCache>
            </c:strRef>
          </c:cat>
          <c:val>
            <c:numRef>
              <c:f>YAL1!$I$16:$L$16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0.35126458983735592</c:v>
                </c:pt>
                <c:pt idx="2">
                  <c:v>0.93642692924543403</c:v>
                </c:pt>
                <c:pt idx="3">
                  <c:v>-1.9862870881181554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B-4B18-B15F-CA373CD7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008464"/>
        <c:axId val="826009424"/>
      </c:barChart>
      <c:catAx>
        <c:axId val="8260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26009424"/>
        <c:crosses val="autoZero"/>
        <c:auto val="1"/>
        <c:lblAlgn val="ctr"/>
        <c:lblOffset val="100"/>
        <c:noMultiLvlLbl val="0"/>
      </c:catAx>
      <c:valAx>
        <c:axId val="8260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2600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PLATE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YAL1!$I$26:$L$26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0.37856033678761108</c:v>
                  </c:pt>
                  <c:pt idx="2">
                    <c:v>0.26470467326562092</c:v>
                  </c:pt>
                  <c:pt idx="3">
                    <c:v>-1.637909421785662</c:v>
                  </c:pt>
                </c:numCache>
              </c:numRef>
            </c:plus>
            <c:minus>
              <c:numRef>
                <c:f>YAL1!$I$26:$L$26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0.37856033678761108</c:v>
                  </c:pt>
                  <c:pt idx="2">
                    <c:v>0.26470467326562092</c:v>
                  </c:pt>
                  <c:pt idx="3">
                    <c:v>-1.637909421785662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YAL1!$I$21:$L$21</c:f>
              <c:strCache>
                <c:ptCount val="4"/>
                <c:pt idx="0">
                  <c:v>WT</c:v>
                </c:pt>
                <c:pt idx="1">
                  <c:v>ΔVel1</c:v>
                </c:pt>
                <c:pt idx="2">
                  <c:v>ΔVel2</c:v>
                </c:pt>
                <c:pt idx="3">
                  <c:v>Vel2IDD</c:v>
                </c:pt>
              </c:strCache>
            </c:strRef>
          </c:cat>
          <c:val>
            <c:numRef>
              <c:f>YAL1!$I$25:$L$25</c:f>
              <c:numCache>
                <c:formatCode>0.000</c:formatCode>
                <c:ptCount val="4"/>
                <c:pt idx="0" formatCode="0">
                  <c:v>0</c:v>
                </c:pt>
                <c:pt idx="1">
                  <c:v>0.829671275191599</c:v>
                </c:pt>
                <c:pt idx="2">
                  <c:v>0.89628860162091983</c:v>
                </c:pt>
                <c:pt idx="3">
                  <c:v>-0.16202852173163934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4DB3-9024-05F8C4108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018544"/>
        <c:axId val="826019504"/>
      </c:barChart>
      <c:catAx>
        <c:axId val="82601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26019504"/>
        <c:crosses val="autoZero"/>
        <c:auto val="1"/>
        <c:lblAlgn val="ctr"/>
        <c:lblOffset val="100"/>
        <c:noMultiLvlLbl val="0"/>
      </c:catAx>
      <c:valAx>
        <c:axId val="8260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2601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464820</xdr:colOff>
      <xdr:row>8</xdr:row>
      <xdr:rowOff>171450</xdr:rowOff>
    </xdr:from>
    <xdr:to>
      <xdr:col>31</xdr:col>
      <xdr:colOff>160020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90C52-75EF-FE59-1306-FECA452BA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419100</xdr:colOff>
      <xdr:row>32</xdr:row>
      <xdr:rowOff>11430</xdr:rowOff>
    </xdr:from>
    <xdr:to>
      <xdr:col>31</xdr:col>
      <xdr:colOff>350520</xdr:colOff>
      <xdr:row>49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4F3F6-9300-A3EF-3532-A23E93C73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228600</xdr:colOff>
      <xdr:row>8</xdr:row>
      <xdr:rowOff>179070</xdr:rowOff>
    </xdr:from>
    <xdr:to>
      <xdr:col>40</xdr:col>
      <xdr:colOff>320040</xdr:colOff>
      <xdr:row>25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E7ABD-C6FF-A4E8-3374-74E53EF01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320040</xdr:colOff>
      <xdr:row>9</xdr:row>
      <xdr:rowOff>19050</xdr:rowOff>
    </xdr:from>
    <xdr:to>
      <xdr:col>31</xdr:col>
      <xdr:colOff>358140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F67C0-FCE6-A726-8E81-3B78A93C8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213360</xdr:colOff>
      <xdr:row>33</xdr:row>
      <xdr:rowOff>171450</xdr:rowOff>
    </xdr:from>
    <xdr:to>
      <xdr:col>31</xdr:col>
      <xdr:colOff>449580</xdr:colOff>
      <xdr:row>50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FBF1E-3193-282B-F150-7CFFC4948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419100</xdr:colOff>
      <xdr:row>8</xdr:row>
      <xdr:rowOff>179070</xdr:rowOff>
    </xdr:from>
    <xdr:to>
      <xdr:col>40</xdr:col>
      <xdr:colOff>472440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B6E65-9ED0-71DF-7DC1-A863A120C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388620</xdr:colOff>
      <xdr:row>8</xdr:row>
      <xdr:rowOff>179070</xdr:rowOff>
    </xdr:from>
    <xdr:to>
      <xdr:col>31</xdr:col>
      <xdr:colOff>297180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BEB15-869E-6B6D-FE29-64235CF71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426720</xdr:colOff>
      <xdr:row>34</xdr:row>
      <xdr:rowOff>11430</xdr:rowOff>
    </xdr:from>
    <xdr:to>
      <xdr:col>31</xdr:col>
      <xdr:colOff>236220</xdr:colOff>
      <xdr:row>50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ED123-47CB-6970-4B87-F91197274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495300</xdr:colOff>
      <xdr:row>9</xdr:row>
      <xdr:rowOff>11430</xdr:rowOff>
    </xdr:from>
    <xdr:to>
      <xdr:col>41</xdr:col>
      <xdr:colOff>7620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8C9045-8664-6BED-60D6-B674A5CA5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179070</xdr:rowOff>
    </xdr:from>
    <xdr:to>
      <xdr:col>21</xdr:col>
      <xdr:colOff>7620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94E1F-F5A6-BCA2-3702-C307F6849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14</xdr:row>
      <xdr:rowOff>179070</xdr:rowOff>
    </xdr:from>
    <xdr:to>
      <xdr:col>20</xdr:col>
      <xdr:colOff>601980</xdr:colOff>
      <xdr:row>29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7DE1C8-58EB-25F5-EA19-52F23A36B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30</xdr:row>
      <xdr:rowOff>3810</xdr:rowOff>
    </xdr:from>
    <xdr:to>
      <xdr:col>20</xdr:col>
      <xdr:colOff>601980</xdr:colOff>
      <xdr:row>44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DE987-D16C-2433-AC5F-4AAE1B49B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0</xdr:row>
      <xdr:rowOff>179070</xdr:rowOff>
    </xdr:from>
    <xdr:to>
      <xdr:col>20</xdr:col>
      <xdr:colOff>312420</xdr:colOff>
      <xdr:row>15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76C55-A2A2-3537-27DA-D60AC6D0C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</xdr:colOff>
      <xdr:row>18</xdr:row>
      <xdr:rowOff>11430</xdr:rowOff>
    </xdr:from>
    <xdr:to>
      <xdr:col>20</xdr:col>
      <xdr:colOff>320040</xdr:colOff>
      <xdr:row>33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28C32-5252-992A-CE62-D94F4C0B2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34</xdr:row>
      <xdr:rowOff>34290</xdr:rowOff>
    </xdr:from>
    <xdr:to>
      <xdr:col>20</xdr:col>
      <xdr:colOff>304800</xdr:colOff>
      <xdr:row>49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9CB6EC-0B86-0EA5-F991-433980D6A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3810</xdr:rowOff>
    </xdr:from>
    <xdr:to>
      <xdr:col>20</xdr:col>
      <xdr:colOff>312420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88CA5-6B1A-5229-A7F3-7A99522A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17</xdr:row>
      <xdr:rowOff>26670</xdr:rowOff>
    </xdr:from>
    <xdr:to>
      <xdr:col>20</xdr:col>
      <xdr:colOff>289560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F4077-FF4E-19DB-FBCF-820D8F039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</xdr:colOff>
      <xdr:row>34</xdr:row>
      <xdr:rowOff>11430</xdr:rowOff>
    </xdr:from>
    <xdr:to>
      <xdr:col>20</xdr:col>
      <xdr:colOff>327660</xdr:colOff>
      <xdr:row>49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ABC30F-A57E-BCB8-0506-07F6D1953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8CC4-122C-45FB-8D8F-1DC02AF422CF}">
  <dimension ref="B2:AN31"/>
  <sheetViews>
    <sheetView workbookViewId="0">
      <selection activeCell="F22" sqref="F22:F24"/>
    </sheetView>
  </sheetViews>
  <sheetFormatPr defaultRowHeight="14.4" x14ac:dyDescent="0.3"/>
  <cols>
    <col min="16" max="17" width="10.77734375" bestFit="1" customWidth="1"/>
    <col min="21" max="23" width="10.77734375" bestFit="1" customWidth="1"/>
    <col min="26" max="26" width="6.44140625" customWidth="1"/>
    <col min="27" max="27" width="8" customWidth="1"/>
    <col min="28" max="28" width="10.6640625" bestFit="1" customWidth="1"/>
    <col min="29" max="29" width="7.88671875" customWidth="1"/>
    <col min="30" max="30" width="10.6640625" bestFit="1" customWidth="1"/>
    <col min="35" max="35" width="6.5546875" customWidth="1"/>
    <col min="36" max="36" width="7.33203125" customWidth="1"/>
    <col min="37" max="37" width="10.6640625" bestFit="1" customWidth="1"/>
    <col min="38" max="38" width="7.21875" customWidth="1"/>
    <col min="39" max="39" width="10.6640625" bestFit="1" customWidth="1"/>
  </cols>
  <sheetData>
    <row r="2" spans="2:40" x14ac:dyDescent="0.3">
      <c r="B2" s="1"/>
      <c r="C2" s="31" t="s">
        <v>24</v>
      </c>
      <c r="D2" s="31"/>
      <c r="E2" s="31"/>
      <c r="F2" s="31"/>
      <c r="H2" s="1"/>
      <c r="I2" s="31" t="s">
        <v>1</v>
      </c>
      <c r="J2" s="31"/>
      <c r="K2" s="31"/>
      <c r="L2" s="31"/>
      <c r="O2" s="34" t="s">
        <v>24</v>
      </c>
      <c r="P2" s="34"/>
      <c r="Q2" s="34"/>
      <c r="T2" s="34" t="s">
        <v>1</v>
      </c>
      <c r="U2" s="34"/>
      <c r="V2" s="34"/>
      <c r="Z2" s="30" t="s">
        <v>1</v>
      </c>
      <c r="AA2" s="30"/>
      <c r="AB2" s="30"/>
      <c r="AC2" s="30"/>
      <c r="AD2" s="30"/>
      <c r="AE2" s="30"/>
      <c r="AI2" s="30" t="s">
        <v>15</v>
      </c>
      <c r="AJ2" s="30"/>
      <c r="AK2" s="30"/>
      <c r="AL2" s="30"/>
      <c r="AM2" s="30"/>
      <c r="AN2" s="30"/>
    </row>
    <row r="3" spans="2:40" ht="15" x14ac:dyDescent="0.3">
      <c r="B3" s="2"/>
      <c r="C3" s="1" t="s">
        <v>2</v>
      </c>
      <c r="D3" s="3" t="s">
        <v>3</v>
      </c>
      <c r="E3" s="3" t="s">
        <v>4</v>
      </c>
      <c r="F3" s="3" t="s">
        <v>5</v>
      </c>
      <c r="H3" s="2"/>
      <c r="I3" s="1" t="s">
        <v>2</v>
      </c>
      <c r="J3" s="3" t="s">
        <v>3</v>
      </c>
      <c r="K3" s="3" t="s">
        <v>4</v>
      </c>
      <c r="L3" s="3" t="s">
        <v>5</v>
      </c>
      <c r="O3" s="11" t="s">
        <v>12</v>
      </c>
      <c r="P3" s="11" t="s">
        <v>13</v>
      </c>
      <c r="Q3" s="11" t="s">
        <v>14</v>
      </c>
      <c r="T3" s="11" t="s">
        <v>12</v>
      </c>
      <c r="U3" s="11" t="s">
        <v>13</v>
      </c>
      <c r="V3" s="11" t="s">
        <v>14</v>
      </c>
      <c r="Z3" t="s">
        <v>2</v>
      </c>
      <c r="AA3" t="s">
        <v>3</v>
      </c>
      <c r="AB3" t="s">
        <v>13</v>
      </c>
      <c r="AC3" t="s">
        <v>4</v>
      </c>
      <c r="AD3" t="s">
        <v>14</v>
      </c>
      <c r="AE3" t="s">
        <v>23</v>
      </c>
      <c r="AI3" t="s">
        <v>2</v>
      </c>
      <c r="AJ3" t="s">
        <v>3</v>
      </c>
      <c r="AK3" t="s">
        <v>13</v>
      </c>
      <c r="AL3" t="s">
        <v>4</v>
      </c>
      <c r="AM3" t="s">
        <v>14</v>
      </c>
      <c r="AN3" t="s">
        <v>23</v>
      </c>
    </row>
    <row r="4" spans="2:40" x14ac:dyDescent="0.3">
      <c r="B4" s="4" t="s">
        <v>6</v>
      </c>
      <c r="C4" s="5">
        <v>1</v>
      </c>
      <c r="D4" s="6">
        <v>16.198602961602301</v>
      </c>
      <c r="E4" s="6">
        <v>2.6853007827131101</v>
      </c>
      <c r="F4" s="6">
        <v>0.768230073493543</v>
      </c>
      <c r="H4" s="4" t="s">
        <v>6</v>
      </c>
      <c r="I4" s="5">
        <f>LOG(C4,2)</f>
        <v>0</v>
      </c>
      <c r="J4" s="6">
        <f t="shared" ref="J4:L6" si="0">LOG(D4,2)</f>
        <v>4.0177974890294488</v>
      </c>
      <c r="K4" s="6">
        <f t="shared" si="0"/>
        <v>1.4250836947003802</v>
      </c>
      <c r="L4" s="6">
        <f t="shared" si="0"/>
        <v>-0.38038965349851439</v>
      </c>
      <c r="N4" s="14" t="s">
        <v>6</v>
      </c>
      <c r="O4">
        <v>1</v>
      </c>
      <c r="P4" s="7">
        <v>1.20295213514018</v>
      </c>
      <c r="Q4" s="7">
        <v>0.99015588209910599</v>
      </c>
      <c r="S4" s="14" t="s">
        <v>6</v>
      </c>
      <c r="T4">
        <f t="shared" ref="T4:V6" si="1">LOG(O4,2)</f>
        <v>0</v>
      </c>
      <c r="U4" s="7">
        <f t="shared" si="1"/>
        <v>0.26657923954666041</v>
      </c>
      <c r="V4" s="7">
        <f t="shared" si="1"/>
        <v>-1.4272425626467579E-2</v>
      </c>
      <c r="Y4" t="s">
        <v>6</v>
      </c>
      <c r="Z4">
        <v>0</v>
      </c>
      <c r="AA4" s="7">
        <v>4.0177974890294488</v>
      </c>
      <c r="AB4" s="7">
        <v>0.26657923954666041</v>
      </c>
      <c r="AC4" s="7">
        <v>1.4250836947003802</v>
      </c>
      <c r="AD4" s="7">
        <v>-1.4272425626467579E-2</v>
      </c>
      <c r="AE4" s="7">
        <v>-0.38038965349851439</v>
      </c>
      <c r="AH4" t="s">
        <v>6</v>
      </c>
      <c r="AI4">
        <v>0</v>
      </c>
      <c r="AJ4" s="7">
        <v>3.9043261794473274</v>
      </c>
      <c r="AK4" s="7">
        <v>3.8303182728091939E-2</v>
      </c>
      <c r="AL4" s="7">
        <v>2.5753646827439463</v>
      </c>
      <c r="AM4" s="7">
        <v>-0.22045364780831087</v>
      </c>
      <c r="AN4" s="7">
        <v>-0.13955884007155125</v>
      </c>
    </row>
    <row r="5" spans="2:40" x14ac:dyDescent="0.3">
      <c r="B5" s="2"/>
      <c r="C5" s="5">
        <v>1</v>
      </c>
      <c r="D5" s="7">
        <v>13.804274206794499</v>
      </c>
      <c r="E5" s="7">
        <v>5.2847912419250296</v>
      </c>
      <c r="F5" s="7">
        <v>0.95345954179455605</v>
      </c>
      <c r="H5" s="2"/>
      <c r="I5" s="5">
        <f t="shared" ref="I5:I6" si="2">LOG(C5,2)</f>
        <v>0</v>
      </c>
      <c r="J5" s="6">
        <f t="shared" si="0"/>
        <v>3.7870431316156141</v>
      </c>
      <c r="K5" s="6">
        <f t="shared" si="0"/>
        <v>2.40184648387137</v>
      </c>
      <c r="L5" s="6">
        <f t="shared" si="0"/>
        <v>-6.8756373015009101E-2</v>
      </c>
      <c r="O5">
        <v>1</v>
      </c>
      <c r="P5" s="7">
        <v>1.1902410436976001</v>
      </c>
      <c r="Q5" s="7">
        <v>0.71836846577179903</v>
      </c>
      <c r="T5">
        <f t="shared" si="1"/>
        <v>0</v>
      </c>
      <c r="U5" s="7">
        <f t="shared" si="1"/>
        <v>0.25125377297182172</v>
      </c>
      <c r="V5" s="7">
        <f t="shared" si="1"/>
        <v>-0.47720407341793575</v>
      </c>
      <c r="Z5">
        <v>0</v>
      </c>
      <c r="AA5" s="7">
        <v>3.7870431316156141</v>
      </c>
      <c r="AB5" s="7">
        <v>0.25125377297182172</v>
      </c>
      <c r="AC5" s="7">
        <v>2.40184648387137</v>
      </c>
      <c r="AD5" s="7">
        <v>-0.47720407341793575</v>
      </c>
      <c r="AE5" s="7">
        <v>-6.8756373015009101E-2</v>
      </c>
      <c r="AI5">
        <v>0</v>
      </c>
      <c r="AJ5" s="7">
        <v>4.7576949941840976</v>
      </c>
      <c r="AK5" s="7">
        <v>-0.10049183548715408</v>
      </c>
      <c r="AL5" s="7">
        <v>2.440277101838757</v>
      </c>
      <c r="AM5" s="7">
        <v>-0.16555906588400157</v>
      </c>
      <c r="AN5" s="7">
        <v>-0.46219515920753929</v>
      </c>
    </row>
    <row r="6" spans="2:40" x14ac:dyDescent="0.3">
      <c r="B6" s="2"/>
      <c r="C6" s="5">
        <v>1</v>
      </c>
      <c r="D6" s="7">
        <v>10.1757874311372</v>
      </c>
      <c r="E6" s="7">
        <v>2.2949259580686898</v>
      </c>
      <c r="F6" s="7">
        <v>0.49657078173872798</v>
      </c>
      <c r="H6" s="2"/>
      <c r="I6" s="5">
        <f t="shared" si="2"/>
        <v>0</v>
      </c>
      <c r="J6" s="6">
        <f t="shared" si="0"/>
        <v>3.3470685335106993</v>
      </c>
      <c r="K6" s="6">
        <f t="shared" si="0"/>
        <v>1.1984476082576963</v>
      </c>
      <c r="L6" s="6">
        <f t="shared" si="0"/>
        <v>-1.009928719157466</v>
      </c>
      <c r="O6">
        <v>1</v>
      </c>
      <c r="P6" s="7">
        <v>1.10505915219467</v>
      </c>
      <c r="Q6" s="7">
        <v>0.80392077159111097</v>
      </c>
      <c r="T6">
        <f t="shared" si="1"/>
        <v>0</v>
      </c>
      <c r="U6" s="7">
        <f t="shared" si="1"/>
        <v>0.14412359703194932</v>
      </c>
      <c r="V6" s="7">
        <f t="shared" si="1"/>
        <v>-0.31487476769312417</v>
      </c>
      <c r="Z6">
        <v>0</v>
      </c>
      <c r="AA6" s="7">
        <v>3.3470685335106993</v>
      </c>
      <c r="AB6" s="7">
        <v>0.14412359703194932</v>
      </c>
      <c r="AC6" s="7">
        <v>1.1984476082576963</v>
      </c>
      <c r="AD6" s="7">
        <v>-0.31487476769312417</v>
      </c>
      <c r="AE6" s="7">
        <v>-1.009928719157466</v>
      </c>
      <c r="AI6">
        <v>0</v>
      </c>
      <c r="AJ6" s="7">
        <v>3.9036608653729594</v>
      </c>
      <c r="AK6" s="7">
        <v>0.12813154874648805</v>
      </c>
      <c r="AL6" s="7">
        <v>2.7421571025595775</v>
      </c>
      <c r="AM6" s="7">
        <v>-0.74228316302045905</v>
      </c>
      <c r="AN6" s="7">
        <v>0.13162555511216906</v>
      </c>
    </row>
    <row r="7" spans="2:40" x14ac:dyDescent="0.3">
      <c r="B7" s="8" t="s">
        <v>7</v>
      </c>
      <c r="C7" s="5">
        <f>AVERAGE(C4:C6)</f>
        <v>1</v>
      </c>
      <c r="D7" s="6">
        <f t="shared" ref="D7:F7" si="3">AVERAGE(D4:D6)</f>
        <v>13.392888199844668</v>
      </c>
      <c r="E7" s="6">
        <f t="shared" si="3"/>
        <v>3.4216726609022765</v>
      </c>
      <c r="F7" s="6">
        <f t="shared" si="3"/>
        <v>0.73942013234227577</v>
      </c>
      <c r="H7" s="8" t="s">
        <v>7</v>
      </c>
      <c r="I7" s="5">
        <f>AVERAGE(I4:I6)</f>
        <v>0</v>
      </c>
      <c r="J7" s="6">
        <f t="shared" ref="J7:L7" si="4">AVERAGE(J4:J6)</f>
        <v>3.7173030513852541</v>
      </c>
      <c r="K7" s="6">
        <f t="shared" si="4"/>
        <v>1.6751259289431488</v>
      </c>
      <c r="L7" s="6">
        <f t="shared" si="4"/>
        <v>-0.48635824855699644</v>
      </c>
      <c r="N7" s="8" t="s">
        <v>7</v>
      </c>
      <c r="O7">
        <f>AVERAGE(O4:O6)</f>
        <v>1</v>
      </c>
      <c r="P7" s="7">
        <f t="shared" ref="P7" si="5">AVERAGE(P4:P6)</f>
        <v>1.1660841103441502</v>
      </c>
      <c r="Q7" s="7">
        <f>AVERAGE(Q4:Q6)</f>
        <v>0.83748170648733866</v>
      </c>
      <c r="S7" s="8" t="s">
        <v>7</v>
      </c>
      <c r="T7">
        <f>AVERAGE(T4:T6)</f>
        <v>0</v>
      </c>
      <c r="U7" s="7">
        <f t="shared" ref="U7" si="6">AVERAGE(U4:U6)</f>
        <v>0.22065220318347714</v>
      </c>
      <c r="V7" s="7">
        <f>AVERAGE(V4:V6)</f>
        <v>-0.26878375557917583</v>
      </c>
      <c r="Y7" t="s">
        <v>7</v>
      </c>
      <c r="Z7">
        <v>0</v>
      </c>
      <c r="AA7" s="7">
        <v>3.7173030513852541</v>
      </c>
      <c r="AB7" s="7">
        <v>0.22065220318347714</v>
      </c>
      <c r="AC7" s="7">
        <v>1.6751259289431488</v>
      </c>
      <c r="AD7" s="7">
        <v>-0.26878375557917583</v>
      </c>
      <c r="AE7" s="7">
        <v>-0.48635824855699644</v>
      </c>
      <c r="AH7" t="s">
        <v>7</v>
      </c>
      <c r="AI7">
        <v>0</v>
      </c>
      <c r="AJ7" s="7">
        <v>4.1885606796681278</v>
      </c>
      <c r="AK7" s="7">
        <v>1.0174992249506654</v>
      </c>
      <c r="AL7" s="7">
        <v>2.5859329623807601</v>
      </c>
      <c r="AM7" s="7">
        <v>-0.37609862557092383</v>
      </c>
      <c r="AN7" s="7">
        <v>-0.15670948138897384</v>
      </c>
    </row>
    <row r="8" spans="2:40" x14ac:dyDescent="0.3">
      <c r="B8" s="8" t="s">
        <v>8</v>
      </c>
      <c r="C8" s="5">
        <f>_xlfn.STDEV.P(C4:C6)</f>
        <v>0</v>
      </c>
      <c r="D8" s="6">
        <f t="shared" ref="D8:F8" si="7">_xlfn.STDEV.P(D4:D6)</f>
        <v>2.4759517447557386</v>
      </c>
      <c r="E8" s="6">
        <f t="shared" si="7"/>
        <v>1.3270283245264494</v>
      </c>
      <c r="F8" s="6">
        <f t="shared" si="7"/>
        <v>0.1876332314173807</v>
      </c>
      <c r="H8" s="8" t="s">
        <v>8</v>
      </c>
      <c r="I8" s="5">
        <f>_xlfn.STDEV.P(I4:I6)</f>
        <v>0</v>
      </c>
      <c r="J8" s="6">
        <f t="shared" ref="J8:L8" si="8">_xlfn.STDEV.P(J4:J6)</f>
        <v>0.2782290327957897</v>
      </c>
      <c r="K8" s="6">
        <f t="shared" si="8"/>
        <v>0.52213220077926603</v>
      </c>
      <c r="L8" s="6">
        <f t="shared" si="8"/>
        <v>0.39147018076291629</v>
      </c>
      <c r="N8" s="8" t="s">
        <v>8</v>
      </c>
      <c r="O8">
        <f>STDEV(O4:O6)</f>
        <v>0</v>
      </c>
      <c r="P8" s="7">
        <f t="shared" ref="P8" si="9">STDEV(P4:P6)</f>
        <v>5.3229945512603592E-2</v>
      </c>
      <c r="Q8" s="7">
        <f>STDEV(Q4:Q6)</f>
        <v>0.13896709028327489</v>
      </c>
      <c r="S8" s="8" t="s">
        <v>8</v>
      </c>
      <c r="T8">
        <f>STDEV(T4:T6)</f>
        <v>0</v>
      </c>
      <c r="U8" s="7">
        <f t="shared" ref="U8" si="10">STDEV(U4:U6)</f>
        <v>6.6717225294940674E-2</v>
      </c>
      <c r="V8" s="7">
        <f>STDEV(V4:V6)</f>
        <v>0.23488234007689274</v>
      </c>
      <c r="Y8" t="s">
        <v>8</v>
      </c>
      <c r="Z8">
        <v>0</v>
      </c>
      <c r="AA8" s="7">
        <v>0.2782290327957897</v>
      </c>
      <c r="AB8" s="7">
        <v>6.6717225294940674E-2</v>
      </c>
      <c r="AC8" s="7">
        <v>0.52213220077926603</v>
      </c>
      <c r="AD8" s="7">
        <v>0.23488234007689274</v>
      </c>
      <c r="AE8" s="7">
        <v>0.39147018076291629</v>
      </c>
      <c r="AH8" t="s">
        <v>8</v>
      </c>
      <c r="AI8">
        <v>0</v>
      </c>
      <c r="AJ8" s="7">
        <v>0.40243882485861643</v>
      </c>
      <c r="AK8" s="7">
        <v>8.049445097899266E-2</v>
      </c>
      <c r="AL8" s="7">
        <v>0.1234683498166286</v>
      </c>
      <c r="AM8" s="7">
        <v>0.31831068216682373</v>
      </c>
      <c r="AN8" s="7">
        <v>0.24272943587733142</v>
      </c>
    </row>
    <row r="11" spans="2:40" x14ac:dyDescent="0.3">
      <c r="B11" s="1"/>
      <c r="C11" s="32" t="s">
        <v>25</v>
      </c>
      <c r="D11" s="32"/>
      <c r="E11" s="32"/>
      <c r="F11" s="32"/>
      <c r="G11" s="9"/>
      <c r="H11" s="1"/>
      <c r="I11" s="32" t="s">
        <v>10</v>
      </c>
      <c r="J11" s="32"/>
      <c r="K11" s="32"/>
      <c r="L11" s="32"/>
      <c r="O11" s="34" t="s">
        <v>25</v>
      </c>
      <c r="P11" s="34"/>
      <c r="Q11" s="34"/>
      <c r="T11" s="34" t="s">
        <v>10</v>
      </c>
      <c r="U11" s="34"/>
      <c r="V11" s="34"/>
    </row>
    <row r="12" spans="2:40" ht="15" x14ac:dyDescent="0.3">
      <c r="B12" s="2"/>
      <c r="C12" s="1" t="s">
        <v>2</v>
      </c>
      <c r="D12" s="1" t="s">
        <v>3</v>
      </c>
      <c r="E12" s="1" t="s">
        <v>4</v>
      </c>
      <c r="F12" s="3" t="s">
        <v>5</v>
      </c>
      <c r="G12" s="1"/>
      <c r="H12" s="2"/>
      <c r="I12" s="1" t="s">
        <v>2</v>
      </c>
      <c r="J12" s="1" t="s">
        <v>3</v>
      </c>
      <c r="K12" s="1" t="s">
        <v>4</v>
      </c>
      <c r="L12" s="3" t="s">
        <v>5</v>
      </c>
      <c r="O12" s="11" t="s">
        <v>12</v>
      </c>
      <c r="P12" s="11" t="s">
        <v>13</v>
      </c>
      <c r="Q12" s="11" t="s">
        <v>14</v>
      </c>
      <c r="T12" s="11" t="s">
        <v>12</v>
      </c>
      <c r="U12" s="11" t="s">
        <v>13</v>
      </c>
      <c r="V12" s="11" t="s">
        <v>14</v>
      </c>
    </row>
    <row r="13" spans="2:40" x14ac:dyDescent="0.3">
      <c r="B13" s="4" t="s">
        <v>6</v>
      </c>
      <c r="C13" s="5">
        <v>1</v>
      </c>
      <c r="D13" s="6">
        <v>4.9050852792114696</v>
      </c>
      <c r="E13" s="6">
        <v>2.0399913580878599</v>
      </c>
      <c r="F13" s="6">
        <v>1.01582147398281</v>
      </c>
      <c r="G13" s="33"/>
      <c r="H13" s="4" t="s">
        <v>6</v>
      </c>
      <c r="I13" s="5">
        <f>LOG(C13,2)</f>
        <v>0</v>
      </c>
      <c r="J13" s="6">
        <f t="shared" ref="J13:L15" si="11">LOG(D13,2)</f>
        <v>2.2942782191817135</v>
      </c>
      <c r="K13" s="6">
        <f t="shared" si="11"/>
        <v>1.0285630405937336</v>
      </c>
      <c r="L13" s="6">
        <f t="shared" si="11"/>
        <v>2.2646877276691121E-2</v>
      </c>
      <c r="N13" s="14" t="s">
        <v>6</v>
      </c>
      <c r="O13">
        <v>1</v>
      </c>
      <c r="P13" s="7">
        <v>0.70437202650497399</v>
      </c>
      <c r="Q13" s="7">
        <v>0.95599440813745395</v>
      </c>
      <c r="S13" s="14" t="s">
        <v>6</v>
      </c>
      <c r="T13">
        <f t="shared" ref="T13:V15" si="12">LOG(O13,2)</f>
        <v>0</v>
      </c>
      <c r="U13" s="7">
        <f t="shared" si="12"/>
        <v>-0.50559047990324246</v>
      </c>
      <c r="V13" s="7">
        <f t="shared" si="12"/>
        <v>-6.4925915359119332E-2</v>
      </c>
    </row>
    <row r="14" spans="2:40" x14ac:dyDescent="0.3">
      <c r="B14" s="2"/>
      <c r="C14" s="5">
        <v>1</v>
      </c>
      <c r="D14" s="6">
        <v>3.27066381576154</v>
      </c>
      <c r="E14" s="6">
        <v>2.3162714657693901</v>
      </c>
      <c r="F14" s="6">
        <v>1.2010572282274701</v>
      </c>
      <c r="G14" s="33"/>
      <c r="H14" s="2"/>
      <c r="I14" s="5">
        <f t="shared" ref="I14:I15" si="13">LOG(C14,2)</f>
        <v>0</v>
      </c>
      <c r="J14" s="6">
        <f t="shared" si="11"/>
        <v>1.7095834756360953</v>
      </c>
      <c r="K14" s="6">
        <f t="shared" si="11"/>
        <v>1.2118043463186172</v>
      </c>
      <c r="L14" s="6">
        <f t="shared" si="11"/>
        <v>0.26430489451811157</v>
      </c>
      <c r="O14">
        <v>1</v>
      </c>
      <c r="P14" s="7">
        <v>0.754187153715285</v>
      </c>
      <c r="Q14" s="7">
        <v>1.38545686120051</v>
      </c>
      <c r="T14">
        <f t="shared" si="12"/>
        <v>0</v>
      </c>
      <c r="U14" s="7">
        <f t="shared" si="12"/>
        <v>-0.40700551803426716</v>
      </c>
      <c r="V14" s="7">
        <f t="shared" si="12"/>
        <v>0.47036179050103083</v>
      </c>
    </row>
    <row r="15" spans="2:40" x14ac:dyDescent="0.3">
      <c r="B15" s="2"/>
      <c r="C15" s="5">
        <v>1</v>
      </c>
      <c r="D15" s="6">
        <v>3.0340180410320898</v>
      </c>
      <c r="E15" s="6">
        <v>1.29075916796628</v>
      </c>
      <c r="F15" s="6">
        <v>0.85764657453567605</v>
      </c>
      <c r="G15" s="33"/>
      <c r="H15" s="2"/>
      <c r="I15" s="5">
        <f t="shared" si="13"/>
        <v>0</v>
      </c>
      <c r="J15" s="6">
        <f t="shared" si="11"/>
        <v>1.601229664236939</v>
      </c>
      <c r="K15" s="6">
        <f t="shared" si="11"/>
        <v>0.36821984526759682</v>
      </c>
      <c r="L15" s="6">
        <f t="shared" si="11"/>
        <v>-0.22154484134545133</v>
      </c>
      <c r="O15">
        <v>1</v>
      </c>
      <c r="P15" s="7">
        <v>0.47756319649728102</v>
      </c>
      <c r="Q15" s="7">
        <v>0.69790843601790498</v>
      </c>
      <c r="T15">
        <f t="shared" si="12"/>
        <v>0</v>
      </c>
      <c r="U15" s="7">
        <f t="shared" si="12"/>
        <v>-1.0662364355810081</v>
      </c>
      <c r="V15" s="7">
        <f t="shared" si="12"/>
        <v>-0.51889032430923965</v>
      </c>
    </row>
    <row r="16" spans="2:40" x14ac:dyDescent="0.3">
      <c r="B16" s="8" t="s">
        <v>7</v>
      </c>
      <c r="C16" s="10">
        <f>AVERAGE(C13:C15)</f>
        <v>1</v>
      </c>
      <c r="D16" s="6">
        <f t="shared" ref="D16" si="14">AVERAGE(D13:D15)</f>
        <v>3.7365890453350334</v>
      </c>
      <c r="E16" s="6">
        <f>AVERAGE(E13:E15)</f>
        <v>1.8823406639411768</v>
      </c>
      <c r="F16" s="6">
        <f>AVERAGE(F13:F15)</f>
        <v>1.0248417589153187</v>
      </c>
      <c r="G16" s="6"/>
      <c r="H16" s="8" t="s">
        <v>7</v>
      </c>
      <c r="I16" s="10">
        <f>AVERAGE(I13:I15)</f>
        <v>0</v>
      </c>
      <c r="J16" s="6">
        <f t="shared" ref="J16" si="15">AVERAGE(J13:J15)</f>
        <v>1.8683637863515827</v>
      </c>
      <c r="K16" s="6">
        <f>AVERAGE(K13:K15)</f>
        <v>0.86952907739331586</v>
      </c>
      <c r="L16" s="6">
        <f>AVERAGE(L13:L15)</f>
        <v>2.1802310149783788E-2</v>
      </c>
      <c r="N16" s="8" t="s">
        <v>7</v>
      </c>
      <c r="O16">
        <f>AVERAGE(O13:O15)</f>
        <v>1</v>
      </c>
      <c r="P16" s="7">
        <f t="shared" ref="P16" si="16">AVERAGE(P13:P15)</f>
        <v>0.64537412557251328</v>
      </c>
      <c r="Q16" s="7">
        <f>AVERAGE(Q13:Q15)</f>
        <v>1.0131199017852897</v>
      </c>
      <c r="S16" s="8" t="s">
        <v>7</v>
      </c>
      <c r="T16">
        <f>AVERAGE(T13:T15)</f>
        <v>0</v>
      </c>
      <c r="U16" s="7">
        <f t="shared" ref="U16" si="17">AVERAGE(U13:U15)</f>
        <v>-0.65961081117283926</v>
      </c>
      <c r="V16" s="7">
        <f>AVERAGE(V13:V15)</f>
        <v>-3.7818149722442719E-2</v>
      </c>
    </row>
    <row r="17" spans="2:31" x14ac:dyDescent="0.3">
      <c r="B17" s="8" t="s">
        <v>8</v>
      </c>
      <c r="C17" s="10">
        <f>_xlfn.STDEV.P(C13:C15)</f>
        <v>0</v>
      </c>
      <c r="D17" s="6">
        <f t="shared" ref="D17" si="18">_xlfn.STDEV.P(D13:D15)</f>
        <v>0.83188055717628417</v>
      </c>
      <c r="E17" s="6">
        <f>_xlfn.STDEV.P(E13:E15)</f>
        <v>0.43325063897629462</v>
      </c>
      <c r="F17" s="6">
        <f>_xlfn.STDEV.P(F13:F15)</f>
        <v>0.14034182893315331</v>
      </c>
      <c r="G17" s="6"/>
      <c r="H17" s="8" t="s">
        <v>8</v>
      </c>
      <c r="I17" s="10">
        <f>_xlfn.STDEV.P(I13:I15)</f>
        <v>0</v>
      </c>
      <c r="J17" s="6">
        <f t="shared" ref="J17" si="19">_xlfn.STDEV.P(J13:J15)</f>
        <v>0.30439827548891635</v>
      </c>
      <c r="K17" s="6">
        <f>_xlfn.STDEV.P(K13:K15)</f>
        <v>0.36228676826679596</v>
      </c>
      <c r="L17" s="6">
        <f>_xlfn.STDEV.P(L13:L15)</f>
        <v>0.19834822313278122</v>
      </c>
      <c r="N17" s="8" t="s">
        <v>8</v>
      </c>
      <c r="O17">
        <f>STDEV(O13:O15)</f>
        <v>0</v>
      </c>
      <c r="P17" s="7">
        <f t="shared" ref="P17" si="20">STDEV(P13:P15)</f>
        <v>0.14744750815990207</v>
      </c>
      <c r="Q17" s="7">
        <f>STDEV(Q13:Q15)</f>
        <v>0.34731570762226066</v>
      </c>
      <c r="S17" s="8" t="s">
        <v>8</v>
      </c>
      <c r="T17">
        <f>STDEV(T13:T15)</f>
        <v>0</v>
      </c>
      <c r="U17" s="7">
        <f t="shared" ref="U17" si="21">STDEV(U13:U15)</f>
        <v>0.35558128113790916</v>
      </c>
      <c r="V17" s="7">
        <f>STDEV(V13:V15)</f>
        <v>0.49518285499652337</v>
      </c>
    </row>
    <row r="20" spans="2:31" x14ac:dyDescent="0.3">
      <c r="B20" s="1"/>
      <c r="C20" s="29" t="s">
        <v>26</v>
      </c>
      <c r="D20" s="29"/>
      <c r="E20" s="29"/>
      <c r="F20" s="29"/>
      <c r="H20" s="1"/>
      <c r="I20" s="29" t="s">
        <v>15</v>
      </c>
      <c r="J20" s="29"/>
      <c r="K20" s="29"/>
      <c r="L20" s="29"/>
      <c r="O20" s="34" t="s">
        <v>26</v>
      </c>
      <c r="P20" s="34"/>
      <c r="Q20" s="34"/>
      <c r="T20" s="34" t="s">
        <v>15</v>
      </c>
      <c r="U20" s="34"/>
      <c r="V20" s="34"/>
    </row>
    <row r="21" spans="2:31" ht="15" x14ac:dyDescent="0.3">
      <c r="B21" s="2"/>
      <c r="C21" s="1" t="s">
        <v>2</v>
      </c>
      <c r="D21" s="1" t="s">
        <v>3</v>
      </c>
      <c r="E21" s="1" t="s">
        <v>4</v>
      </c>
      <c r="F21" s="3" t="s">
        <v>5</v>
      </c>
      <c r="H21" s="2"/>
      <c r="I21" s="1" t="s">
        <v>2</v>
      </c>
      <c r="J21" s="1" t="s">
        <v>3</v>
      </c>
      <c r="K21" s="1" t="s">
        <v>4</v>
      </c>
      <c r="L21" s="3" t="s">
        <v>5</v>
      </c>
      <c r="O21" s="11" t="s">
        <v>12</v>
      </c>
      <c r="P21" s="11" t="s">
        <v>13</v>
      </c>
      <c r="Q21" s="11" t="s">
        <v>14</v>
      </c>
      <c r="T21" s="11" t="s">
        <v>12</v>
      </c>
      <c r="U21" s="11" t="s">
        <v>13</v>
      </c>
      <c r="V21" s="11" t="s">
        <v>14</v>
      </c>
    </row>
    <row r="22" spans="2:31" x14ac:dyDescent="0.3">
      <c r="B22" s="4" t="s">
        <v>6</v>
      </c>
      <c r="C22" s="5">
        <v>1</v>
      </c>
      <c r="D22" s="6">
        <v>14.9733609152594</v>
      </c>
      <c r="E22" s="6">
        <v>5.9602162784990798</v>
      </c>
      <c r="F22" s="6">
        <v>0.907796706908784</v>
      </c>
      <c r="H22" s="4" t="s">
        <v>6</v>
      </c>
      <c r="I22" s="5">
        <f>LOG(C22,2)</f>
        <v>0</v>
      </c>
      <c r="J22" s="6">
        <f t="shared" ref="J22:L24" si="22">LOG(D22,2)</f>
        <v>3.9043261794473274</v>
      </c>
      <c r="K22" s="6">
        <f t="shared" si="22"/>
        <v>2.5753646827439463</v>
      </c>
      <c r="L22" s="6">
        <f t="shared" si="22"/>
        <v>-0.13955884007155125</v>
      </c>
      <c r="N22" s="14" t="s">
        <v>6</v>
      </c>
      <c r="O22" s="13">
        <v>1</v>
      </c>
      <c r="P22" s="7">
        <v>1.02690532746046</v>
      </c>
      <c r="Q22" s="7">
        <v>0.85829550752834705</v>
      </c>
      <c r="S22" s="14" t="s">
        <v>6</v>
      </c>
      <c r="T22" s="13">
        <f t="shared" ref="T22:V24" si="23">LOG(O22,2)</f>
        <v>0</v>
      </c>
      <c r="U22" s="7">
        <f t="shared" si="23"/>
        <v>3.8303182728091939E-2</v>
      </c>
      <c r="V22" s="7">
        <f t="shared" si="23"/>
        <v>-0.22045364780831087</v>
      </c>
    </row>
    <row r="23" spans="2:31" x14ac:dyDescent="0.3">
      <c r="B23" s="2"/>
      <c r="C23" s="5">
        <v>1</v>
      </c>
      <c r="D23" s="6">
        <v>27.052593296637198</v>
      </c>
      <c r="E23" s="6">
        <v>5.4274596746618302</v>
      </c>
      <c r="F23" s="6">
        <v>0.72588094045230001</v>
      </c>
      <c r="H23" s="2"/>
      <c r="I23" s="5">
        <f t="shared" ref="I23:I24" si="24">LOG(C23,2)</f>
        <v>0</v>
      </c>
      <c r="J23" s="6">
        <f t="shared" si="22"/>
        <v>4.7576949941840976</v>
      </c>
      <c r="K23" s="6">
        <f t="shared" si="22"/>
        <v>2.440277101838757</v>
      </c>
      <c r="L23" s="6">
        <f t="shared" si="22"/>
        <v>-0.46219515920753929</v>
      </c>
      <c r="O23" s="13">
        <v>1</v>
      </c>
      <c r="P23" s="7">
        <v>0.93271496138544596</v>
      </c>
      <c r="Q23" s="7">
        <v>0.89158295075313199</v>
      </c>
      <c r="T23" s="13">
        <f t="shared" si="23"/>
        <v>0</v>
      </c>
      <c r="U23" s="7">
        <f t="shared" si="23"/>
        <v>-0.10049183548715408</v>
      </c>
      <c r="V23" s="7">
        <f t="shared" si="23"/>
        <v>-0.16555906588400157</v>
      </c>
    </row>
    <row r="24" spans="2:31" x14ac:dyDescent="0.3">
      <c r="B24" s="2"/>
      <c r="C24" s="5">
        <v>1</v>
      </c>
      <c r="D24" s="6">
        <v>14.9664573834732</v>
      </c>
      <c r="E24" s="6">
        <v>6.6906997447058503</v>
      </c>
      <c r="F24" s="6">
        <v>1.09552739043026</v>
      </c>
      <c r="H24" s="2"/>
      <c r="I24" s="5">
        <f t="shared" si="24"/>
        <v>0</v>
      </c>
      <c r="J24" s="6">
        <f t="shared" si="22"/>
        <v>3.9036608653729594</v>
      </c>
      <c r="K24" s="6">
        <f t="shared" si="22"/>
        <v>2.7421571025595775</v>
      </c>
      <c r="L24" s="6">
        <f t="shared" si="22"/>
        <v>0.13162555511216906</v>
      </c>
      <c r="O24" s="13">
        <v>1</v>
      </c>
      <c r="P24" s="7">
        <v>1.0928773860060901</v>
      </c>
      <c r="Q24" s="7">
        <v>0.59779255594636205</v>
      </c>
      <c r="T24" s="13">
        <f t="shared" si="23"/>
        <v>0</v>
      </c>
      <c r="U24" s="7">
        <f t="shared" si="23"/>
        <v>0.12813154874648805</v>
      </c>
      <c r="V24" s="7">
        <f t="shared" si="23"/>
        <v>-0.74228316302045905</v>
      </c>
    </row>
    <row r="25" spans="2:31" x14ac:dyDescent="0.3">
      <c r="B25" s="8" t="s">
        <v>7</v>
      </c>
      <c r="C25" s="5">
        <f>AVERAGE(C22:C24)</f>
        <v>1</v>
      </c>
      <c r="D25" s="6">
        <f>AVERAGE(D22:D24)</f>
        <v>18.997470531789933</v>
      </c>
      <c r="E25" s="6">
        <f>AVERAGE(E22:E24)</f>
        <v>6.0261252326222534</v>
      </c>
      <c r="F25" s="6">
        <f>AVERAGE(F22:F24)</f>
        <v>0.90973501259711453</v>
      </c>
      <c r="H25" s="8" t="s">
        <v>7</v>
      </c>
      <c r="I25" s="5">
        <f>AVERAGE(I22:I24)</f>
        <v>0</v>
      </c>
      <c r="J25" s="6">
        <f>AVERAGE(J22:J24)</f>
        <v>4.1885606796681278</v>
      </c>
      <c r="K25" s="6">
        <f>AVERAGE(K22:K24)</f>
        <v>2.5859329623807601</v>
      </c>
      <c r="L25" s="6">
        <f>AVERAGE(L22:L24)</f>
        <v>-0.15670948138897384</v>
      </c>
      <c r="N25" s="12" t="s">
        <v>7</v>
      </c>
      <c r="O25" s="13">
        <f>AVERAGE(O22:O24)</f>
        <v>1</v>
      </c>
      <c r="P25" s="7">
        <v>1.0174992249506654</v>
      </c>
      <c r="Q25" s="7">
        <f t="shared" ref="Q25" si="25">AVERAGE(Q22:Q24)</f>
        <v>0.78255700474261369</v>
      </c>
      <c r="S25" s="12" t="s">
        <v>7</v>
      </c>
      <c r="T25" s="13">
        <f>AVERAGE(T22:T24)</f>
        <v>0</v>
      </c>
      <c r="U25" s="7">
        <v>1.0174992249506654</v>
      </c>
      <c r="V25" s="7">
        <f t="shared" ref="V25" si="26">AVERAGE(V22:V24)</f>
        <v>-0.37609862557092383</v>
      </c>
      <c r="Z25" s="30" t="s">
        <v>10</v>
      </c>
      <c r="AA25" s="30"/>
      <c r="AB25" s="30"/>
      <c r="AC25" s="30"/>
      <c r="AD25" s="30"/>
      <c r="AE25" s="30"/>
    </row>
    <row r="26" spans="2:31" x14ac:dyDescent="0.3">
      <c r="B26" s="8" t="s">
        <v>8</v>
      </c>
      <c r="C26" s="10">
        <f>_xlfn.STDEV.P(C22:C24)</f>
        <v>0</v>
      </c>
      <c r="D26" s="6">
        <f>_xlfn.STDEV.P(D22:D24)</f>
        <v>5.6958326275888354</v>
      </c>
      <c r="E26" s="6">
        <f>_xlfn.STDEV.P(E22:E24)</f>
        <v>0.5178171242928743</v>
      </c>
      <c r="F26" s="6">
        <f>_xlfn.STDEV.P(F22:F24)</f>
        <v>0.15091375520924374</v>
      </c>
      <c r="H26" s="8" t="s">
        <v>8</v>
      </c>
      <c r="I26" s="10">
        <f>_xlfn.STDEV.P(I22:I24)</f>
        <v>0</v>
      </c>
      <c r="J26" s="6">
        <f>_xlfn.STDEV.P(J22:J24)</f>
        <v>0.40243882485861643</v>
      </c>
      <c r="K26" s="6">
        <f>_xlfn.STDEV.P(K22:K24)</f>
        <v>0.1234683498166286</v>
      </c>
      <c r="L26" s="6">
        <f>_xlfn.STDEV.P(L22:L24)</f>
        <v>0.24272943587733142</v>
      </c>
      <c r="N26" s="12" t="s">
        <v>8</v>
      </c>
      <c r="O26" s="13">
        <f>STDEV(O22:O24)</f>
        <v>0</v>
      </c>
      <c r="P26" s="7">
        <v>8.049445097899266E-2</v>
      </c>
      <c r="Q26" s="7">
        <f t="shared" ref="Q26" si="27">STDEV(Q22:Q24)</f>
        <v>0.16087398678266121</v>
      </c>
      <c r="S26" s="12" t="s">
        <v>8</v>
      </c>
      <c r="T26" s="13">
        <f>STDEV(T22:T24)</f>
        <v>0</v>
      </c>
      <c r="U26" s="7">
        <v>8.049445097899266E-2</v>
      </c>
      <c r="V26" s="7">
        <f t="shared" ref="V26" si="28">STDEV(V22:V24)</f>
        <v>0.31831068216682373</v>
      </c>
      <c r="Z26" t="s">
        <v>2</v>
      </c>
      <c r="AA26" t="s">
        <v>3</v>
      </c>
      <c r="AB26" t="s">
        <v>13</v>
      </c>
      <c r="AC26" t="s">
        <v>4</v>
      </c>
      <c r="AD26" t="s">
        <v>14</v>
      </c>
      <c r="AE26" t="s">
        <v>23</v>
      </c>
    </row>
    <row r="27" spans="2:31" x14ac:dyDescent="0.3">
      <c r="Y27" t="s">
        <v>6</v>
      </c>
      <c r="Z27">
        <v>0</v>
      </c>
      <c r="AA27" s="7">
        <v>2.2942782191817135</v>
      </c>
      <c r="AB27" s="7">
        <v>-0.50559047990324246</v>
      </c>
      <c r="AC27" s="7">
        <v>1.0285630405937336</v>
      </c>
      <c r="AD27" s="7">
        <v>-6.4925915359119332E-2</v>
      </c>
      <c r="AE27" s="7">
        <v>2.2646877276691121E-2</v>
      </c>
    </row>
    <row r="28" spans="2:31" x14ac:dyDescent="0.3">
      <c r="Z28">
        <v>0</v>
      </c>
      <c r="AA28" s="7">
        <v>1.7095834756360953</v>
      </c>
      <c r="AB28" s="7">
        <v>-0.40700551803426716</v>
      </c>
      <c r="AC28" s="7">
        <v>1.2118043463186172</v>
      </c>
      <c r="AD28" s="7">
        <v>0.47036179050103083</v>
      </c>
      <c r="AE28" s="7">
        <v>0.26430489451811157</v>
      </c>
    </row>
    <row r="29" spans="2:31" x14ac:dyDescent="0.3">
      <c r="Z29">
        <v>0</v>
      </c>
      <c r="AA29" s="7">
        <v>1.601229664236939</v>
      </c>
      <c r="AB29" s="7">
        <v>-1.0662364355810081</v>
      </c>
      <c r="AC29" s="7">
        <v>0.36821984526759682</v>
      </c>
      <c r="AD29" s="7">
        <v>-0.51889032430923965</v>
      </c>
      <c r="AE29" s="7">
        <v>-0.22154484134545133</v>
      </c>
    </row>
    <row r="30" spans="2:31" x14ac:dyDescent="0.3">
      <c r="Y30" t="s">
        <v>7</v>
      </c>
      <c r="Z30" s="13">
        <v>0</v>
      </c>
      <c r="AA30" s="7">
        <v>1.8683637863515827</v>
      </c>
      <c r="AB30" s="7">
        <v>-0.65961081117283926</v>
      </c>
      <c r="AC30" s="7">
        <v>0.86952907739331586</v>
      </c>
      <c r="AD30" s="7">
        <v>-3.7818149722442719E-2</v>
      </c>
      <c r="AE30" s="7">
        <v>2.1802310149783788E-2</v>
      </c>
    </row>
    <row r="31" spans="2:31" x14ac:dyDescent="0.3">
      <c r="Y31" t="s">
        <v>8</v>
      </c>
      <c r="Z31" s="13">
        <v>0</v>
      </c>
      <c r="AA31" s="7">
        <v>0.30439827548891635</v>
      </c>
      <c r="AB31" s="7">
        <v>0.35558128113790916</v>
      </c>
      <c r="AC31" s="7">
        <v>0.36228676826679596</v>
      </c>
      <c r="AD31" s="7">
        <v>0.49518285499652337</v>
      </c>
      <c r="AE31" s="7">
        <v>0.19834822313278122</v>
      </c>
    </row>
  </sheetData>
  <mergeCells count="16">
    <mergeCell ref="C20:F20"/>
    <mergeCell ref="I20:L20"/>
    <mergeCell ref="Z25:AE25"/>
    <mergeCell ref="AI2:AN2"/>
    <mergeCell ref="C2:F2"/>
    <mergeCell ref="I2:L2"/>
    <mergeCell ref="C11:F11"/>
    <mergeCell ref="I11:L11"/>
    <mergeCell ref="G13:G15"/>
    <mergeCell ref="Z2:AE2"/>
    <mergeCell ref="O20:Q20"/>
    <mergeCell ref="T20:V20"/>
    <mergeCell ref="T2:V2"/>
    <mergeCell ref="O2:Q2"/>
    <mergeCell ref="O11:Q11"/>
    <mergeCell ref="T11:V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4D84-E4C9-49D1-A244-C08B763B1BBD}">
  <dimension ref="B2:AN33"/>
  <sheetViews>
    <sheetView workbookViewId="0">
      <selection activeCell="Q22" activeCellId="2" sqref="Q4:Q6 Q13:Q15 Q22:Q24"/>
    </sheetView>
  </sheetViews>
  <sheetFormatPr defaultRowHeight="14.4" x14ac:dyDescent="0.3"/>
  <cols>
    <col min="12" max="12" width="9.88671875" customWidth="1"/>
    <col min="16" max="17" width="10.77734375" bestFit="1" customWidth="1"/>
    <col min="21" max="22" width="10.77734375" bestFit="1" customWidth="1"/>
    <col min="26" max="26" width="6.33203125" customWidth="1"/>
    <col min="27" max="27" width="7.5546875" customWidth="1"/>
    <col min="28" max="28" width="10.6640625" bestFit="1" customWidth="1"/>
    <col min="29" max="29" width="7.5546875" customWidth="1"/>
    <col min="30" max="30" width="10.6640625" bestFit="1" customWidth="1"/>
    <col min="35" max="35" width="7" customWidth="1"/>
    <col min="36" max="36" width="7.5546875" customWidth="1"/>
    <col min="37" max="37" width="10.6640625" bestFit="1" customWidth="1"/>
    <col min="38" max="38" width="7.5546875" customWidth="1"/>
    <col min="39" max="39" width="10.6640625" bestFit="1" customWidth="1"/>
  </cols>
  <sheetData>
    <row r="2" spans="2:40" x14ac:dyDescent="0.3">
      <c r="C2" s="35" t="s">
        <v>24</v>
      </c>
      <c r="D2" s="35"/>
      <c r="E2" s="35"/>
      <c r="F2" s="35"/>
      <c r="I2" s="35" t="s">
        <v>1</v>
      </c>
      <c r="J2" s="35"/>
      <c r="K2" s="35"/>
      <c r="L2" s="35"/>
      <c r="O2" s="35" t="s">
        <v>24</v>
      </c>
      <c r="P2" s="35"/>
      <c r="Q2" s="35"/>
      <c r="T2" s="35" t="s">
        <v>1</v>
      </c>
      <c r="U2" s="35"/>
      <c r="V2" s="35"/>
      <c r="Z2" s="30" t="s">
        <v>1</v>
      </c>
      <c r="AA2" s="30"/>
      <c r="AB2" s="30"/>
      <c r="AC2" s="30"/>
      <c r="AD2" s="30"/>
      <c r="AE2" s="30"/>
      <c r="AI2" s="30" t="s">
        <v>15</v>
      </c>
      <c r="AJ2" s="30"/>
      <c r="AK2" s="30"/>
      <c r="AL2" s="30"/>
      <c r="AM2" s="30"/>
      <c r="AN2" s="30"/>
    </row>
    <row r="3" spans="2:40" ht="16.2" x14ac:dyDescent="0.3">
      <c r="C3" s="1" t="s">
        <v>2</v>
      </c>
      <c r="D3" s="3" t="s">
        <v>3</v>
      </c>
      <c r="E3" s="3" t="s">
        <v>4</v>
      </c>
      <c r="F3" s="3" t="s">
        <v>17</v>
      </c>
      <c r="I3" s="1" t="s">
        <v>2</v>
      </c>
      <c r="J3" s="3" t="s">
        <v>3</v>
      </c>
      <c r="K3" s="3" t="s">
        <v>4</v>
      </c>
      <c r="L3" s="3" t="s">
        <v>17</v>
      </c>
      <c r="O3" s="11" t="s">
        <v>12</v>
      </c>
      <c r="P3" s="11" t="s">
        <v>13</v>
      </c>
      <c r="Q3" s="11" t="s">
        <v>14</v>
      </c>
      <c r="T3" s="11" t="s">
        <v>12</v>
      </c>
      <c r="U3" s="11" t="s">
        <v>13</v>
      </c>
      <c r="V3" s="11" t="s">
        <v>14</v>
      </c>
      <c r="Z3" t="s">
        <v>2</v>
      </c>
      <c r="AA3" t="s">
        <v>3</v>
      </c>
      <c r="AB3" t="s">
        <v>13</v>
      </c>
      <c r="AC3" t="s">
        <v>4</v>
      </c>
      <c r="AD3" t="s">
        <v>14</v>
      </c>
      <c r="AE3" t="s">
        <v>23</v>
      </c>
      <c r="AI3" t="s">
        <v>2</v>
      </c>
      <c r="AJ3" t="s">
        <v>3</v>
      </c>
      <c r="AK3" t="s">
        <v>13</v>
      </c>
      <c r="AL3" t="s">
        <v>4</v>
      </c>
      <c r="AM3" t="s">
        <v>14</v>
      </c>
      <c r="AN3" t="s">
        <v>23</v>
      </c>
    </row>
    <row r="4" spans="2:40" x14ac:dyDescent="0.3">
      <c r="B4" s="4" t="s">
        <v>18</v>
      </c>
      <c r="C4" s="13">
        <v>1</v>
      </c>
      <c r="D4" s="7">
        <v>0.77228611129563796</v>
      </c>
      <c r="E4" s="7">
        <v>0.25247189691660499</v>
      </c>
      <c r="F4" s="7">
        <v>0.88174524369330798</v>
      </c>
      <c r="H4" s="4" t="s">
        <v>18</v>
      </c>
      <c r="I4" s="13">
        <f t="shared" ref="I4:L6" si="0">LOG(C4,2)</f>
        <v>0</v>
      </c>
      <c r="J4" s="7">
        <f t="shared" si="0"/>
        <v>-0.37279266853706711</v>
      </c>
      <c r="K4" s="7">
        <f t="shared" si="0"/>
        <v>-1.9858052869654461</v>
      </c>
      <c r="L4" s="7">
        <f t="shared" si="0"/>
        <v>-0.18156620639470655</v>
      </c>
      <c r="N4" s="12" t="s">
        <v>18</v>
      </c>
      <c r="O4">
        <v>1</v>
      </c>
      <c r="P4" s="7">
        <v>8.5123444421899208</v>
      </c>
      <c r="Q4" s="7">
        <v>3.7368640446993799</v>
      </c>
      <c r="S4" s="12" t="s">
        <v>18</v>
      </c>
      <c r="T4">
        <f t="shared" ref="T4:V6" si="1">LOG(O4,2)</f>
        <v>0</v>
      </c>
      <c r="U4" s="7">
        <f t="shared" si="1"/>
        <v>3.0895565290093785</v>
      </c>
      <c r="V4" s="7">
        <f t="shared" si="1"/>
        <v>1.9018280762672306</v>
      </c>
      <c r="Y4" t="s">
        <v>18</v>
      </c>
      <c r="Z4">
        <v>0</v>
      </c>
      <c r="AA4" s="7">
        <f t="shared" ref="AA4:AA6" si="2">LOG(U4,2)</f>
        <v>1.6273997703903897</v>
      </c>
      <c r="AB4" s="7">
        <v>3.0895565290093785</v>
      </c>
      <c r="AC4" s="7">
        <v>-1.9858052869654461</v>
      </c>
      <c r="AD4" s="7">
        <v>1.9018280762672306</v>
      </c>
      <c r="AE4" s="7">
        <v>-0.18156620639470655</v>
      </c>
      <c r="AH4" t="s">
        <v>18</v>
      </c>
      <c r="AI4">
        <v>0</v>
      </c>
      <c r="AJ4" s="7">
        <v>-1.1942141550940355</v>
      </c>
      <c r="AK4" s="7">
        <v>-5.6835227394435417E-2</v>
      </c>
      <c r="AL4" s="7">
        <v>-0.77410170346306661</v>
      </c>
      <c r="AM4" s="7">
        <v>0.2846684187703904</v>
      </c>
      <c r="AN4" s="7">
        <v>0.68477063735226906</v>
      </c>
    </row>
    <row r="5" spans="2:40" x14ac:dyDescent="0.3">
      <c r="B5" s="9"/>
      <c r="C5" s="13">
        <v>1</v>
      </c>
      <c r="D5" s="7">
        <v>2.9628889548402499</v>
      </c>
      <c r="E5" s="7">
        <v>0.63636297644240403</v>
      </c>
      <c r="F5" s="7">
        <v>0.58461348648300804</v>
      </c>
      <c r="H5" s="9"/>
      <c r="I5" s="13">
        <f t="shared" si="0"/>
        <v>0</v>
      </c>
      <c r="J5" s="7">
        <f t="shared" si="0"/>
        <v>1.5670045570101738</v>
      </c>
      <c r="K5" s="7">
        <f t="shared" si="0"/>
        <v>-0.65207819268275202</v>
      </c>
      <c r="L5" s="7">
        <f t="shared" si="0"/>
        <v>-0.77444498374249526</v>
      </c>
      <c r="O5">
        <v>1</v>
      </c>
      <c r="P5" s="7">
        <v>2.3489536847183201</v>
      </c>
      <c r="Q5" s="7">
        <v>1.5626382893552</v>
      </c>
      <c r="T5">
        <f t="shared" si="1"/>
        <v>0</v>
      </c>
      <c r="U5" s="7">
        <f t="shared" si="1"/>
        <v>1.2320182674216553</v>
      </c>
      <c r="V5" s="7">
        <f t="shared" si="1"/>
        <v>0.64398387011947267</v>
      </c>
      <c r="Z5">
        <v>0</v>
      </c>
      <c r="AA5" s="7">
        <f t="shared" si="2"/>
        <v>0.30102364736662129</v>
      </c>
      <c r="AB5" s="7">
        <v>1.2320182674216553</v>
      </c>
      <c r="AC5" s="7">
        <v>-0.65207819268275202</v>
      </c>
      <c r="AD5" s="7">
        <v>0.64398387011947267</v>
      </c>
      <c r="AE5" s="7">
        <v>-0.77444498374249526</v>
      </c>
      <c r="AI5">
        <v>0</v>
      </c>
      <c r="AJ5" s="7">
        <v>-1.0203172383546293</v>
      </c>
      <c r="AK5" s="7">
        <v>-0.34525311980606904</v>
      </c>
      <c r="AL5" s="7">
        <v>-1.1408916448113708</v>
      </c>
      <c r="AM5" s="7">
        <v>-0.27383562601272804</v>
      </c>
      <c r="AN5" s="7">
        <v>-0.75872257428538903</v>
      </c>
    </row>
    <row r="6" spans="2:40" x14ac:dyDescent="0.3">
      <c r="B6" s="9"/>
      <c r="C6" s="13">
        <v>1</v>
      </c>
      <c r="D6" s="7">
        <v>2.5859999999999999</v>
      </c>
      <c r="E6" s="7">
        <v>0.48799999999999999</v>
      </c>
      <c r="F6" s="7">
        <v>0.13680000434180001</v>
      </c>
      <c r="H6" s="9"/>
      <c r="I6" s="13">
        <f t="shared" si="0"/>
        <v>0</v>
      </c>
      <c r="J6" s="7">
        <f t="shared" si="0"/>
        <v>1.3707222751481671</v>
      </c>
      <c r="K6" s="7">
        <f t="shared" si="0"/>
        <v>-1.035046947099201</v>
      </c>
      <c r="L6" s="7">
        <f t="shared" si="0"/>
        <v>-2.8698598188748585</v>
      </c>
      <c r="O6">
        <v>1</v>
      </c>
      <c r="P6" s="7">
        <v>3.67716259503471</v>
      </c>
      <c r="Q6" s="7">
        <v>1.31855764153326</v>
      </c>
      <c r="T6">
        <f t="shared" si="1"/>
        <v>0</v>
      </c>
      <c r="U6" s="7">
        <f t="shared" si="1"/>
        <v>1.8785929703579101</v>
      </c>
      <c r="V6" s="7">
        <f t="shared" si="1"/>
        <v>0.39896064085471517</v>
      </c>
      <c r="Z6">
        <v>0</v>
      </c>
      <c r="AA6" s="7">
        <f t="shared" si="2"/>
        <v>0.90965251579618689</v>
      </c>
      <c r="AB6" s="7">
        <v>1.8785929703579101</v>
      </c>
      <c r="AC6" s="7">
        <v>-1.035046947099201</v>
      </c>
      <c r="AD6" s="7">
        <v>0.39896064085471517</v>
      </c>
      <c r="AE6" s="7">
        <v>-2.8698598188748585</v>
      </c>
      <c r="AI6">
        <v>0</v>
      </c>
      <c r="AJ6" s="7">
        <v>-0.69010028714083038</v>
      </c>
      <c r="AK6" s="7">
        <v>-4.8039043373461918E-2</v>
      </c>
      <c r="AL6" s="7">
        <v>-1.2224342563970585</v>
      </c>
      <c r="AM6" s="7">
        <v>-0.48864749763641868</v>
      </c>
      <c r="AN6" s="7">
        <v>-0.52730199311565595</v>
      </c>
    </row>
    <row r="7" spans="2:40" x14ac:dyDescent="0.3">
      <c r="B7" s="12" t="s">
        <v>7</v>
      </c>
      <c r="C7" s="13">
        <f>AVERAGE(C4:C6)</f>
        <v>1</v>
      </c>
      <c r="D7" s="7">
        <f>AVERAGE(D4:D6)</f>
        <v>2.1070583553786295</v>
      </c>
      <c r="E7" s="7">
        <f>AVERAGE(E4:E6)</f>
        <v>0.45894495778633632</v>
      </c>
      <c r="F7" s="7">
        <f>AVERAGE(F4:F6)</f>
        <v>0.53438624483937203</v>
      </c>
      <c r="H7" s="12" t="s">
        <v>7</v>
      </c>
      <c r="I7" s="13">
        <f>AVERAGE(I4:I6)</f>
        <v>0</v>
      </c>
      <c r="J7" s="7">
        <f t="shared" ref="J7" si="3">AVERAGE(J4:J6)</f>
        <v>0.85497805454042464</v>
      </c>
      <c r="K7" s="7">
        <f t="shared" ref="K7" si="4">AVERAGE(K4:K6)</f>
        <v>-1.2243101422491331</v>
      </c>
      <c r="L7" s="7">
        <f t="shared" ref="L7" si="5">AVERAGE(L4:L6)</f>
        <v>-1.2752903363373533</v>
      </c>
      <c r="N7" s="12" t="s">
        <v>7</v>
      </c>
      <c r="O7">
        <f>AVERAGE(O4:O6)</f>
        <v>1</v>
      </c>
      <c r="P7" s="7">
        <f t="shared" ref="P7:Q7" si="6">AVERAGE(P4:P6)</f>
        <v>4.8461535739809838</v>
      </c>
      <c r="Q7" s="7">
        <f t="shared" si="6"/>
        <v>2.2060199918626133</v>
      </c>
      <c r="S7" s="12" t="s">
        <v>7</v>
      </c>
      <c r="T7">
        <f>AVERAGE(T4:T6)</f>
        <v>0</v>
      </c>
      <c r="U7" s="7">
        <f t="shared" ref="U7:V7" si="7">AVERAGE(U4:U6)</f>
        <v>2.0667225889296481</v>
      </c>
      <c r="V7" s="7">
        <f t="shared" si="7"/>
        <v>0.98159086241380622</v>
      </c>
      <c r="Y7" t="s">
        <v>7</v>
      </c>
      <c r="Z7">
        <v>0</v>
      </c>
      <c r="AA7" s="7">
        <f t="shared" ref="AA7" si="8">AVERAGE(AA4:AA6)</f>
        <v>0.94602531118439925</v>
      </c>
      <c r="AB7" s="7">
        <v>2.0667225889296481</v>
      </c>
      <c r="AC7" s="7">
        <v>-1.2243101422491331</v>
      </c>
      <c r="AD7" s="7">
        <v>0.98159086241380622</v>
      </c>
      <c r="AE7" s="7">
        <v>-1.2752903363373533</v>
      </c>
      <c r="AH7" t="s">
        <v>7</v>
      </c>
      <c r="AI7">
        <v>0</v>
      </c>
      <c r="AJ7" s="7">
        <v>-0.96821056019649843</v>
      </c>
      <c r="AK7" s="7">
        <v>0.9052635768994276</v>
      </c>
      <c r="AL7" s="7">
        <v>-1.0458092015571652</v>
      </c>
      <c r="AM7" s="7">
        <v>-0.15927156829291877</v>
      </c>
      <c r="AN7" s="7">
        <v>-0.2004179766829253</v>
      </c>
    </row>
    <row r="8" spans="2:40" x14ac:dyDescent="0.3">
      <c r="B8" s="12" t="s">
        <v>8</v>
      </c>
      <c r="C8">
        <f>STDEV(C4:C6)</f>
        <v>0</v>
      </c>
      <c r="D8" s="7">
        <f>STDEV(D4:D6)</f>
        <v>1.1712062281045561</v>
      </c>
      <c r="E8" s="7">
        <f>STDEV(E4:E6)</f>
        <v>0.19358780138066339</v>
      </c>
      <c r="F8" s="7">
        <f>STDEV(F4:F6)</f>
        <v>0.37500391232687819</v>
      </c>
      <c r="H8" s="12" t="s">
        <v>8</v>
      </c>
      <c r="I8">
        <f>STDEV(I4:I6)</f>
        <v>0</v>
      </c>
      <c r="J8" s="7">
        <f t="shared" ref="J8:L8" si="9">STDEV(J4:J6)</f>
        <v>1.0678002598229264</v>
      </c>
      <c r="K8" s="7">
        <f t="shared" si="9"/>
        <v>0.68671129908041462</v>
      </c>
      <c r="L8" s="7">
        <f t="shared" si="9"/>
        <v>1.4123969651402175</v>
      </c>
      <c r="N8" s="12" t="s">
        <v>8</v>
      </c>
      <c r="O8">
        <f>STDEV(O4:O6)</f>
        <v>0</v>
      </c>
      <c r="P8" s="7">
        <f t="shared" ref="P8:Q8" si="10">STDEV(P4:P6)</f>
        <v>3.2437249172771896</v>
      </c>
      <c r="Q8" s="7">
        <f t="shared" si="10"/>
        <v>1.3313551277700353</v>
      </c>
      <c r="S8" s="12" t="s">
        <v>8</v>
      </c>
      <c r="T8">
        <f>STDEV(T4:T6)</f>
        <v>0</v>
      </c>
      <c r="U8" s="7">
        <f t="shared" ref="U8:V8" si="11">STDEV(U4:U6)</f>
        <v>0.94295103974360472</v>
      </c>
      <c r="V8" s="7">
        <f t="shared" si="11"/>
        <v>0.8063104197766312</v>
      </c>
      <c r="Y8" t="s">
        <v>8</v>
      </c>
      <c r="Z8">
        <v>0</v>
      </c>
      <c r="AA8" s="7">
        <f t="shared" ref="AA8" si="12">STDEV(AA4:AA6)</f>
        <v>0.66393571986688249</v>
      </c>
      <c r="AB8" s="7">
        <v>0.94295103974360472</v>
      </c>
      <c r="AC8" s="7">
        <v>0.68671129908041462</v>
      </c>
      <c r="AD8" s="7">
        <v>0.8063104197766312</v>
      </c>
      <c r="AE8" s="7">
        <v>1.4123969651402175</v>
      </c>
      <c r="AH8" t="s">
        <v>8</v>
      </c>
      <c r="AI8">
        <v>0</v>
      </c>
      <c r="AJ8" s="7">
        <v>0.25606449851002744</v>
      </c>
      <c r="AK8" s="7">
        <v>0.10231440319742986</v>
      </c>
      <c r="AL8" s="7">
        <v>0.23881168892344837</v>
      </c>
      <c r="AM8" s="7">
        <v>0.39918425461551782</v>
      </c>
      <c r="AN8" s="7">
        <v>0.77527932589512238</v>
      </c>
    </row>
    <row r="11" spans="2:40" x14ac:dyDescent="0.3">
      <c r="C11" s="35" t="s">
        <v>25</v>
      </c>
      <c r="D11" s="35"/>
      <c r="E11" s="35"/>
      <c r="F11" s="35"/>
      <c r="I11" s="35" t="s">
        <v>10</v>
      </c>
      <c r="J11" s="35"/>
      <c r="K11" s="35"/>
      <c r="L11" s="35"/>
      <c r="O11" s="35" t="s">
        <v>25</v>
      </c>
      <c r="P11" s="35"/>
      <c r="Q11" s="35"/>
      <c r="T11" s="35" t="s">
        <v>10</v>
      </c>
      <c r="U11" s="35"/>
      <c r="V11" s="35"/>
    </row>
    <row r="12" spans="2:40" ht="16.2" x14ac:dyDescent="0.3">
      <c r="C12" s="1" t="s">
        <v>2</v>
      </c>
      <c r="D12" s="3" t="s">
        <v>3</v>
      </c>
      <c r="E12" s="3" t="s">
        <v>4</v>
      </c>
      <c r="F12" s="3" t="s">
        <v>17</v>
      </c>
      <c r="I12" s="1" t="s">
        <v>2</v>
      </c>
      <c r="J12" s="3" t="s">
        <v>3</v>
      </c>
      <c r="K12" s="3" t="s">
        <v>4</v>
      </c>
      <c r="L12" s="3" t="s">
        <v>17</v>
      </c>
      <c r="O12" s="11" t="s">
        <v>12</v>
      </c>
      <c r="P12" s="11" t="s">
        <v>13</v>
      </c>
      <c r="Q12" s="11" t="s">
        <v>14</v>
      </c>
      <c r="T12" s="11" t="s">
        <v>12</v>
      </c>
      <c r="U12" s="11" t="s">
        <v>13</v>
      </c>
      <c r="V12" s="11" t="s">
        <v>14</v>
      </c>
    </row>
    <row r="13" spans="2:40" x14ac:dyDescent="0.3">
      <c r="B13" s="16" t="s">
        <v>18</v>
      </c>
      <c r="C13" s="13">
        <v>1</v>
      </c>
      <c r="D13" s="7">
        <v>11.8711185517688</v>
      </c>
      <c r="E13" s="7">
        <v>5.2125784201494199</v>
      </c>
      <c r="F13" s="7">
        <v>0.26</v>
      </c>
      <c r="H13" s="16" t="s">
        <v>18</v>
      </c>
      <c r="I13" s="13">
        <f>LOG(C13,2)</f>
        <v>0</v>
      </c>
      <c r="J13" s="7">
        <f t="shared" ref="J13:L15" si="13">LOG(D13,2)</f>
        <v>3.5693839736802335</v>
      </c>
      <c r="K13" s="7">
        <f t="shared" si="13"/>
        <v>2.3819971832114279</v>
      </c>
      <c r="L13" s="7">
        <f t="shared" si="13"/>
        <v>-1.9434164716336324</v>
      </c>
      <c r="N13" s="12" t="s">
        <v>18</v>
      </c>
      <c r="O13">
        <v>1</v>
      </c>
      <c r="P13" s="7">
        <v>1.89433693666117</v>
      </c>
      <c r="Q13" s="7">
        <v>0.60448323032671303</v>
      </c>
      <c r="S13" s="12" t="s">
        <v>18</v>
      </c>
      <c r="T13">
        <f t="shared" ref="T13:V15" si="14">LOG(O13,2)</f>
        <v>0</v>
      </c>
      <c r="U13" s="7">
        <f t="shared" si="14"/>
        <v>0.92169295890436465</v>
      </c>
      <c r="V13" s="7">
        <f t="shared" si="14"/>
        <v>-0.72622577834112845</v>
      </c>
    </row>
    <row r="14" spans="2:40" x14ac:dyDescent="0.3">
      <c r="B14" s="9"/>
      <c r="C14" s="13">
        <v>1</v>
      </c>
      <c r="D14" s="7">
        <v>8.5563722549626906</v>
      </c>
      <c r="E14" s="7">
        <v>4.1078489562069498</v>
      </c>
      <c r="F14" s="7">
        <v>0.36099999999999999</v>
      </c>
      <c r="H14" s="9"/>
      <c r="I14" s="13">
        <f t="shared" ref="I14:I15" si="15">LOG(C14,2)</f>
        <v>0</v>
      </c>
      <c r="J14" s="7">
        <f t="shared" si="13"/>
        <v>3.0969992500001458</v>
      </c>
      <c r="K14" s="7">
        <f t="shared" si="13"/>
        <v>2.038383135371451</v>
      </c>
      <c r="L14" s="7">
        <f t="shared" si="13"/>
        <v>-1.4699292577749161</v>
      </c>
      <c r="O14">
        <v>1</v>
      </c>
      <c r="P14" s="7">
        <v>1.6622762839157099</v>
      </c>
      <c r="Q14" s="7">
        <v>1.7371029585427</v>
      </c>
      <c r="T14">
        <f t="shared" si="14"/>
        <v>0</v>
      </c>
      <c r="U14" s="7">
        <f t="shared" si="14"/>
        <v>0.73316018975476283</v>
      </c>
      <c r="V14" s="7">
        <f t="shared" si="14"/>
        <v>0.79668326549156832</v>
      </c>
    </row>
    <row r="15" spans="2:40" x14ac:dyDescent="0.3">
      <c r="B15" s="9"/>
      <c r="C15" s="13">
        <v>1</v>
      </c>
      <c r="D15" s="7">
        <v>2.8232805997802402</v>
      </c>
      <c r="E15" s="7">
        <v>3.2071008061142501</v>
      </c>
      <c r="F15" s="7">
        <v>0.80500000000000005</v>
      </c>
      <c r="H15" s="9"/>
      <c r="I15" s="13">
        <f t="shared" si="15"/>
        <v>0</v>
      </c>
      <c r="J15" s="7">
        <f t="shared" si="13"/>
        <v>1.497372522267475</v>
      </c>
      <c r="K15" s="7">
        <f t="shared" si="13"/>
        <v>1.6812697015174665</v>
      </c>
      <c r="L15" s="7">
        <f t="shared" si="13"/>
        <v>-0.31293931166010763</v>
      </c>
      <c r="O15">
        <v>1</v>
      </c>
      <c r="P15" s="7">
        <v>0.63308563741030599</v>
      </c>
      <c r="Q15" s="7">
        <v>0.263390180302709</v>
      </c>
      <c r="T15">
        <f t="shared" si="14"/>
        <v>0</v>
      </c>
      <c r="U15" s="7">
        <f t="shared" si="14"/>
        <v>-0.65952742886632032</v>
      </c>
      <c r="V15" s="7">
        <f t="shared" si="14"/>
        <v>-1.9247265347624298</v>
      </c>
    </row>
    <row r="16" spans="2:40" x14ac:dyDescent="0.3">
      <c r="B16" s="12" t="s">
        <v>7</v>
      </c>
      <c r="C16" s="13">
        <f>AVERAGE(C13:C15)</f>
        <v>1</v>
      </c>
      <c r="D16" s="7">
        <f>AVERAGE(D13:D15)</f>
        <v>7.7502571355039107</v>
      </c>
      <c r="E16" s="7">
        <f t="shared" ref="E16" si="16">AVERAGE(E13:E15)</f>
        <v>4.175842727490207</v>
      </c>
      <c r="F16" s="7">
        <f>AVERAGE(F13:F15)</f>
        <v>0.47533333333333339</v>
      </c>
      <c r="H16" s="12" t="s">
        <v>7</v>
      </c>
      <c r="I16" s="13">
        <f>AVERAGE(I13:I15)</f>
        <v>0</v>
      </c>
      <c r="J16" s="7">
        <f t="shared" ref="J16" si="17">AVERAGE(J13:J15)</f>
        <v>2.7212519153159511</v>
      </c>
      <c r="K16" s="7">
        <f t="shared" ref="K16" si="18">AVERAGE(K13:K15)</f>
        <v>2.0338833400334484</v>
      </c>
      <c r="L16" s="7">
        <f t="shared" ref="L16" si="19">AVERAGE(L13:L15)</f>
        <v>-1.2420950136895519</v>
      </c>
      <c r="N16" s="12" t="s">
        <v>7</v>
      </c>
      <c r="O16">
        <f>AVERAGE(O13:O15)</f>
        <v>1</v>
      </c>
      <c r="P16" s="7">
        <f t="shared" ref="P16:Q16" si="20">AVERAGE(P13:P15)</f>
        <v>1.3965662859957286</v>
      </c>
      <c r="Q16" s="7">
        <f t="shared" si="20"/>
        <v>0.86832545639070735</v>
      </c>
      <c r="S16" s="12" t="s">
        <v>7</v>
      </c>
      <c r="T16">
        <f>AVERAGE(T13:T15)</f>
        <v>0</v>
      </c>
      <c r="U16" s="7">
        <f t="shared" ref="U16:V16" si="21">AVERAGE(U13:U15)</f>
        <v>0.33177523993093566</v>
      </c>
      <c r="V16" s="7">
        <f t="shared" si="21"/>
        <v>-0.61808968253732999</v>
      </c>
    </row>
    <row r="17" spans="2:31" x14ac:dyDescent="0.3">
      <c r="B17" s="12" t="s">
        <v>8</v>
      </c>
      <c r="C17" s="13">
        <f>STDEV(C13:C15)</f>
        <v>0</v>
      </c>
      <c r="D17" s="7">
        <f>STDEV(D13:D15)</f>
        <v>4.5774675411985379</v>
      </c>
      <c r="E17" s="7">
        <f t="shared" ref="E17" si="22">STDEV(E13:E15)</f>
        <v>1.0044662661329324</v>
      </c>
      <c r="F17" s="7">
        <f>STDEV(F13:F15)</f>
        <v>0.28993160112918592</v>
      </c>
      <c r="H17" s="12" t="s">
        <v>8</v>
      </c>
      <c r="I17" s="13">
        <f>STDEV(I13:I15)</f>
        <v>0</v>
      </c>
      <c r="J17" s="7">
        <f t="shared" ref="J17:L17" si="23">STDEV(J13:J15)</f>
        <v>1.0859085635255448</v>
      </c>
      <c r="K17" s="7">
        <f t="shared" si="23"/>
        <v>0.3503854121090853</v>
      </c>
      <c r="L17" s="7">
        <f t="shared" si="23"/>
        <v>0.8387760573492159</v>
      </c>
      <c r="N17" s="12" t="s">
        <v>8</v>
      </c>
      <c r="O17">
        <f>STDEV(O13:O15)</f>
        <v>0</v>
      </c>
      <c r="P17" s="7">
        <f t="shared" ref="P17:Q17" si="24">STDEV(P13:P15)</f>
        <v>0.67129729793249915</v>
      </c>
      <c r="Q17" s="7">
        <f t="shared" si="24"/>
        <v>0.77147059462934908</v>
      </c>
      <c r="S17" s="12" t="s">
        <v>8</v>
      </c>
      <c r="T17">
        <f>STDEV(T13:T15)</f>
        <v>0</v>
      </c>
      <c r="U17" s="7">
        <f t="shared" ref="U17:V17" si="25">STDEV(U13:U15)</f>
        <v>0.8636532215734658</v>
      </c>
      <c r="V17" s="7">
        <f t="shared" si="25"/>
        <v>1.3639237099784551</v>
      </c>
    </row>
    <row r="20" spans="2:31" x14ac:dyDescent="0.3">
      <c r="C20" s="35" t="s">
        <v>26</v>
      </c>
      <c r="D20" s="35"/>
      <c r="E20" s="35"/>
      <c r="F20" s="35"/>
      <c r="I20" s="35" t="s">
        <v>15</v>
      </c>
      <c r="J20" s="35"/>
      <c r="K20" s="35"/>
      <c r="L20" s="35"/>
      <c r="O20" s="35" t="s">
        <v>26</v>
      </c>
      <c r="P20" s="35"/>
      <c r="Q20" s="35"/>
      <c r="T20" s="35" t="s">
        <v>15</v>
      </c>
      <c r="U20" s="35"/>
      <c r="V20" s="35"/>
    </row>
    <row r="21" spans="2:31" ht="16.2" x14ac:dyDescent="0.3">
      <c r="C21" s="1" t="s">
        <v>2</v>
      </c>
      <c r="D21" s="3" t="s">
        <v>3</v>
      </c>
      <c r="E21" s="3" t="s">
        <v>4</v>
      </c>
      <c r="F21" s="3" t="s">
        <v>17</v>
      </c>
      <c r="I21" s="1" t="s">
        <v>2</v>
      </c>
      <c r="J21" s="3" t="s">
        <v>3</v>
      </c>
      <c r="K21" s="3" t="s">
        <v>4</v>
      </c>
      <c r="L21" s="3" t="s">
        <v>17</v>
      </c>
      <c r="O21" s="11" t="s">
        <v>12</v>
      </c>
      <c r="P21" s="11" t="s">
        <v>13</v>
      </c>
      <c r="Q21" s="11" t="s">
        <v>14</v>
      </c>
      <c r="T21" s="11" t="s">
        <v>12</v>
      </c>
      <c r="U21" s="11" t="s">
        <v>13</v>
      </c>
      <c r="V21" s="11" t="s">
        <v>14</v>
      </c>
    </row>
    <row r="22" spans="2:31" x14ac:dyDescent="0.3">
      <c r="B22" s="4" t="s">
        <v>18</v>
      </c>
      <c r="C22" s="13">
        <v>1</v>
      </c>
      <c r="D22" s="7">
        <v>0.437024433046385</v>
      </c>
      <c r="E22" s="7">
        <v>0.58475260816376995</v>
      </c>
      <c r="F22" s="7">
        <v>1.60744640600966</v>
      </c>
      <c r="H22" s="4" t="s">
        <v>18</v>
      </c>
      <c r="I22" s="13">
        <f t="shared" ref="I22:L24" si="26">LOG(C22,2)</f>
        <v>0</v>
      </c>
      <c r="J22" s="7">
        <f t="shared" si="26"/>
        <v>-1.1942141550940355</v>
      </c>
      <c r="K22" s="7">
        <f t="shared" si="26"/>
        <v>-0.77410170346306661</v>
      </c>
      <c r="L22" s="7">
        <f t="shared" si="26"/>
        <v>0.68477063735226906</v>
      </c>
      <c r="N22" s="12" t="s">
        <v>18</v>
      </c>
      <c r="O22" s="13">
        <v>1</v>
      </c>
      <c r="P22" s="7">
        <v>0.96137072187152495</v>
      </c>
      <c r="Q22" s="7">
        <v>1.2181302630245401</v>
      </c>
      <c r="S22" s="12" t="s">
        <v>18</v>
      </c>
      <c r="T22" s="13">
        <f t="shared" ref="T22:V24" si="27">LOG(O22,2)</f>
        <v>0</v>
      </c>
      <c r="U22" s="7">
        <f t="shared" si="27"/>
        <v>-5.6835227394435417E-2</v>
      </c>
      <c r="V22" s="7">
        <f t="shared" si="27"/>
        <v>0.2846684187703904</v>
      </c>
    </row>
    <row r="23" spans="2:31" x14ac:dyDescent="0.3">
      <c r="B23" s="9"/>
      <c r="C23" s="13">
        <v>1</v>
      </c>
      <c r="D23" s="7">
        <v>0.493007931397132</v>
      </c>
      <c r="E23" s="7">
        <v>0.45347922224044701</v>
      </c>
      <c r="F23" s="7">
        <v>0.59101941371316902</v>
      </c>
      <c r="H23" s="9"/>
      <c r="I23" s="13">
        <f t="shared" si="26"/>
        <v>0</v>
      </c>
      <c r="J23" s="7">
        <f t="shared" si="26"/>
        <v>-1.0203172383546293</v>
      </c>
      <c r="K23" s="7">
        <f t="shared" si="26"/>
        <v>-1.1408916448113708</v>
      </c>
      <c r="L23" s="7">
        <f t="shared" si="26"/>
        <v>-0.75872257428538903</v>
      </c>
      <c r="O23" s="13">
        <v>1</v>
      </c>
      <c r="P23" s="7">
        <v>0.78716985606856404</v>
      </c>
      <c r="Q23" s="7">
        <v>0.82711760102141296</v>
      </c>
      <c r="T23" s="13">
        <f t="shared" si="27"/>
        <v>0</v>
      </c>
      <c r="U23" s="7">
        <f t="shared" si="27"/>
        <v>-0.34525311980606904</v>
      </c>
      <c r="V23" s="7">
        <f t="shared" si="27"/>
        <v>-0.27383562601272804</v>
      </c>
    </row>
    <row r="24" spans="2:31" x14ac:dyDescent="0.3">
      <c r="B24" s="9"/>
      <c r="C24" s="13">
        <v>1</v>
      </c>
      <c r="D24" s="7">
        <v>0.61981076310218597</v>
      </c>
      <c r="E24" s="7">
        <v>0.42855900109976702</v>
      </c>
      <c r="F24" s="7">
        <v>0.69385110345367995</v>
      </c>
      <c r="H24" s="9"/>
      <c r="I24" s="13">
        <f t="shared" si="26"/>
        <v>0</v>
      </c>
      <c r="J24" s="7">
        <f t="shared" si="26"/>
        <v>-0.69010028714083038</v>
      </c>
      <c r="K24" s="7">
        <f t="shared" si="26"/>
        <v>-1.2224342563970585</v>
      </c>
      <c r="L24" s="7">
        <f t="shared" si="26"/>
        <v>-0.52730199311565595</v>
      </c>
      <c r="O24" s="13">
        <v>1</v>
      </c>
      <c r="P24" s="7">
        <v>0.96725015275819404</v>
      </c>
      <c r="Q24" s="7">
        <v>0.71269292235395199</v>
      </c>
      <c r="T24" s="13">
        <f t="shared" si="27"/>
        <v>0</v>
      </c>
      <c r="U24" s="7">
        <f t="shared" si="27"/>
        <v>-4.8039043373461918E-2</v>
      </c>
      <c r="V24" s="7">
        <f t="shared" si="27"/>
        <v>-0.48864749763641868</v>
      </c>
    </row>
    <row r="25" spans="2:31" x14ac:dyDescent="0.3">
      <c r="B25" s="12" t="s">
        <v>7</v>
      </c>
      <c r="C25" s="13">
        <f>AVERAGE(C22:C24)</f>
        <v>1</v>
      </c>
      <c r="D25" s="7">
        <f t="shared" ref="D25:F25" si="28">AVERAGE(D22:D24)</f>
        <v>0.51661437584856762</v>
      </c>
      <c r="E25" s="7">
        <f t="shared" si="28"/>
        <v>0.4889302771679947</v>
      </c>
      <c r="F25" s="7">
        <f t="shared" si="28"/>
        <v>0.96410564105883623</v>
      </c>
      <c r="H25" s="12" t="s">
        <v>7</v>
      </c>
      <c r="I25" s="13">
        <f>AVERAGE(I22:I24)</f>
        <v>0</v>
      </c>
      <c r="J25" s="7">
        <f t="shared" ref="J25" si="29">AVERAGE(J22:J24)</f>
        <v>-0.96821056019649843</v>
      </c>
      <c r="K25" s="7">
        <f t="shared" ref="K25" si="30">AVERAGE(K22:K24)</f>
        <v>-1.0458092015571652</v>
      </c>
      <c r="L25" s="7">
        <f t="shared" ref="L25" si="31">AVERAGE(L22:L24)</f>
        <v>-0.2004179766829253</v>
      </c>
      <c r="N25" s="12" t="s">
        <v>7</v>
      </c>
      <c r="O25" s="13">
        <f>AVERAGE(O22:O24)</f>
        <v>1</v>
      </c>
      <c r="P25" s="7">
        <v>0.9052635768994276</v>
      </c>
      <c r="Q25" s="7">
        <f t="shared" ref="Q25" si="32">AVERAGE(Q22:Q24)</f>
        <v>0.91931359546663494</v>
      </c>
      <c r="S25" s="12" t="s">
        <v>7</v>
      </c>
      <c r="T25" s="13">
        <f>AVERAGE(T22:T24)</f>
        <v>0</v>
      </c>
      <c r="U25" s="7">
        <v>0.9052635768994276</v>
      </c>
      <c r="V25" s="7">
        <f t="shared" ref="V25" si="33">AVERAGE(V22:V24)</f>
        <v>-0.15927156829291877</v>
      </c>
    </row>
    <row r="26" spans="2:31" x14ac:dyDescent="0.3">
      <c r="B26" s="12" t="s">
        <v>8</v>
      </c>
      <c r="C26" s="13">
        <f>STDEV(C22:C24)</f>
        <v>0</v>
      </c>
      <c r="D26" s="7">
        <f t="shared" ref="D26:F26" si="34">STDEV(D22:D24)</f>
        <v>9.3651795383463729E-2</v>
      </c>
      <c r="E26" s="7">
        <f t="shared" si="34"/>
        <v>8.3914800205464213E-2</v>
      </c>
      <c r="F26" s="7">
        <f t="shared" si="34"/>
        <v>0.55951683977281308</v>
      </c>
      <c r="H26" s="12" t="s">
        <v>8</v>
      </c>
      <c r="I26" s="13">
        <f>STDEV(I22:I24)</f>
        <v>0</v>
      </c>
      <c r="J26" s="7">
        <f t="shared" ref="J26:L26" si="35">STDEV(J22:J24)</f>
        <v>0.25606449851002744</v>
      </c>
      <c r="K26" s="7">
        <f t="shared" si="35"/>
        <v>0.23881168892344837</v>
      </c>
      <c r="L26" s="7">
        <f t="shared" si="35"/>
        <v>0.77527932589512238</v>
      </c>
      <c r="N26" s="12" t="s">
        <v>8</v>
      </c>
      <c r="O26" s="13">
        <f>STDEV(O22:O24)</f>
        <v>0</v>
      </c>
      <c r="P26" s="7">
        <v>0.10231440319742986</v>
      </c>
      <c r="Q26" s="7">
        <f t="shared" ref="Q26" si="36">STDEV(Q22:Q24)</f>
        <v>0.26503170070738102</v>
      </c>
      <c r="S26" s="12" t="s">
        <v>8</v>
      </c>
      <c r="T26" s="13">
        <f>STDEV(T22:T24)</f>
        <v>0</v>
      </c>
      <c r="U26" s="7">
        <v>0.10231440319742986</v>
      </c>
      <c r="V26" s="7">
        <f t="shared" ref="V26" si="37">STDEV(V22:V24)</f>
        <v>0.39918425461551782</v>
      </c>
    </row>
    <row r="27" spans="2:31" x14ac:dyDescent="0.3">
      <c r="Z27" s="30" t="s">
        <v>10</v>
      </c>
      <c r="AA27" s="30"/>
      <c r="AB27" s="30"/>
      <c r="AC27" s="30"/>
      <c r="AD27" s="30"/>
      <c r="AE27" s="30"/>
    </row>
    <row r="28" spans="2:31" x14ac:dyDescent="0.3">
      <c r="Z28" t="s">
        <v>2</v>
      </c>
      <c r="AA28" t="s">
        <v>3</v>
      </c>
      <c r="AB28" t="s">
        <v>13</v>
      </c>
      <c r="AC28" t="s">
        <v>4</v>
      </c>
      <c r="AD28" t="s">
        <v>14</v>
      </c>
      <c r="AE28" t="s">
        <v>23</v>
      </c>
    </row>
    <row r="29" spans="2:31" x14ac:dyDescent="0.3">
      <c r="Y29" t="s">
        <v>18</v>
      </c>
      <c r="Z29">
        <v>0</v>
      </c>
      <c r="AA29" s="7">
        <v>3.5693839736802335</v>
      </c>
      <c r="AB29" s="7">
        <v>0.92169295890436465</v>
      </c>
      <c r="AC29" s="7">
        <v>2.3819971832114279</v>
      </c>
      <c r="AD29" s="7">
        <v>-0.72622577834112845</v>
      </c>
      <c r="AE29" s="7">
        <v>-1.9434164716336324</v>
      </c>
    </row>
    <row r="30" spans="2:31" x14ac:dyDescent="0.3">
      <c r="Z30">
        <v>0</v>
      </c>
      <c r="AA30" s="7">
        <v>3.0969992500001458</v>
      </c>
      <c r="AB30" s="7">
        <v>0.73316018975476283</v>
      </c>
      <c r="AC30" s="7">
        <v>2.038383135371451</v>
      </c>
      <c r="AD30" s="7">
        <v>0.79668326549156832</v>
      </c>
      <c r="AE30" s="7">
        <v>-1.4699292577749161</v>
      </c>
    </row>
    <row r="31" spans="2:31" x14ac:dyDescent="0.3">
      <c r="Z31">
        <v>0</v>
      </c>
      <c r="AA31" s="7">
        <v>1.497372522267475</v>
      </c>
      <c r="AB31" s="7">
        <v>-0.65952742886632032</v>
      </c>
      <c r="AC31" s="7">
        <v>1.6812697015174665</v>
      </c>
      <c r="AD31" s="7">
        <v>-1.9247265347624298</v>
      </c>
      <c r="AE31" s="7">
        <v>-0.31293931166010763</v>
      </c>
    </row>
    <row r="32" spans="2:31" x14ac:dyDescent="0.3">
      <c r="Y32" t="s">
        <v>7</v>
      </c>
      <c r="Z32">
        <v>0</v>
      </c>
      <c r="AA32" s="7">
        <v>2.7212519153159511</v>
      </c>
      <c r="AB32" s="7">
        <v>0.33177523993093566</v>
      </c>
      <c r="AC32" s="7">
        <v>2.0338833400334484</v>
      </c>
      <c r="AD32" s="7">
        <v>-0.61808968253732999</v>
      </c>
      <c r="AE32" s="7">
        <v>-1.2420950136895519</v>
      </c>
    </row>
    <row r="33" spans="25:31" x14ac:dyDescent="0.3">
      <c r="Y33" t="s">
        <v>8</v>
      </c>
      <c r="Z33">
        <v>0</v>
      </c>
      <c r="AA33" s="7">
        <v>1.0859085635255448</v>
      </c>
      <c r="AB33" s="7">
        <v>0.8636532215734658</v>
      </c>
      <c r="AC33" s="7">
        <v>0.3503854121090853</v>
      </c>
      <c r="AD33" s="7">
        <v>1.3639237099784551</v>
      </c>
      <c r="AE33" s="7">
        <v>0.8387760573492159</v>
      </c>
    </row>
  </sheetData>
  <mergeCells count="15">
    <mergeCell ref="Z2:AE2"/>
    <mergeCell ref="Z27:AE27"/>
    <mergeCell ref="AI2:AN2"/>
    <mergeCell ref="C2:F2"/>
    <mergeCell ref="I2:L2"/>
    <mergeCell ref="C11:F11"/>
    <mergeCell ref="I11:L11"/>
    <mergeCell ref="C20:F20"/>
    <mergeCell ref="I20:L20"/>
    <mergeCell ref="O20:Q20"/>
    <mergeCell ref="T20:V20"/>
    <mergeCell ref="O2:Q2"/>
    <mergeCell ref="T2:V2"/>
    <mergeCell ref="O11:Q11"/>
    <mergeCell ref="T11:V11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096B-DBC4-43B2-A7B7-89B8B49D345B}">
  <dimension ref="B2:AN33"/>
  <sheetViews>
    <sheetView topLeftCell="A3" workbookViewId="0">
      <selection activeCell="Q22" activeCellId="2" sqref="Q4:Q6 Q13:Q15 Q22:Q24"/>
    </sheetView>
  </sheetViews>
  <sheetFormatPr defaultRowHeight="14.4" x14ac:dyDescent="0.3"/>
  <cols>
    <col min="15" max="15" width="8.88671875" customWidth="1"/>
    <col min="16" max="16" width="11.44140625" customWidth="1"/>
    <col min="17" max="17" width="11.109375" customWidth="1"/>
    <col min="21" max="21" width="11" customWidth="1"/>
    <col min="22" max="22" width="11.21875" customWidth="1"/>
    <col min="26" max="26" width="7.5546875" customWidth="1"/>
    <col min="28" max="28" width="10.6640625" bestFit="1" customWidth="1"/>
    <col min="29" max="29" width="8.33203125" customWidth="1"/>
    <col min="30" max="30" width="10.6640625" bestFit="1" customWidth="1"/>
    <col min="35" max="35" width="6.5546875" customWidth="1"/>
    <col min="36" max="36" width="7.6640625" customWidth="1"/>
    <col min="37" max="37" width="10.6640625" bestFit="1" customWidth="1"/>
    <col min="38" max="38" width="8.109375" customWidth="1"/>
    <col min="39" max="39" width="10.6640625" bestFit="1" customWidth="1"/>
  </cols>
  <sheetData>
    <row r="2" spans="2:40" x14ac:dyDescent="0.3">
      <c r="C2" s="35" t="s">
        <v>24</v>
      </c>
      <c r="D2" s="35"/>
      <c r="E2" s="35"/>
      <c r="F2" s="35"/>
      <c r="I2" s="35" t="s">
        <v>1</v>
      </c>
      <c r="J2" s="35"/>
      <c r="K2" s="35"/>
      <c r="L2" s="35"/>
      <c r="O2" s="34" t="s">
        <v>24</v>
      </c>
      <c r="P2" s="34"/>
      <c r="Q2" s="34"/>
      <c r="T2" s="34" t="s">
        <v>1</v>
      </c>
      <c r="U2" s="34"/>
      <c r="V2" s="34"/>
      <c r="Z2" s="30" t="s">
        <v>1</v>
      </c>
      <c r="AA2" s="30"/>
      <c r="AB2" s="30"/>
      <c r="AC2" s="30"/>
      <c r="AD2" s="30"/>
      <c r="AE2" s="30"/>
      <c r="AI2" s="30" t="s">
        <v>15</v>
      </c>
      <c r="AJ2" s="30"/>
      <c r="AK2" s="30"/>
      <c r="AL2" s="30"/>
      <c r="AM2" s="30"/>
      <c r="AN2" s="30"/>
    </row>
    <row r="3" spans="2:40" ht="16.2" x14ac:dyDescent="0.3">
      <c r="B3" s="9"/>
      <c r="C3" s="1" t="s">
        <v>2</v>
      </c>
      <c r="D3" s="3" t="s">
        <v>3</v>
      </c>
      <c r="E3" s="3" t="s">
        <v>4</v>
      </c>
      <c r="F3" s="3" t="s">
        <v>17</v>
      </c>
      <c r="H3" s="9"/>
      <c r="I3" s="1" t="s">
        <v>2</v>
      </c>
      <c r="J3" s="3" t="s">
        <v>3</v>
      </c>
      <c r="K3" s="3" t="s">
        <v>4</v>
      </c>
      <c r="L3" s="3" t="s">
        <v>17</v>
      </c>
      <c r="O3" s="11" t="s">
        <v>12</v>
      </c>
      <c r="P3" s="11" t="s">
        <v>13</v>
      </c>
      <c r="Q3" s="11" t="s">
        <v>14</v>
      </c>
      <c r="T3" s="11" t="s">
        <v>12</v>
      </c>
      <c r="U3" s="11" t="s">
        <v>13</v>
      </c>
      <c r="V3" s="11" t="s">
        <v>14</v>
      </c>
      <c r="Z3" t="s">
        <v>2</v>
      </c>
      <c r="AA3" t="s">
        <v>3</v>
      </c>
      <c r="AB3" t="s">
        <v>13</v>
      </c>
      <c r="AC3" t="s">
        <v>4</v>
      </c>
      <c r="AD3" t="s">
        <v>14</v>
      </c>
      <c r="AE3" t="s">
        <v>23</v>
      </c>
      <c r="AI3" t="s">
        <v>2</v>
      </c>
      <c r="AJ3" t="s">
        <v>3</v>
      </c>
      <c r="AK3" t="s">
        <v>13</v>
      </c>
      <c r="AL3" t="s">
        <v>4</v>
      </c>
      <c r="AM3" t="s">
        <v>14</v>
      </c>
      <c r="AN3" t="s">
        <v>23</v>
      </c>
    </row>
    <row r="4" spans="2:40" x14ac:dyDescent="0.3">
      <c r="B4" s="4" t="s">
        <v>19</v>
      </c>
      <c r="C4" s="13">
        <v>1</v>
      </c>
      <c r="D4" s="7">
        <v>1.7066107159357999</v>
      </c>
      <c r="E4" s="7">
        <v>1.0957797017073601</v>
      </c>
      <c r="F4" s="7">
        <v>0.87104442192245302</v>
      </c>
      <c r="H4" s="4" t="s">
        <v>19</v>
      </c>
      <c r="I4" s="13">
        <f t="shared" ref="I4:L6" si="0">LOG(C4,2)</f>
        <v>0</v>
      </c>
      <c r="J4" s="7">
        <f t="shared" si="0"/>
        <v>0.77113401194642617</v>
      </c>
      <c r="K4" s="7">
        <f t="shared" si="0"/>
        <v>0.13195778442968212</v>
      </c>
      <c r="L4" s="7">
        <f t="shared" si="0"/>
        <v>-0.19918179896445609</v>
      </c>
      <c r="N4" s="4" t="s">
        <v>19</v>
      </c>
      <c r="O4">
        <v>1</v>
      </c>
      <c r="P4" s="7">
        <v>1.1184365708103601</v>
      </c>
      <c r="Q4" s="7">
        <v>1.5380042886521701</v>
      </c>
      <c r="S4" s="4" t="s">
        <v>19</v>
      </c>
      <c r="T4">
        <v>0</v>
      </c>
      <c r="U4" s="7">
        <v>0.16148344006074425</v>
      </c>
      <c r="V4" s="7">
        <v>0.62105952619219174</v>
      </c>
      <c r="Y4" t="s">
        <v>19</v>
      </c>
      <c r="Z4">
        <v>0</v>
      </c>
      <c r="AA4" s="7">
        <v>0.77113401194642617</v>
      </c>
      <c r="AB4" s="7">
        <v>0.16148344006074425</v>
      </c>
      <c r="AC4" s="7">
        <v>0.13195778442968212</v>
      </c>
      <c r="AD4" s="7">
        <v>0.62105952619219174</v>
      </c>
      <c r="AE4" s="7">
        <v>-0.19918179896445609</v>
      </c>
      <c r="AH4" t="s">
        <v>19</v>
      </c>
      <c r="AI4">
        <v>0</v>
      </c>
      <c r="AJ4" s="7">
        <v>1.6192262988617276</v>
      </c>
      <c r="AK4" s="7">
        <v>0.30340434462600402</v>
      </c>
      <c r="AL4" s="7">
        <v>0.38093674254679311</v>
      </c>
      <c r="AM4" s="7">
        <v>-0.20777522994322131</v>
      </c>
      <c r="AN4" s="7">
        <v>0.10016546966855995</v>
      </c>
    </row>
    <row r="5" spans="2:40" x14ac:dyDescent="0.3">
      <c r="B5" s="9"/>
      <c r="C5" s="13">
        <v>1</v>
      </c>
      <c r="D5" s="7">
        <v>1.61461070469003</v>
      </c>
      <c r="E5" s="7">
        <v>2.1113413211360101</v>
      </c>
      <c r="F5" s="7">
        <v>0.735284655275937</v>
      </c>
      <c r="H5" s="9"/>
      <c r="I5" s="13">
        <f t="shared" si="0"/>
        <v>0</v>
      </c>
      <c r="J5" s="7">
        <f t="shared" si="0"/>
        <v>0.69118636175206338</v>
      </c>
      <c r="K5" s="7">
        <f t="shared" si="0"/>
        <v>1.0781598247795428</v>
      </c>
      <c r="L5" s="7">
        <f t="shared" si="0"/>
        <v>-0.44362521738468946</v>
      </c>
      <c r="O5">
        <v>1</v>
      </c>
      <c r="P5" s="7">
        <v>0.90373767980874897</v>
      </c>
      <c r="Q5" s="7">
        <v>0.96150241755562804</v>
      </c>
      <c r="T5">
        <v>0</v>
      </c>
      <c r="U5" s="7">
        <v>-0.14602402020947017</v>
      </c>
      <c r="V5" s="7">
        <v>-5.6637609874315813E-2</v>
      </c>
      <c r="Z5">
        <v>0</v>
      </c>
      <c r="AA5" s="7">
        <v>0.69118636175206338</v>
      </c>
      <c r="AB5" s="7">
        <v>-0.14602402020947017</v>
      </c>
      <c r="AC5" s="7">
        <v>1.0781598247795428</v>
      </c>
      <c r="AD5" s="7">
        <v>-5.6637609874315813E-2</v>
      </c>
      <c r="AE5" s="7">
        <v>-0.44362521738468946</v>
      </c>
      <c r="AI5">
        <v>0</v>
      </c>
      <c r="AJ5" s="7">
        <v>1.0587049323415132</v>
      </c>
      <c r="AK5" s="7">
        <v>0.4092192977224311</v>
      </c>
      <c r="AL5" s="7">
        <v>0.18616972340959298</v>
      </c>
      <c r="AM5" s="7">
        <v>-4.2222692764764765E-2</v>
      </c>
      <c r="AN5" s="7">
        <v>-0.87276251706673602</v>
      </c>
    </row>
    <row r="6" spans="2:40" x14ac:dyDescent="0.3">
      <c r="B6" s="9"/>
      <c r="C6" s="13">
        <v>1</v>
      </c>
      <c r="D6" s="7">
        <v>2.0619999999999998</v>
      </c>
      <c r="E6" s="7">
        <v>1.085</v>
      </c>
      <c r="F6" s="7">
        <v>0.96164413948815397</v>
      </c>
      <c r="H6" s="9"/>
      <c r="I6" s="13">
        <f t="shared" si="0"/>
        <v>0</v>
      </c>
      <c r="J6" s="7">
        <f t="shared" si="0"/>
        <v>1.0440443327060211</v>
      </c>
      <c r="K6" s="7">
        <f t="shared" si="0"/>
        <v>0.11769504266975458</v>
      </c>
      <c r="L6" s="7">
        <f t="shared" si="0"/>
        <v>-5.6424977582864487E-2</v>
      </c>
      <c r="O6">
        <v>1</v>
      </c>
      <c r="P6" s="7">
        <v>0.93819232646345396</v>
      </c>
      <c r="Q6" s="7">
        <v>0.91920889706679698</v>
      </c>
      <c r="T6">
        <v>0</v>
      </c>
      <c r="U6" s="7">
        <v>-9.2044393902534813E-2</v>
      </c>
      <c r="V6" s="7">
        <v>-0.12153533292158317</v>
      </c>
      <c r="Z6">
        <v>0</v>
      </c>
      <c r="AA6" s="7">
        <v>1.0440443327060211</v>
      </c>
      <c r="AB6" s="7">
        <v>-9.2044393902534813E-2</v>
      </c>
      <c r="AC6" s="7">
        <v>0.11769504266975458</v>
      </c>
      <c r="AD6" s="7">
        <v>-0.12153533292158317</v>
      </c>
      <c r="AE6" s="7">
        <v>-5.6424977582864487E-2</v>
      </c>
      <c r="AI6">
        <v>0</v>
      </c>
      <c r="AJ6" s="7">
        <v>0.99040641317759082</v>
      </c>
      <c r="AK6" s="7">
        <v>-6.3110882118507308E-3</v>
      </c>
      <c r="AL6" s="7">
        <v>-0.16418069732768345</v>
      </c>
      <c r="AM6" s="7">
        <v>-0.3633909058847028</v>
      </c>
      <c r="AN6" s="7">
        <v>-0.23385680609351681</v>
      </c>
    </row>
    <row r="7" spans="2:40" x14ac:dyDescent="0.3">
      <c r="B7" s="12" t="s">
        <v>7</v>
      </c>
      <c r="C7" s="13">
        <f>AVERAGE(C4:C6)</f>
        <v>1</v>
      </c>
      <c r="D7" s="7">
        <f t="shared" ref="D7:F7" si="1">AVERAGE(D4:D6)</f>
        <v>1.7944071402086099</v>
      </c>
      <c r="E7" s="7">
        <f t="shared" si="1"/>
        <v>1.4307070076144566</v>
      </c>
      <c r="F7" s="7">
        <f t="shared" si="1"/>
        <v>0.85599107222884807</v>
      </c>
      <c r="H7" s="12" t="s">
        <v>7</v>
      </c>
      <c r="I7" s="13">
        <f>AVERAGE(I4:I6)</f>
        <v>0</v>
      </c>
      <c r="J7" s="7">
        <f t="shared" ref="J7" si="2">AVERAGE(J4:J6)</f>
        <v>0.83545490213483686</v>
      </c>
      <c r="K7" s="7">
        <f t="shared" ref="K7" si="3">AVERAGE(K4:K6)</f>
        <v>0.44260421729299315</v>
      </c>
      <c r="L7" s="7">
        <f t="shared" ref="L7" si="4">AVERAGE(L4:L6)</f>
        <v>-0.23307733131066999</v>
      </c>
      <c r="N7" s="12" t="s">
        <v>7</v>
      </c>
      <c r="O7">
        <f>AVERAGE(O4:O6)</f>
        <v>1</v>
      </c>
      <c r="P7" s="7">
        <f t="shared" ref="P7:Q7" si="5">AVERAGE(P4:P6)</f>
        <v>0.986788859027521</v>
      </c>
      <c r="Q7" s="7">
        <f t="shared" si="5"/>
        <v>1.1395718677581985</v>
      </c>
      <c r="S7" s="12" t="s">
        <v>7</v>
      </c>
      <c r="T7">
        <v>0</v>
      </c>
      <c r="U7" s="7">
        <v>-2.5528324683753576E-2</v>
      </c>
      <c r="V7" s="7">
        <v>0.14762886113209761</v>
      </c>
      <c r="Y7" t="s">
        <v>7</v>
      </c>
      <c r="Z7">
        <v>0</v>
      </c>
      <c r="AA7" s="7">
        <v>0.83545490213483686</v>
      </c>
      <c r="AB7" s="7">
        <v>-2.5528324683753576E-2</v>
      </c>
      <c r="AC7" s="7">
        <v>0.44260421729299315</v>
      </c>
      <c r="AD7" s="7">
        <v>0.14762886113209761</v>
      </c>
      <c r="AE7" s="7">
        <v>-0.23307733131066999</v>
      </c>
      <c r="AH7" t="s">
        <v>7</v>
      </c>
      <c r="AI7">
        <v>0</v>
      </c>
      <c r="AJ7" s="7">
        <v>1.2227792147936105</v>
      </c>
      <c r="AK7" s="7">
        <v>1.1858850108327017</v>
      </c>
      <c r="AL7" s="7">
        <v>0.13430858954290084</v>
      </c>
      <c r="AM7" s="7">
        <v>-0.20446294286422961</v>
      </c>
      <c r="AN7" s="7">
        <v>-0.33548461783056432</v>
      </c>
    </row>
    <row r="8" spans="2:40" x14ac:dyDescent="0.3">
      <c r="B8" s="12" t="s">
        <v>8</v>
      </c>
      <c r="C8" s="13">
        <f>STDEV(C4:C6)</f>
        <v>0</v>
      </c>
      <c r="D8" s="7">
        <f t="shared" ref="D8:F8" si="6">STDEV(D4:D6)</f>
        <v>0.23626352760383071</v>
      </c>
      <c r="E8" s="7">
        <f t="shared" si="6"/>
        <v>0.58947124785645211</v>
      </c>
      <c r="F8" s="7">
        <f t="shared" si="6"/>
        <v>0.11392807610924428</v>
      </c>
      <c r="H8" s="12" t="s">
        <v>8</v>
      </c>
      <c r="I8" s="13">
        <f>STDEV(I4:I6)</f>
        <v>0</v>
      </c>
      <c r="J8" s="7">
        <f t="shared" ref="J8:L8" si="7">STDEV(J4:J6)</f>
        <v>0.18501370112077778</v>
      </c>
      <c r="K8" s="7">
        <f t="shared" si="7"/>
        <v>0.55045349858668846</v>
      </c>
      <c r="L8" s="7">
        <f t="shared" si="7"/>
        <v>0.19581288711528319</v>
      </c>
      <c r="N8" s="12" t="s">
        <v>8</v>
      </c>
      <c r="O8">
        <f>STDEV(O4:O6)</f>
        <v>0</v>
      </c>
      <c r="P8" s="7">
        <f t="shared" ref="P8:Q8" si="8">STDEV(P4:P6)</f>
        <v>0.11530446948088456</v>
      </c>
      <c r="Q8" s="7">
        <f t="shared" si="8"/>
        <v>0.34569998695893517</v>
      </c>
      <c r="S8" s="12" t="s">
        <v>8</v>
      </c>
      <c r="T8">
        <v>0</v>
      </c>
      <c r="U8" s="7">
        <v>0.16419043860315877</v>
      </c>
      <c r="V8" s="7">
        <v>0.41128502839103231</v>
      </c>
      <c r="Y8" t="s">
        <v>8</v>
      </c>
      <c r="Z8">
        <v>0</v>
      </c>
      <c r="AA8" s="7">
        <v>0.18501370112077778</v>
      </c>
      <c r="AB8" s="7">
        <v>0.16419043860315877</v>
      </c>
      <c r="AC8" s="7">
        <v>0.55045349858668846</v>
      </c>
      <c r="AD8" s="7">
        <v>0.41128502839103231</v>
      </c>
      <c r="AE8" s="7">
        <v>0.19581288711528319</v>
      </c>
      <c r="AH8" t="s">
        <v>8</v>
      </c>
      <c r="AI8">
        <v>0</v>
      </c>
      <c r="AJ8" s="7">
        <v>0.34502737540604034</v>
      </c>
      <c r="AK8" s="7">
        <v>0.17132206102228417</v>
      </c>
      <c r="AL8" s="7">
        <v>0.276234390904319</v>
      </c>
      <c r="AM8" s="7">
        <v>0.16060972484234484</v>
      </c>
      <c r="AN8" s="7">
        <v>0.49436158419930304</v>
      </c>
    </row>
    <row r="11" spans="2:40" x14ac:dyDescent="0.3">
      <c r="C11" s="35" t="s">
        <v>25</v>
      </c>
      <c r="D11" s="35"/>
      <c r="E11" s="35"/>
      <c r="F11" s="35"/>
      <c r="I11" s="35" t="s">
        <v>10</v>
      </c>
      <c r="J11" s="35"/>
      <c r="K11" s="35"/>
      <c r="L11" s="35"/>
      <c r="O11" s="34" t="s">
        <v>25</v>
      </c>
      <c r="P11" s="34"/>
      <c r="Q11" s="34"/>
      <c r="T11" s="34" t="s">
        <v>10</v>
      </c>
      <c r="U11" s="34"/>
      <c r="V11" s="34"/>
    </row>
    <row r="12" spans="2:40" ht="16.2" x14ac:dyDescent="0.3">
      <c r="B12" s="9"/>
      <c r="C12" s="1" t="s">
        <v>2</v>
      </c>
      <c r="D12" s="3" t="s">
        <v>3</v>
      </c>
      <c r="E12" s="3" t="s">
        <v>4</v>
      </c>
      <c r="F12" s="3" t="s">
        <v>17</v>
      </c>
      <c r="H12" s="9"/>
      <c r="I12" s="1" t="s">
        <v>2</v>
      </c>
      <c r="J12" s="3" t="s">
        <v>3</v>
      </c>
      <c r="K12" s="3" t="s">
        <v>4</v>
      </c>
      <c r="L12" s="3" t="s">
        <v>17</v>
      </c>
      <c r="O12" s="11" t="s">
        <v>12</v>
      </c>
      <c r="P12" s="11" t="s">
        <v>13</v>
      </c>
      <c r="Q12" s="11" t="s">
        <v>14</v>
      </c>
      <c r="T12" s="11" t="s">
        <v>12</v>
      </c>
      <c r="U12" s="11" t="s">
        <v>13</v>
      </c>
      <c r="V12" s="11" t="s">
        <v>14</v>
      </c>
    </row>
    <row r="13" spans="2:40" x14ac:dyDescent="0.3">
      <c r="B13" s="4" t="s">
        <v>19</v>
      </c>
      <c r="C13" s="13">
        <v>1</v>
      </c>
      <c r="D13" s="7">
        <v>2.7566812265160299</v>
      </c>
      <c r="E13" s="7">
        <v>2.4395774090752602</v>
      </c>
      <c r="F13" s="7">
        <v>0.25900000000000001</v>
      </c>
      <c r="H13" s="4" t="s">
        <v>19</v>
      </c>
      <c r="I13" s="13">
        <f>LOG(C13,2)</f>
        <v>0</v>
      </c>
      <c r="J13" s="7">
        <f t="shared" ref="J13:L15" si="9">LOG(D13,2)</f>
        <v>1.4629324485183204</v>
      </c>
      <c r="K13" s="7">
        <f t="shared" si="9"/>
        <v>1.2866312614632365</v>
      </c>
      <c r="L13" s="7">
        <f t="shared" si="9"/>
        <v>-1.9489759969755331</v>
      </c>
      <c r="N13" s="4" t="s">
        <v>19</v>
      </c>
      <c r="O13">
        <v>1</v>
      </c>
      <c r="P13" s="7">
        <v>3.8791265720610002</v>
      </c>
      <c r="Q13" s="7">
        <v>1.1345863720745399</v>
      </c>
      <c r="S13" s="4" t="s">
        <v>19</v>
      </c>
      <c r="T13">
        <v>0</v>
      </c>
      <c r="U13" s="7">
        <v>1.95573185034872</v>
      </c>
      <c r="V13" s="7">
        <v>0.18216644049591241</v>
      </c>
    </row>
    <row r="14" spans="2:40" x14ac:dyDescent="0.3">
      <c r="B14" s="9"/>
      <c r="C14" s="13">
        <v>1</v>
      </c>
      <c r="D14" s="7">
        <v>3.7654350607751499</v>
      </c>
      <c r="E14" s="7">
        <v>5.6372299999999997</v>
      </c>
      <c r="F14" s="7">
        <v>0.68400000000000005</v>
      </c>
      <c r="H14" s="9"/>
      <c r="I14" s="13">
        <f t="shared" ref="I14:I15" si="10">LOG(C14,2)</f>
        <v>0</v>
      </c>
      <c r="J14" s="7">
        <f t="shared" si="9"/>
        <v>1.9128165644353914</v>
      </c>
      <c r="K14" s="7">
        <f t="shared" si="9"/>
        <v>2.4949864308976375</v>
      </c>
      <c r="L14" s="7">
        <f t="shared" si="9"/>
        <v>-0.54793176977618907</v>
      </c>
      <c r="O14">
        <v>1</v>
      </c>
      <c r="P14" s="7">
        <v>2.1065032260549601</v>
      </c>
      <c r="Q14" s="7">
        <v>3.5497982703494402</v>
      </c>
      <c r="T14">
        <v>0</v>
      </c>
      <c r="U14" s="7">
        <v>1.0748501253518306</v>
      </c>
      <c r="V14" s="7">
        <v>1.8277370407762417</v>
      </c>
    </row>
    <row r="15" spans="2:40" x14ac:dyDescent="0.3">
      <c r="B15" s="9"/>
      <c r="C15" s="13">
        <v>1</v>
      </c>
      <c r="D15" s="7">
        <v>0.94027212541942795</v>
      </c>
      <c r="E15" s="7">
        <v>2.2341146178403699</v>
      </c>
      <c r="F15" s="7">
        <v>0.66100000000000003</v>
      </c>
      <c r="H15" s="9"/>
      <c r="I15" s="13">
        <f t="shared" si="10"/>
        <v>0</v>
      </c>
      <c r="J15" s="7">
        <f t="shared" si="9"/>
        <v>-8.884974535554517E-2</v>
      </c>
      <c r="K15" s="7">
        <f t="shared" si="9"/>
        <v>1.159703202986891</v>
      </c>
      <c r="L15" s="7">
        <f t="shared" si="9"/>
        <v>-0.59727782315439537</v>
      </c>
      <c r="O15">
        <v>1</v>
      </c>
      <c r="P15" s="7">
        <v>0.98107043519741799</v>
      </c>
      <c r="Q15" s="7">
        <v>1.3981217791021401</v>
      </c>
      <c r="T15">
        <v>0</v>
      </c>
      <c r="U15" s="7">
        <v>-2.7571377543569957E-2</v>
      </c>
      <c r="V15" s="7">
        <v>0.48349002770551375</v>
      </c>
    </row>
    <row r="16" spans="2:40" x14ac:dyDescent="0.3">
      <c r="B16" s="12" t="s">
        <v>7</v>
      </c>
      <c r="C16" s="13">
        <f>AVERAGE(C13:C15)</f>
        <v>1</v>
      </c>
      <c r="D16" s="7">
        <f>AVERAGE(D13:D15)</f>
        <v>2.4874628042368694</v>
      </c>
      <c r="E16" s="7">
        <f t="shared" ref="E16" si="11">AVERAGE(E13:E15)</f>
        <v>3.4369740089718768</v>
      </c>
      <c r="F16" s="7">
        <f>AVERAGE(F13:F15)</f>
        <v>0.53466666666666673</v>
      </c>
      <c r="H16" s="12" t="s">
        <v>7</v>
      </c>
      <c r="I16" s="13">
        <f>AVERAGE(I13:I15)</f>
        <v>0</v>
      </c>
      <c r="J16" s="7">
        <f t="shared" ref="J16" si="12">AVERAGE(J13:J15)</f>
        <v>1.0956330891993888</v>
      </c>
      <c r="K16" s="7">
        <f t="shared" ref="K16" si="13">AVERAGE(K13:K15)</f>
        <v>1.6471069651159216</v>
      </c>
      <c r="L16" s="7">
        <f t="shared" ref="L16" si="14">AVERAGE(L13:L15)</f>
        <v>-1.0313951966353725</v>
      </c>
      <c r="N16" s="12" t="s">
        <v>7</v>
      </c>
      <c r="O16">
        <f>AVERAGE(O13:O15)</f>
        <v>1</v>
      </c>
      <c r="P16" s="7">
        <f t="shared" ref="P16:Q16" si="15">AVERAGE(P13:P15)</f>
        <v>2.3222334111044596</v>
      </c>
      <c r="Q16" s="7">
        <f t="shared" si="15"/>
        <v>2.0275021405087066</v>
      </c>
      <c r="S16" s="12" t="s">
        <v>7</v>
      </c>
      <c r="T16">
        <v>0</v>
      </c>
      <c r="U16" s="7">
        <v>1.0010035327189934</v>
      </c>
      <c r="V16" s="7">
        <v>0.83113116965922262</v>
      </c>
    </row>
    <row r="17" spans="2:31" x14ac:dyDescent="0.3">
      <c r="B17" s="12" t="s">
        <v>8</v>
      </c>
      <c r="C17">
        <f>STDEV(C13:C15)</f>
        <v>0</v>
      </c>
      <c r="D17" s="7">
        <f>STDEV(D13:D15)</f>
        <v>1.4316931661490189</v>
      </c>
      <c r="E17" s="7">
        <f t="shared" ref="E17" si="16">STDEV(E13:E15)</f>
        <v>1.9082448897316266</v>
      </c>
      <c r="F17" s="7">
        <f>STDEV(F13:F15)</f>
        <v>0.23901115734068429</v>
      </c>
      <c r="H17" s="12" t="s">
        <v>8</v>
      </c>
      <c r="I17">
        <f>STDEV(I13:I15)</f>
        <v>0</v>
      </c>
      <c r="J17" s="7">
        <f t="shared" ref="J17:L17" si="17">STDEV(J13:J15)</f>
        <v>1.050165995666918</v>
      </c>
      <c r="K17" s="7">
        <f t="shared" si="17"/>
        <v>0.73702264169960097</v>
      </c>
      <c r="L17" s="7">
        <f t="shared" si="17"/>
        <v>0.79503122712926699</v>
      </c>
      <c r="N17" s="12" t="s">
        <v>8</v>
      </c>
      <c r="O17">
        <f>STDEV(O13:O15)</f>
        <v>0</v>
      </c>
      <c r="P17" s="7">
        <f t="shared" ref="P17:Q17" si="18">STDEV(P13:P15)</f>
        <v>1.4610225794488207</v>
      </c>
      <c r="Q17" s="7">
        <f t="shared" si="18"/>
        <v>1.32491579275264</v>
      </c>
      <c r="S17" s="12" t="s">
        <v>8</v>
      </c>
      <c r="T17">
        <v>0</v>
      </c>
      <c r="U17" s="7">
        <v>0.99371168498443474</v>
      </c>
      <c r="V17" s="7">
        <v>0.87613721688494661</v>
      </c>
    </row>
    <row r="20" spans="2:31" x14ac:dyDescent="0.3">
      <c r="C20" s="35" t="s">
        <v>26</v>
      </c>
      <c r="D20" s="35"/>
      <c r="E20" s="35"/>
      <c r="F20" s="35"/>
      <c r="I20" s="35" t="s">
        <v>15</v>
      </c>
      <c r="J20" s="35"/>
      <c r="K20" s="35"/>
      <c r="L20" s="35"/>
      <c r="O20" s="34" t="s">
        <v>26</v>
      </c>
      <c r="P20" s="34"/>
      <c r="Q20" s="34"/>
      <c r="T20" s="34" t="s">
        <v>15</v>
      </c>
      <c r="U20" s="34"/>
      <c r="V20" s="34"/>
    </row>
    <row r="21" spans="2:31" ht="16.2" x14ac:dyDescent="0.3">
      <c r="B21" s="9"/>
      <c r="C21" s="1" t="s">
        <v>2</v>
      </c>
      <c r="D21" s="3" t="s">
        <v>3</v>
      </c>
      <c r="E21" s="3" t="s">
        <v>4</v>
      </c>
      <c r="F21" s="3" t="s">
        <v>17</v>
      </c>
      <c r="H21" s="9"/>
      <c r="I21" s="1" t="s">
        <v>2</v>
      </c>
      <c r="J21" s="3" t="s">
        <v>3</v>
      </c>
      <c r="K21" s="3" t="s">
        <v>4</v>
      </c>
      <c r="L21" s="3" t="s">
        <v>17</v>
      </c>
      <c r="O21" s="11" t="s">
        <v>12</v>
      </c>
      <c r="P21" s="11" t="s">
        <v>13</v>
      </c>
      <c r="Q21" s="11" t="s">
        <v>14</v>
      </c>
      <c r="T21" s="11" t="s">
        <v>12</v>
      </c>
      <c r="U21" s="11" t="s">
        <v>13</v>
      </c>
      <c r="V21" s="11" t="s">
        <v>14</v>
      </c>
    </row>
    <row r="22" spans="2:31" x14ac:dyDescent="0.3">
      <c r="B22" s="4" t="s">
        <v>19</v>
      </c>
      <c r="C22" s="13">
        <v>1</v>
      </c>
      <c r="D22" s="7">
        <v>3.0721023867325301</v>
      </c>
      <c r="E22" s="7">
        <v>1.30218709167751</v>
      </c>
      <c r="F22" s="7">
        <v>1.07189639646572</v>
      </c>
      <c r="H22" s="4" t="s">
        <v>19</v>
      </c>
      <c r="I22" s="13">
        <f t="shared" ref="I22:L24" si="19">LOG(C22,2)</f>
        <v>0</v>
      </c>
      <c r="J22" s="7">
        <f t="shared" si="19"/>
        <v>1.6192262988617276</v>
      </c>
      <c r="K22" s="7">
        <f t="shared" si="19"/>
        <v>0.38093674254679311</v>
      </c>
      <c r="L22" s="7">
        <f t="shared" si="19"/>
        <v>0.10016546966855995</v>
      </c>
      <c r="N22" s="4" t="s">
        <v>19</v>
      </c>
      <c r="O22" s="13">
        <v>1</v>
      </c>
      <c r="P22" s="7">
        <v>1.2340529897936201</v>
      </c>
      <c r="Q22" s="7">
        <v>0.86587145668572296</v>
      </c>
      <c r="S22" s="4" t="s">
        <v>19</v>
      </c>
      <c r="T22">
        <v>0</v>
      </c>
      <c r="U22" s="7">
        <v>0.30340434462600402</v>
      </c>
      <c r="V22" s="7">
        <v>-0.20777522994322131</v>
      </c>
    </row>
    <row r="23" spans="2:31" x14ac:dyDescent="0.3">
      <c r="B23" s="9"/>
      <c r="C23" s="13">
        <v>1</v>
      </c>
      <c r="D23" s="7">
        <v>2.0830607757831401</v>
      </c>
      <c r="E23" s="7">
        <v>1.1377390673813399</v>
      </c>
      <c r="F23" s="7">
        <v>0.54610015936337297</v>
      </c>
      <c r="H23" s="9"/>
      <c r="I23" s="13">
        <f t="shared" si="19"/>
        <v>0</v>
      </c>
      <c r="J23" s="7">
        <f t="shared" si="19"/>
        <v>1.0587049323415132</v>
      </c>
      <c r="K23" s="7">
        <f t="shared" si="19"/>
        <v>0.18616972340959298</v>
      </c>
      <c r="L23" s="7">
        <f t="shared" si="19"/>
        <v>-0.87276251706673602</v>
      </c>
      <c r="O23" s="13">
        <v>1</v>
      </c>
      <c r="P23" s="7">
        <v>1.3279670014595999</v>
      </c>
      <c r="Q23" s="7">
        <v>0.97115757719285301</v>
      </c>
      <c r="T23">
        <v>0</v>
      </c>
      <c r="U23" s="7">
        <v>0.4092192977224311</v>
      </c>
      <c r="V23" s="7">
        <v>-4.2222692764764765E-2</v>
      </c>
    </row>
    <row r="24" spans="2:31" x14ac:dyDescent="0.3">
      <c r="B24" s="9"/>
      <c r="C24" s="13">
        <v>1</v>
      </c>
      <c r="D24" s="7">
        <v>1.98674458624154</v>
      </c>
      <c r="E24" s="7">
        <v>0.89243518710536796</v>
      </c>
      <c r="F24" s="7">
        <v>0.85035855774882596</v>
      </c>
      <c r="H24" s="9"/>
      <c r="I24" s="13">
        <f t="shared" si="19"/>
        <v>0</v>
      </c>
      <c r="J24" s="7">
        <f t="shared" si="19"/>
        <v>0.99040641317759082</v>
      </c>
      <c r="K24" s="7">
        <f t="shared" si="19"/>
        <v>-0.16418069732768345</v>
      </c>
      <c r="L24" s="7">
        <f t="shared" si="19"/>
        <v>-0.23385680609351681</v>
      </c>
      <c r="O24">
        <v>1</v>
      </c>
      <c r="P24" s="7">
        <v>0.995635041244885</v>
      </c>
      <c r="Q24" s="7">
        <v>0.77733538419381698</v>
      </c>
      <c r="T24">
        <v>0</v>
      </c>
      <c r="U24" s="7">
        <v>-6.3110882118507308E-3</v>
      </c>
      <c r="V24" s="7">
        <v>-0.3633909058847028</v>
      </c>
    </row>
    <row r="25" spans="2:31" x14ac:dyDescent="0.3">
      <c r="B25" s="12" t="s">
        <v>7</v>
      </c>
      <c r="C25" s="13">
        <f>AVERAGE(C22:C24)</f>
        <v>1</v>
      </c>
      <c r="D25" s="7">
        <f t="shared" ref="D25:F25" si="20">AVERAGE(D22:D24)</f>
        <v>2.3806359162524036</v>
      </c>
      <c r="E25" s="7">
        <f t="shared" si="20"/>
        <v>1.1107871153880726</v>
      </c>
      <c r="F25" s="7">
        <f t="shared" si="20"/>
        <v>0.82278503785930635</v>
      </c>
      <c r="H25" s="12" t="s">
        <v>7</v>
      </c>
      <c r="I25" s="13">
        <f>AVERAGE(I22:I24)</f>
        <v>0</v>
      </c>
      <c r="J25" s="7">
        <f t="shared" ref="J25" si="21">AVERAGE(J22:J24)</f>
        <v>1.2227792147936105</v>
      </c>
      <c r="K25" s="7">
        <f t="shared" ref="K25" si="22">AVERAGE(K22:K24)</f>
        <v>0.13430858954290084</v>
      </c>
      <c r="L25" s="7">
        <f t="shared" ref="L25" si="23">AVERAGE(L22:L24)</f>
        <v>-0.33548461783056432</v>
      </c>
      <c r="N25" s="12" t="s">
        <v>7</v>
      </c>
      <c r="O25" s="13">
        <f>AVERAGE(O22:O24)</f>
        <v>1</v>
      </c>
      <c r="P25" s="7">
        <v>1.1858850108327017</v>
      </c>
      <c r="Q25" s="7">
        <f t="shared" ref="Q25" si="24">AVERAGE(Q22:Q24)</f>
        <v>0.87145480602413095</v>
      </c>
      <c r="S25" s="12" t="s">
        <v>7</v>
      </c>
      <c r="T25">
        <v>0</v>
      </c>
      <c r="U25" s="7">
        <v>1.1858850108327017</v>
      </c>
      <c r="V25" s="7">
        <v>-0.20446294286422961</v>
      </c>
    </row>
    <row r="26" spans="2:31" x14ac:dyDescent="0.3">
      <c r="B26" s="12" t="s">
        <v>8</v>
      </c>
      <c r="C26">
        <f>STDEV(C22:C24)</f>
        <v>0</v>
      </c>
      <c r="D26" s="7">
        <f t="shared" ref="D26:F26" si="25">STDEV(D22:D24)</f>
        <v>0.60076086085948965</v>
      </c>
      <c r="E26" s="7">
        <f t="shared" si="25"/>
        <v>0.20620126481743525</v>
      </c>
      <c r="F26" s="7">
        <f t="shared" si="25"/>
        <v>0.26398038750458375</v>
      </c>
      <c r="H26" s="12" t="s">
        <v>8</v>
      </c>
      <c r="I26">
        <f>STDEV(I22:I24)</f>
        <v>0</v>
      </c>
      <c r="J26" s="7">
        <f t="shared" ref="J26:L26" si="26">STDEV(J22:J24)</f>
        <v>0.34502737540604034</v>
      </c>
      <c r="K26" s="7">
        <f t="shared" si="26"/>
        <v>0.276234390904319</v>
      </c>
      <c r="L26" s="7">
        <f t="shared" si="26"/>
        <v>0.49436158419930304</v>
      </c>
      <c r="N26" s="12" t="s">
        <v>8</v>
      </c>
      <c r="O26">
        <f>STDEV(O22:O24)</f>
        <v>0</v>
      </c>
      <c r="P26" s="7">
        <v>0.17132206102228417</v>
      </c>
      <c r="Q26" s="7">
        <f t="shared" ref="Q26" si="27">STDEV(Q22:Q24)</f>
        <v>9.70316493063728E-2</v>
      </c>
      <c r="S26" s="12" t="s">
        <v>8</v>
      </c>
      <c r="T26">
        <v>0</v>
      </c>
      <c r="U26" s="7">
        <v>0.17132206102228417</v>
      </c>
      <c r="V26" s="7">
        <v>0.16060972484234484</v>
      </c>
    </row>
    <row r="27" spans="2:31" x14ac:dyDescent="0.3">
      <c r="Z27" s="30" t="s">
        <v>10</v>
      </c>
      <c r="AA27" s="30"/>
      <c r="AB27" s="30"/>
      <c r="AC27" s="30"/>
      <c r="AD27" s="30"/>
      <c r="AE27" s="30"/>
    </row>
    <row r="28" spans="2:31" x14ac:dyDescent="0.3">
      <c r="Z28" t="s">
        <v>2</v>
      </c>
      <c r="AA28" t="s">
        <v>3</v>
      </c>
      <c r="AB28" t="s">
        <v>13</v>
      </c>
      <c r="AC28" t="s">
        <v>4</v>
      </c>
      <c r="AD28" t="s">
        <v>14</v>
      </c>
      <c r="AE28" t="s">
        <v>23</v>
      </c>
    </row>
    <row r="29" spans="2:31" x14ac:dyDescent="0.3">
      <c r="Y29" t="s">
        <v>19</v>
      </c>
      <c r="Z29">
        <v>0</v>
      </c>
      <c r="AA29" s="7">
        <v>1.4629324485183204</v>
      </c>
      <c r="AB29" s="7">
        <v>1.95573185034872</v>
      </c>
      <c r="AC29" s="7">
        <v>1.2866312614632365</v>
      </c>
      <c r="AD29" s="7">
        <v>0.18216644049591241</v>
      </c>
      <c r="AE29" s="7">
        <v>-1.9489759969755331</v>
      </c>
    </row>
    <row r="30" spans="2:31" x14ac:dyDescent="0.3">
      <c r="Z30">
        <v>0</v>
      </c>
      <c r="AA30" s="7">
        <v>1.9128165644353914</v>
      </c>
      <c r="AB30" s="7">
        <v>1.0748501253518306</v>
      </c>
      <c r="AC30" s="7">
        <v>2.4949864308976375</v>
      </c>
      <c r="AD30" s="7">
        <v>1.8277370407762417</v>
      </c>
      <c r="AE30" s="7">
        <v>-0.54793176977618907</v>
      </c>
    </row>
    <row r="31" spans="2:31" x14ac:dyDescent="0.3">
      <c r="Z31">
        <v>0</v>
      </c>
      <c r="AA31" s="7">
        <v>-8.884974535554517E-2</v>
      </c>
      <c r="AB31" s="7">
        <v>-2.7571377543569957E-2</v>
      </c>
      <c r="AC31" s="7">
        <v>1.159703202986891</v>
      </c>
      <c r="AD31" s="7">
        <v>0.48349002770551375</v>
      </c>
      <c r="AE31" s="7">
        <v>-0.59727782315439537</v>
      </c>
    </row>
    <row r="32" spans="2:31" x14ac:dyDescent="0.3">
      <c r="Y32" t="s">
        <v>7</v>
      </c>
      <c r="Z32">
        <v>0</v>
      </c>
      <c r="AA32" s="7">
        <v>1.0956330891993888</v>
      </c>
      <c r="AB32" s="7">
        <v>1.0010035327189934</v>
      </c>
      <c r="AC32" s="7">
        <v>1.6471069651159216</v>
      </c>
      <c r="AD32" s="7">
        <v>0.83113116965922262</v>
      </c>
      <c r="AE32" s="7">
        <v>-1.0313951966353725</v>
      </c>
    </row>
    <row r="33" spans="25:31" x14ac:dyDescent="0.3">
      <c r="Y33" t="s">
        <v>8</v>
      </c>
      <c r="Z33">
        <v>0</v>
      </c>
      <c r="AA33" s="7">
        <v>1.050165995666918</v>
      </c>
      <c r="AB33" s="7">
        <v>0.99371168498443474</v>
      </c>
      <c r="AC33" s="7">
        <v>0.73702264169960097</v>
      </c>
      <c r="AD33" s="7">
        <v>0.87613721688494661</v>
      </c>
      <c r="AE33" s="7">
        <v>0.79503122712926699</v>
      </c>
    </row>
  </sheetData>
  <mergeCells count="15">
    <mergeCell ref="Z2:AE2"/>
    <mergeCell ref="Z27:AE27"/>
    <mergeCell ref="AI2:AN2"/>
    <mergeCell ref="C2:F2"/>
    <mergeCell ref="I2:L2"/>
    <mergeCell ref="C11:F11"/>
    <mergeCell ref="I11:L11"/>
    <mergeCell ref="C20:F20"/>
    <mergeCell ref="I20:L20"/>
    <mergeCell ref="O2:Q2"/>
    <mergeCell ref="T2:V2"/>
    <mergeCell ref="O11:Q11"/>
    <mergeCell ref="T11:V11"/>
    <mergeCell ref="O20:Q20"/>
    <mergeCell ref="T20:V20"/>
  </mergeCells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B4F-5ED1-4877-9DFE-030DF7D6F7FD}">
  <dimension ref="A1:K163"/>
  <sheetViews>
    <sheetView tabSelected="1" zoomScale="65" zoomScaleNormal="65" workbookViewId="0">
      <selection activeCell="O24" sqref="O24"/>
    </sheetView>
  </sheetViews>
  <sheetFormatPr defaultRowHeight="14.4" x14ac:dyDescent="0.3"/>
  <cols>
    <col min="4" max="4" width="10.88671875" bestFit="1" customWidth="1"/>
  </cols>
  <sheetData>
    <row r="1" spans="1:11" x14ac:dyDescent="0.3">
      <c r="A1" t="s">
        <v>27</v>
      </c>
      <c r="B1" t="s">
        <v>28</v>
      </c>
      <c r="C1" t="s">
        <v>34</v>
      </c>
      <c r="D1" t="s">
        <v>33</v>
      </c>
      <c r="E1" t="s">
        <v>35</v>
      </c>
    </row>
    <row r="2" spans="1:11" x14ac:dyDescent="0.3">
      <c r="A2" t="s">
        <v>0</v>
      </c>
      <c r="B2" t="s">
        <v>6</v>
      </c>
      <c r="C2" s="5">
        <v>1</v>
      </c>
      <c r="D2" s="26" t="s">
        <v>2</v>
      </c>
      <c r="E2">
        <v>0</v>
      </c>
      <c r="K2" s="26"/>
    </row>
    <row r="3" spans="1:11" x14ac:dyDescent="0.3">
      <c r="A3" t="s">
        <v>0</v>
      </c>
      <c r="B3" t="s">
        <v>6</v>
      </c>
      <c r="C3" s="5">
        <v>1</v>
      </c>
      <c r="D3" s="26" t="s">
        <v>2</v>
      </c>
      <c r="E3">
        <v>0</v>
      </c>
      <c r="K3" s="26"/>
    </row>
    <row r="4" spans="1:11" x14ac:dyDescent="0.3">
      <c r="A4" t="s">
        <v>0</v>
      </c>
      <c r="B4" t="s">
        <v>6</v>
      </c>
      <c r="C4" s="5">
        <v>1</v>
      </c>
      <c r="D4" s="26" t="s">
        <v>2</v>
      </c>
      <c r="E4">
        <v>0</v>
      </c>
      <c r="K4" s="26"/>
    </row>
    <row r="5" spans="1:11" x14ac:dyDescent="0.3">
      <c r="A5" t="s">
        <v>0</v>
      </c>
      <c r="B5" t="s">
        <v>6</v>
      </c>
      <c r="C5" s="6">
        <v>16.198602961602301</v>
      </c>
      <c r="D5" s="26" t="s">
        <v>3</v>
      </c>
      <c r="E5">
        <v>1</v>
      </c>
      <c r="J5" s="7"/>
      <c r="K5" s="26"/>
    </row>
    <row r="6" spans="1:11" x14ac:dyDescent="0.3">
      <c r="A6" t="s">
        <v>0</v>
      </c>
      <c r="B6" t="s">
        <v>6</v>
      </c>
      <c r="C6" s="7">
        <v>13.804274206794499</v>
      </c>
      <c r="D6" s="26" t="s">
        <v>3</v>
      </c>
      <c r="E6">
        <v>1</v>
      </c>
      <c r="J6" s="7"/>
      <c r="K6" s="26"/>
    </row>
    <row r="7" spans="1:11" x14ac:dyDescent="0.3">
      <c r="A7" t="s">
        <v>0</v>
      </c>
      <c r="B7" t="s">
        <v>6</v>
      </c>
      <c r="C7" s="7">
        <v>10.1757874311372</v>
      </c>
      <c r="D7" s="26" t="s">
        <v>3</v>
      </c>
      <c r="E7">
        <v>1</v>
      </c>
      <c r="J7" s="7"/>
      <c r="K7" s="26"/>
    </row>
    <row r="8" spans="1:11" x14ac:dyDescent="0.3">
      <c r="A8" t="s">
        <v>0</v>
      </c>
      <c r="B8" t="s">
        <v>6</v>
      </c>
      <c r="C8" s="7">
        <v>1.20295213514018</v>
      </c>
      <c r="D8" s="26" t="s">
        <v>30</v>
      </c>
      <c r="E8">
        <v>2</v>
      </c>
      <c r="J8" s="7"/>
      <c r="K8" s="26"/>
    </row>
    <row r="9" spans="1:11" x14ac:dyDescent="0.3">
      <c r="A9" t="s">
        <v>0</v>
      </c>
      <c r="B9" t="s">
        <v>6</v>
      </c>
      <c r="C9" s="7">
        <v>1.1902410436976001</v>
      </c>
      <c r="D9" s="26" t="s">
        <v>30</v>
      </c>
      <c r="E9">
        <v>2</v>
      </c>
      <c r="J9" s="7"/>
      <c r="K9" s="26"/>
    </row>
    <row r="10" spans="1:11" x14ac:dyDescent="0.3">
      <c r="A10" t="s">
        <v>0</v>
      </c>
      <c r="B10" t="s">
        <v>6</v>
      </c>
      <c r="C10" s="7">
        <v>1.10505915219467</v>
      </c>
      <c r="D10" s="26" t="s">
        <v>30</v>
      </c>
      <c r="E10">
        <v>2</v>
      </c>
      <c r="J10" s="7"/>
      <c r="K10" s="26"/>
    </row>
    <row r="11" spans="1:11" x14ac:dyDescent="0.3">
      <c r="A11" t="s">
        <v>0</v>
      </c>
      <c r="B11" t="s">
        <v>6</v>
      </c>
      <c r="C11" s="6">
        <v>2.6853007827131101</v>
      </c>
      <c r="D11" s="26" t="s">
        <v>4</v>
      </c>
      <c r="E11">
        <v>3</v>
      </c>
      <c r="J11" s="7"/>
      <c r="K11" s="26"/>
    </row>
    <row r="12" spans="1:11" x14ac:dyDescent="0.3">
      <c r="A12" t="s">
        <v>0</v>
      </c>
      <c r="B12" t="s">
        <v>6</v>
      </c>
      <c r="C12" s="7">
        <v>5.2847912419250296</v>
      </c>
      <c r="D12" s="26" t="s">
        <v>4</v>
      </c>
      <c r="E12">
        <v>3</v>
      </c>
      <c r="J12" s="7"/>
      <c r="K12" s="26"/>
    </row>
    <row r="13" spans="1:11" x14ac:dyDescent="0.3">
      <c r="A13" t="s">
        <v>0</v>
      </c>
      <c r="B13" t="s">
        <v>6</v>
      </c>
      <c r="C13" s="7">
        <v>2.2949259580686898</v>
      </c>
      <c r="D13" s="26" t="s">
        <v>4</v>
      </c>
      <c r="E13">
        <v>3</v>
      </c>
      <c r="J13" s="7"/>
      <c r="K13" s="26"/>
    </row>
    <row r="14" spans="1:11" x14ac:dyDescent="0.3">
      <c r="A14" t="s">
        <v>0</v>
      </c>
      <c r="B14" t="s">
        <v>6</v>
      </c>
      <c r="C14" s="7">
        <v>0.99015588209910599</v>
      </c>
      <c r="D14" s="26" t="s">
        <v>31</v>
      </c>
      <c r="E14">
        <v>4</v>
      </c>
      <c r="J14" s="7"/>
      <c r="K14" s="26"/>
    </row>
    <row r="15" spans="1:11" x14ac:dyDescent="0.3">
      <c r="A15" t="s">
        <v>0</v>
      </c>
      <c r="B15" t="s">
        <v>6</v>
      </c>
      <c r="C15" s="7">
        <v>0.71836846577179903</v>
      </c>
      <c r="D15" s="26" t="s">
        <v>31</v>
      </c>
      <c r="E15">
        <v>4</v>
      </c>
      <c r="J15" s="7"/>
      <c r="K15" s="26"/>
    </row>
    <row r="16" spans="1:11" x14ac:dyDescent="0.3">
      <c r="A16" t="s">
        <v>0</v>
      </c>
      <c r="B16" t="s">
        <v>6</v>
      </c>
      <c r="C16" s="7">
        <v>0.80392077159111097</v>
      </c>
      <c r="D16" s="26" t="s">
        <v>31</v>
      </c>
      <c r="E16">
        <v>4</v>
      </c>
      <c r="J16" s="7"/>
      <c r="K16" s="26"/>
    </row>
    <row r="17" spans="1:11" x14ac:dyDescent="0.3">
      <c r="A17" t="s">
        <v>0</v>
      </c>
      <c r="B17" t="s">
        <v>6</v>
      </c>
      <c r="C17" s="6">
        <v>0.768230073493543</v>
      </c>
      <c r="D17" s="27" t="s">
        <v>32</v>
      </c>
      <c r="E17">
        <v>5</v>
      </c>
      <c r="J17" s="7"/>
      <c r="K17" s="27"/>
    </row>
    <row r="18" spans="1:11" x14ac:dyDescent="0.3">
      <c r="A18" t="s">
        <v>0</v>
      </c>
      <c r="B18" t="s">
        <v>6</v>
      </c>
      <c r="C18" s="7">
        <v>0.95345954179455605</v>
      </c>
      <c r="D18" s="27" t="s">
        <v>32</v>
      </c>
      <c r="E18">
        <v>5</v>
      </c>
      <c r="J18" s="7"/>
      <c r="K18" s="27"/>
    </row>
    <row r="19" spans="1:11" x14ac:dyDescent="0.3">
      <c r="A19" t="s">
        <v>0</v>
      </c>
      <c r="B19" t="s">
        <v>6</v>
      </c>
      <c r="C19" s="7">
        <v>0.49657078173872798</v>
      </c>
      <c r="D19" s="27" t="s">
        <v>32</v>
      </c>
      <c r="E19">
        <v>5</v>
      </c>
      <c r="J19" s="7"/>
      <c r="K19" s="27"/>
    </row>
    <row r="20" spans="1:11" x14ac:dyDescent="0.3">
      <c r="A20" t="s">
        <v>9</v>
      </c>
      <c r="B20" t="s">
        <v>6</v>
      </c>
      <c r="C20" s="5">
        <v>1</v>
      </c>
      <c r="D20" s="26" t="s">
        <v>2</v>
      </c>
      <c r="E20">
        <v>0</v>
      </c>
      <c r="K20" s="26"/>
    </row>
    <row r="21" spans="1:11" x14ac:dyDescent="0.3">
      <c r="A21" t="s">
        <v>9</v>
      </c>
      <c r="B21" t="s">
        <v>6</v>
      </c>
      <c r="C21" s="5">
        <v>1</v>
      </c>
      <c r="D21" s="26" t="s">
        <v>2</v>
      </c>
      <c r="E21">
        <v>0</v>
      </c>
      <c r="K21" s="26"/>
    </row>
    <row r="22" spans="1:11" x14ac:dyDescent="0.3">
      <c r="A22" t="s">
        <v>9</v>
      </c>
      <c r="B22" t="s">
        <v>6</v>
      </c>
      <c r="C22" s="5">
        <v>1</v>
      </c>
      <c r="D22" s="26" t="s">
        <v>2</v>
      </c>
      <c r="E22">
        <v>0</v>
      </c>
      <c r="K22" s="26"/>
    </row>
    <row r="23" spans="1:11" x14ac:dyDescent="0.3">
      <c r="A23" t="s">
        <v>9</v>
      </c>
      <c r="B23" t="s">
        <v>6</v>
      </c>
      <c r="C23" s="6">
        <v>4.9050852792114696</v>
      </c>
      <c r="D23" s="26" t="s">
        <v>3</v>
      </c>
      <c r="E23">
        <v>1</v>
      </c>
      <c r="J23" s="7"/>
      <c r="K23" s="26"/>
    </row>
    <row r="24" spans="1:11" x14ac:dyDescent="0.3">
      <c r="A24" t="s">
        <v>9</v>
      </c>
      <c r="B24" t="s">
        <v>6</v>
      </c>
      <c r="C24" s="6">
        <v>3.27066381576154</v>
      </c>
      <c r="D24" s="26" t="s">
        <v>3</v>
      </c>
      <c r="E24">
        <v>1</v>
      </c>
      <c r="J24" s="7"/>
      <c r="K24" s="26"/>
    </row>
    <row r="25" spans="1:11" x14ac:dyDescent="0.3">
      <c r="A25" t="s">
        <v>9</v>
      </c>
      <c r="B25" t="s">
        <v>6</v>
      </c>
      <c r="C25" s="6">
        <v>3.0340180410320898</v>
      </c>
      <c r="D25" s="26" t="s">
        <v>3</v>
      </c>
      <c r="E25">
        <v>1</v>
      </c>
      <c r="J25" s="7"/>
      <c r="K25" s="26"/>
    </row>
    <row r="26" spans="1:11" x14ac:dyDescent="0.3">
      <c r="A26" t="s">
        <v>9</v>
      </c>
      <c r="B26" t="s">
        <v>6</v>
      </c>
      <c r="C26" s="7">
        <v>0.70437202650497399</v>
      </c>
      <c r="D26" s="26" t="s">
        <v>30</v>
      </c>
      <c r="E26">
        <v>2</v>
      </c>
      <c r="J26" s="7"/>
      <c r="K26" s="26"/>
    </row>
    <row r="27" spans="1:11" x14ac:dyDescent="0.3">
      <c r="A27" t="s">
        <v>9</v>
      </c>
      <c r="B27" t="s">
        <v>6</v>
      </c>
      <c r="C27" s="7">
        <v>0.754187153715285</v>
      </c>
      <c r="D27" s="26" t="s">
        <v>30</v>
      </c>
      <c r="E27">
        <v>2</v>
      </c>
      <c r="J27" s="7"/>
      <c r="K27" s="26"/>
    </row>
    <row r="28" spans="1:11" x14ac:dyDescent="0.3">
      <c r="A28" t="s">
        <v>9</v>
      </c>
      <c r="B28" t="s">
        <v>6</v>
      </c>
      <c r="C28" s="7">
        <v>0.47756319649728102</v>
      </c>
      <c r="D28" s="26" t="s">
        <v>30</v>
      </c>
      <c r="E28">
        <v>2</v>
      </c>
      <c r="J28" s="7"/>
      <c r="K28" s="26"/>
    </row>
    <row r="29" spans="1:11" x14ac:dyDescent="0.3">
      <c r="A29" t="s">
        <v>9</v>
      </c>
      <c r="B29" t="s">
        <v>6</v>
      </c>
      <c r="C29" s="6">
        <v>2.0399913580878599</v>
      </c>
      <c r="D29" s="26" t="s">
        <v>4</v>
      </c>
      <c r="E29">
        <v>3</v>
      </c>
      <c r="J29" s="7"/>
      <c r="K29" s="26"/>
    </row>
    <row r="30" spans="1:11" x14ac:dyDescent="0.3">
      <c r="A30" t="s">
        <v>9</v>
      </c>
      <c r="B30" t="s">
        <v>6</v>
      </c>
      <c r="C30" s="6">
        <v>2.3162714657693901</v>
      </c>
      <c r="D30" s="26" t="s">
        <v>4</v>
      </c>
      <c r="E30">
        <v>3</v>
      </c>
      <c r="J30" s="7"/>
      <c r="K30" s="26"/>
    </row>
    <row r="31" spans="1:11" x14ac:dyDescent="0.3">
      <c r="A31" t="s">
        <v>9</v>
      </c>
      <c r="B31" t="s">
        <v>6</v>
      </c>
      <c r="C31" s="6">
        <v>1.29075916796628</v>
      </c>
      <c r="D31" s="26" t="s">
        <v>4</v>
      </c>
      <c r="E31">
        <v>3</v>
      </c>
      <c r="J31" s="7"/>
      <c r="K31" s="26"/>
    </row>
    <row r="32" spans="1:11" x14ac:dyDescent="0.3">
      <c r="A32" t="s">
        <v>9</v>
      </c>
      <c r="B32" t="s">
        <v>6</v>
      </c>
      <c r="C32" s="7">
        <v>0.95599440813745395</v>
      </c>
      <c r="D32" s="26" t="s">
        <v>31</v>
      </c>
      <c r="E32">
        <v>4</v>
      </c>
      <c r="J32" s="7"/>
      <c r="K32" s="26"/>
    </row>
    <row r="33" spans="1:11" x14ac:dyDescent="0.3">
      <c r="A33" t="s">
        <v>9</v>
      </c>
      <c r="B33" t="s">
        <v>6</v>
      </c>
      <c r="C33" s="7">
        <v>1.38545686120051</v>
      </c>
      <c r="D33" s="26" t="s">
        <v>31</v>
      </c>
      <c r="E33">
        <v>4</v>
      </c>
      <c r="J33" s="7"/>
      <c r="K33" s="26"/>
    </row>
    <row r="34" spans="1:11" x14ac:dyDescent="0.3">
      <c r="A34" t="s">
        <v>9</v>
      </c>
      <c r="B34" t="s">
        <v>6</v>
      </c>
      <c r="C34" s="7">
        <v>0.69790843601790498</v>
      </c>
      <c r="D34" s="26" t="s">
        <v>31</v>
      </c>
      <c r="E34">
        <v>4</v>
      </c>
      <c r="J34" s="7"/>
      <c r="K34" s="26"/>
    </row>
    <row r="35" spans="1:11" x14ac:dyDescent="0.3">
      <c r="A35" t="s">
        <v>9</v>
      </c>
      <c r="B35" t="s">
        <v>6</v>
      </c>
      <c r="C35" s="6">
        <v>1.01582147398281</v>
      </c>
      <c r="D35" s="27" t="s">
        <v>32</v>
      </c>
      <c r="E35">
        <v>5</v>
      </c>
      <c r="J35" s="7"/>
      <c r="K35" s="27"/>
    </row>
    <row r="36" spans="1:11" x14ac:dyDescent="0.3">
      <c r="A36" t="s">
        <v>9</v>
      </c>
      <c r="B36" t="s">
        <v>6</v>
      </c>
      <c r="C36" s="6">
        <v>1.2010572282274701</v>
      </c>
      <c r="D36" s="27" t="s">
        <v>32</v>
      </c>
      <c r="E36">
        <v>5</v>
      </c>
      <c r="J36" s="7"/>
      <c r="K36" s="27"/>
    </row>
    <row r="37" spans="1:11" x14ac:dyDescent="0.3">
      <c r="A37" t="s">
        <v>9</v>
      </c>
      <c r="B37" t="s">
        <v>6</v>
      </c>
      <c r="C37" s="6">
        <v>0.85764657453567605</v>
      </c>
      <c r="D37" s="27" t="s">
        <v>32</v>
      </c>
      <c r="E37">
        <v>5</v>
      </c>
      <c r="J37" s="7"/>
      <c r="K37" s="27"/>
    </row>
    <row r="38" spans="1:11" x14ac:dyDescent="0.3">
      <c r="A38" t="s">
        <v>29</v>
      </c>
      <c r="B38" t="s">
        <v>6</v>
      </c>
      <c r="C38">
        <v>1</v>
      </c>
      <c r="D38" s="26" t="s">
        <v>2</v>
      </c>
      <c r="E38">
        <v>0</v>
      </c>
      <c r="J38" s="28"/>
      <c r="K38" s="26"/>
    </row>
    <row r="39" spans="1:11" x14ac:dyDescent="0.3">
      <c r="A39" t="s">
        <v>29</v>
      </c>
      <c r="B39" t="s">
        <v>6</v>
      </c>
      <c r="C39">
        <v>1</v>
      </c>
      <c r="D39" s="26" t="s">
        <v>2</v>
      </c>
      <c r="E39">
        <v>0</v>
      </c>
      <c r="J39" s="28"/>
      <c r="K39" s="26"/>
    </row>
    <row r="40" spans="1:11" x14ac:dyDescent="0.3">
      <c r="A40" t="s">
        <v>29</v>
      </c>
      <c r="B40" t="s">
        <v>6</v>
      </c>
      <c r="C40">
        <v>1</v>
      </c>
      <c r="D40" s="26" t="s">
        <v>2</v>
      </c>
      <c r="E40">
        <v>0</v>
      </c>
      <c r="J40" s="28"/>
      <c r="K40" s="26"/>
    </row>
    <row r="41" spans="1:11" x14ac:dyDescent="0.3">
      <c r="A41" t="s">
        <v>29</v>
      </c>
      <c r="B41" t="s">
        <v>6</v>
      </c>
      <c r="C41">
        <v>14.9733609152594</v>
      </c>
      <c r="D41" s="26" t="s">
        <v>3</v>
      </c>
      <c r="E41">
        <v>1</v>
      </c>
      <c r="J41" s="7"/>
      <c r="K41" s="26"/>
    </row>
    <row r="42" spans="1:11" x14ac:dyDescent="0.3">
      <c r="A42" t="s">
        <v>29</v>
      </c>
      <c r="B42" t="s">
        <v>6</v>
      </c>
      <c r="C42">
        <v>27.052593296637198</v>
      </c>
      <c r="D42" s="26" t="s">
        <v>3</v>
      </c>
      <c r="E42">
        <v>1</v>
      </c>
      <c r="J42" s="7"/>
      <c r="K42" s="26"/>
    </row>
    <row r="43" spans="1:11" x14ac:dyDescent="0.3">
      <c r="A43" t="s">
        <v>29</v>
      </c>
      <c r="B43" t="s">
        <v>6</v>
      </c>
      <c r="C43">
        <v>14.9664573834732</v>
      </c>
      <c r="D43" s="26" t="s">
        <v>3</v>
      </c>
      <c r="E43">
        <v>1</v>
      </c>
      <c r="J43" s="7"/>
      <c r="K43" s="26"/>
    </row>
    <row r="44" spans="1:11" x14ac:dyDescent="0.3">
      <c r="A44" t="s">
        <v>29</v>
      </c>
      <c r="B44" t="s">
        <v>6</v>
      </c>
      <c r="C44" s="7">
        <v>1.02690532746046</v>
      </c>
      <c r="D44" s="26" t="s">
        <v>30</v>
      </c>
      <c r="E44">
        <v>2</v>
      </c>
      <c r="J44" s="7"/>
      <c r="K44" s="26"/>
    </row>
    <row r="45" spans="1:11" x14ac:dyDescent="0.3">
      <c r="A45" t="s">
        <v>29</v>
      </c>
      <c r="B45" t="s">
        <v>6</v>
      </c>
      <c r="C45" s="7">
        <v>0.93271496138544596</v>
      </c>
      <c r="D45" s="26" t="s">
        <v>30</v>
      </c>
      <c r="E45">
        <v>2</v>
      </c>
      <c r="J45" s="7"/>
      <c r="K45" s="26"/>
    </row>
    <row r="46" spans="1:11" x14ac:dyDescent="0.3">
      <c r="A46" t="s">
        <v>29</v>
      </c>
      <c r="B46" t="s">
        <v>6</v>
      </c>
      <c r="C46" s="7">
        <v>1.0928773860060901</v>
      </c>
      <c r="D46" s="26" t="s">
        <v>30</v>
      </c>
      <c r="E46">
        <v>2</v>
      </c>
      <c r="J46" s="7"/>
      <c r="K46" s="26"/>
    </row>
    <row r="47" spans="1:11" x14ac:dyDescent="0.3">
      <c r="A47" t="s">
        <v>29</v>
      </c>
      <c r="B47" t="s">
        <v>6</v>
      </c>
      <c r="C47">
        <v>5.9602162784990798</v>
      </c>
      <c r="D47" s="26" t="s">
        <v>4</v>
      </c>
      <c r="E47">
        <v>3</v>
      </c>
      <c r="J47" s="7"/>
      <c r="K47" s="26"/>
    </row>
    <row r="48" spans="1:11" x14ac:dyDescent="0.3">
      <c r="A48" t="s">
        <v>29</v>
      </c>
      <c r="B48" t="s">
        <v>6</v>
      </c>
      <c r="C48">
        <v>5.4274596746618302</v>
      </c>
      <c r="D48" s="26" t="s">
        <v>4</v>
      </c>
      <c r="E48">
        <v>3</v>
      </c>
      <c r="J48" s="7"/>
      <c r="K48" s="26"/>
    </row>
    <row r="49" spans="1:11" x14ac:dyDescent="0.3">
      <c r="A49" t="s">
        <v>29</v>
      </c>
      <c r="B49" t="s">
        <v>6</v>
      </c>
      <c r="C49">
        <v>6.6906997447058503</v>
      </c>
      <c r="D49" s="26" t="s">
        <v>4</v>
      </c>
      <c r="E49">
        <v>3</v>
      </c>
      <c r="J49" s="7"/>
      <c r="K49" s="26"/>
    </row>
    <row r="50" spans="1:11" x14ac:dyDescent="0.3">
      <c r="A50" t="s">
        <v>29</v>
      </c>
      <c r="B50" t="s">
        <v>6</v>
      </c>
      <c r="C50" s="7">
        <v>0.85829550752834705</v>
      </c>
      <c r="D50" s="26" t="s">
        <v>31</v>
      </c>
      <c r="E50">
        <v>4</v>
      </c>
      <c r="J50" s="7"/>
      <c r="K50" s="26"/>
    </row>
    <row r="51" spans="1:11" x14ac:dyDescent="0.3">
      <c r="A51" t="s">
        <v>29</v>
      </c>
      <c r="B51" t="s">
        <v>6</v>
      </c>
      <c r="C51" s="7">
        <v>0.89158295075313199</v>
      </c>
      <c r="D51" s="26" t="s">
        <v>31</v>
      </c>
      <c r="E51">
        <v>4</v>
      </c>
      <c r="J51" s="7"/>
      <c r="K51" s="26"/>
    </row>
    <row r="52" spans="1:11" x14ac:dyDescent="0.3">
      <c r="A52" t="s">
        <v>29</v>
      </c>
      <c r="B52" t="s">
        <v>6</v>
      </c>
      <c r="C52" s="7">
        <v>0.59779255594636205</v>
      </c>
      <c r="D52" s="26" t="s">
        <v>31</v>
      </c>
      <c r="E52">
        <v>4</v>
      </c>
      <c r="J52" s="7"/>
      <c r="K52" s="26"/>
    </row>
    <row r="53" spans="1:11" x14ac:dyDescent="0.3">
      <c r="A53" t="s">
        <v>29</v>
      </c>
      <c r="B53" t="s">
        <v>6</v>
      </c>
      <c r="C53" s="6">
        <v>0.907796706908784</v>
      </c>
      <c r="D53" s="27" t="s">
        <v>32</v>
      </c>
      <c r="E53">
        <v>5</v>
      </c>
      <c r="J53" s="7"/>
      <c r="K53" s="27"/>
    </row>
    <row r="54" spans="1:11" x14ac:dyDescent="0.3">
      <c r="A54" t="s">
        <v>29</v>
      </c>
      <c r="B54" t="s">
        <v>6</v>
      </c>
      <c r="C54" s="6">
        <v>0.72588094045230001</v>
      </c>
      <c r="D54" s="27" t="s">
        <v>32</v>
      </c>
      <c r="E54">
        <v>5</v>
      </c>
      <c r="J54" s="7"/>
      <c r="K54" s="27"/>
    </row>
    <row r="55" spans="1:11" x14ac:dyDescent="0.3">
      <c r="A55" t="s">
        <v>29</v>
      </c>
      <c r="B55" t="s">
        <v>6</v>
      </c>
      <c r="C55" s="6">
        <v>1.09552739043026</v>
      </c>
      <c r="D55" s="27" t="s">
        <v>32</v>
      </c>
      <c r="E55">
        <v>5</v>
      </c>
      <c r="J55" s="7"/>
      <c r="K55" s="27"/>
    </row>
    <row r="56" spans="1:11" x14ac:dyDescent="0.3">
      <c r="A56" t="s">
        <v>0</v>
      </c>
      <c r="B56" t="s">
        <v>18</v>
      </c>
      <c r="C56">
        <v>1</v>
      </c>
      <c r="D56" s="26" t="s">
        <v>2</v>
      </c>
      <c r="E56">
        <v>0</v>
      </c>
    </row>
    <row r="57" spans="1:11" x14ac:dyDescent="0.3">
      <c r="A57" t="s">
        <v>0</v>
      </c>
      <c r="B57" t="s">
        <v>18</v>
      </c>
      <c r="C57">
        <v>1</v>
      </c>
      <c r="D57" s="26" t="s">
        <v>2</v>
      </c>
      <c r="E57">
        <v>0</v>
      </c>
    </row>
    <row r="58" spans="1:11" x14ac:dyDescent="0.3">
      <c r="A58" t="s">
        <v>0</v>
      </c>
      <c r="B58" t="s">
        <v>18</v>
      </c>
      <c r="C58">
        <v>1</v>
      </c>
      <c r="D58" s="26" t="s">
        <v>2</v>
      </c>
      <c r="E58">
        <v>0</v>
      </c>
    </row>
    <row r="59" spans="1:11" x14ac:dyDescent="0.3">
      <c r="A59" t="s">
        <v>0</v>
      </c>
      <c r="B59" t="s">
        <v>18</v>
      </c>
      <c r="C59" s="7">
        <v>0.77228611129563796</v>
      </c>
      <c r="D59" s="26" t="s">
        <v>3</v>
      </c>
      <c r="E59">
        <v>1</v>
      </c>
    </row>
    <row r="60" spans="1:11" x14ac:dyDescent="0.3">
      <c r="A60" t="s">
        <v>0</v>
      </c>
      <c r="B60" t="s">
        <v>18</v>
      </c>
      <c r="C60" s="7">
        <v>2.9628889548402499</v>
      </c>
      <c r="D60" s="26" t="s">
        <v>3</v>
      </c>
      <c r="E60">
        <v>1</v>
      </c>
    </row>
    <row r="61" spans="1:11" x14ac:dyDescent="0.3">
      <c r="A61" t="s">
        <v>0</v>
      </c>
      <c r="B61" t="s">
        <v>18</v>
      </c>
      <c r="C61" s="7">
        <v>2.5859999999999999</v>
      </c>
      <c r="D61" s="26" t="s">
        <v>3</v>
      </c>
      <c r="E61">
        <v>1</v>
      </c>
    </row>
    <row r="62" spans="1:11" x14ac:dyDescent="0.3">
      <c r="A62" t="s">
        <v>0</v>
      </c>
      <c r="B62" t="s">
        <v>18</v>
      </c>
      <c r="C62" s="7">
        <v>8.5123444421899208</v>
      </c>
      <c r="D62" s="26" t="s">
        <v>30</v>
      </c>
      <c r="E62">
        <v>2</v>
      </c>
    </row>
    <row r="63" spans="1:11" x14ac:dyDescent="0.3">
      <c r="A63" t="s">
        <v>0</v>
      </c>
      <c r="B63" t="s">
        <v>18</v>
      </c>
      <c r="C63" s="7">
        <v>2.3489536847183201</v>
      </c>
      <c r="D63" s="26" t="s">
        <v>30</v>
      </c>
      <c r="E63">
        <v>2</v>
      </c>
    </row>
    <row r="64" spans="1:11" x14ac:dyDescent="0.3">
      <c r="A64" t="s">
        <v>0</v>
      </c>
      <c r="B64" t="s">
        <v>18</v>
      </c>
      <c r="C64" s="7">
        <v>3.67716259503471</v>
      </c>
      <c r="D64" s="26" t="s">
        <v>30</v>
      </c>
      <c r="E64">
        <v>2</v>
      </c>
    </row>
    <row r="65" spans="1:5" x14ac:dyDescent="0.3">
      <c r="A65" t="s">
        <v>0</v>
      </c>
      <c r="B65" t="s">
        <v>18</v>
      </c>
      <c r="C65" s="7">
        <v>0.25247189691660499</v>
      </c>
      <c r="D65" s="26" t="s">
        <v>4</v>
      </c>
      <c r="E65">
        <v>3</v>
      </c>
    </row>
    <row r="66" spans="1:5" x14ac:dyDescent="0.3">
      <c r="A66" t="s">
        <v>0</v>
      </c>
      <c r="B66" t="s">
        <v>18</v>
      </c>
      <c r="C66" s="7">
        <v>0.63636297644240403</v>
      </c>
      <c r="D66" s="26" t="s">
        <v>4</v>
      </c>
      <c r="E66">
        <v>3</v>
      </c>
    </row>
    <row r="67" spans="1:5" x14ac:dyDescent="0.3">
      <c r="A67" t="s">
        <v>0</v>
      </c>
      <c r="B67" t="s">
        <v>18</v>
      </c>
      <c r="C67" s="7">
        <v>0.48799999999999999</v>
      </c>
      <c r="D67" s="26" t="s">
        <v>4</v>
      </c>
      <c r="E67">
        <v>3</v>
      </c>
    </row>
    <row r="68" spans="1:5" x14ac:dyDescent="0.3">
      <c r="A68" t="s">
        <v>0</v>
      </c>
      <c r="B68" t="s">
        <v>18</v>
      </c>
      <c r="C68" s="7">
        <v>3.7368640446993799</v>
      </c>
      <c r="D68" s="26" t="s">
        <v>31</v>
      </c>
      <c r="E68">
        <v>4</v>
      </c>
    </row>
    <row r="69" spans="1:5" x14ac:dyDescent="0.3">
      <c r="A69" t="s">
        <v>0</v>
      </c>
      <c r="B69" t="s">
        <v>18</v>
      </c>
      <c r="C69" s="7">
        <v>1.5626382893552</v>
      </c>
      <c r="D69" s="26" t="s">
        <v>31</v>
      </c>
      <c r="E69">
        <v>4</v>
      </c>
    </row>
    <row r="70" spans="1:5" x14ac:dyDescent="0.3">
      <c r="A70" t="s">
        <v>0</v>
      </c>
      <c r="B70" t="s">
        <v>18</v>
      </c>
      <c r="C70" s="7">
        <v>1.31855764153326</v>
      </c>
      <c r="D70" s="26" t="s">
        <v>31</v>
      </c>
      <c r="E70">
        <v>4</v>
      </c>
    </row>
    <row r="71" spans="1:5" x14ac:dyDescent="0.3">
      <c r="A71" t="s">
        <v>0</v>
      </c>
      <c r="B71" t="s">
        <v>18</v>
      </c>
      <c r="C71" s="7">
        <v>0.88174524369330798</v>
      </c>
      <c r="D71" s="27" t="s">
        <v>32</v>
      </c>
      <c r="E71">
        <v>5</v>
      </c>
    </row>
    <row r="72" spans="1:5" x14ac:dyDescent="0.3">
      <c r="A72" t="s">
        <v>0</v>
      </c>
      <c r="B72" t="s">
        <v>18</v>
      </c>
      <c r="C72" s="7">
        <v>0.58461348648300804</v>
      </c>
      <c r="D72" s="27" t="s">
        <v>32</v>
      </c>
      <c r="E72">
        <v>5</v>
      </c>
    </row>
    <row r="73" spans="1:5" x14ac:dyDescent="0.3">
      <c r="A73" t="s">
        <v>0</v>
      </c>
      <c r="B73" t="s">
        <v>18</v>
      </c>
      <c r="C73" s="7">
        <v>0.13680000434180001</v>
      </c>
      <c r="D73" s="27" t="s">
        <v>32</v>
      </c>
      <c r="E73">
        <v>5</v>
      </c>
    </row>
    <row r="74" spans="1:5" x14ac:dyDescent="0.3">
      <c r="A74" t="s">
        <v>9</v>
      </c>
      <c r="B74" t="s">
        <v>18</v>
      </c>
      <c r="C74">
        <v>1</v>
      </c>
      <c r="D74" s="26" t="s">
        <v>2</v>
      </c>
      <c r="E74">
        <v>0</v>
      </c>
    </row>
    <row r="75" spans="1:5" x14ac:dyDescent="0.3">
      <c r="A75" t="s">
        <v>9</v>
      </c>
      <c r="B75" t="s">
        <v>18</v>
      </c>
      <c r="C75">
        <v>1</v>
      </c>
      <c r="D75" s="26" t="s">
        <v>2</v>
      </c>
      <c r="E75">
        <v>0</v>
      </c>
    </row>
    <row r="76" spans="1:5" x14ac:dyDescent="0.3">
      <c r="A76" t="s">
        <v>9</v>
      </c>
      <c r="B76" t="s">
        <v>18</v>
      </c>
      <c r="C76">
        <v>1</v>
      </c>
      <c r="D76" s="26" t="s">
        <v>2</v>
      </c>
      <c r="E76">
        <v>0</v>
      </c>
    </row>
    <row r="77" spans="1:5" x14ac:dyDescent="0.3">
      <c r="A77" t="s">
        <v>9</v>
      </c>
      <c r="B77" t="s">
        <v>18</v>
      </c>
      <c r="C77" s="7">
        <v>11.8711185517688</v>
      </c>
      <c r="D77" s="26" t="s">
        <v>3</v>
      </c>
      <c r="E77">
        <v>1</v>
      </c>
    </row>
    <row r="78" spans="1:5" x14ac:dyDescent="0.3">
      <c r="A78" t="s">
        <v>9</v>
      </c>
      <c r="B78" t="s">
        <v>18</v>
      </c>
      <c r="C78" s="7">
        <v>8.5563722549626906</v>
      </c>
      <c r="D78" s="26" t="s">
        <v>3</v>
      </c>
      <c r="E78">
        <v>1</v>
      </c>
    </row>
    <row r="79" spans="1:5" x14ac:dyDescent="0.3">
      <c r="A79" t="s">
        <v>9</v>
      </c>
      <c r="B79" t="s">
        <v>18</v>
      </c>
      <c r="C79" s="7">
        <v>2.8232805997802402</v>
      </c>
      <c r="D79" s="26" t="s">
        <v>3</v>
      </c>
      <c r="E79">
        <v>1</v>
      </c>
    </row>
    <row r="80" spans="1:5" x14ac:dyDescent="0.3">
      <c r="A80" t="s">
        <v>9</v>
      </c>
      <c r="B80" t="s">
        <v>18</v>
      </c>
      <c r="C80" s="7">
        <v>1.89433693666117</v>
      </c>
      <c r="D80" s="26" t="s">
        <v>30</v>
      </c>
      <c r="E80">
        <v>2</v>
      </c>
    </row>
    <row r="81" spans="1:5" x14ac:dyDescent="0.3">
      <c r="A81" t="s">
        <v>9</v>
      </c>
      <c r="B81" t="s">
        <v>18</v>
      </c>
      <c r="C81" s="7">
        <v>1.6622762839157099</v>
      </c>
      <c r="D81" s="26" t="s">
        <v>30</v>
      </c>
      <c r="E81">
        <v>2</v>
      </c>
    </row>
    <row r="82" spans="1:5" x14ac:dyDescent="0.3">
      <c r="A82" t="s">
        <v>9</v>
      </c>
      <c r="B82" t="s">
        <v>18</v>
      </c>
      <c r="C82" s="7">
        <v>0.63308563741030599</v>
      </c>
      <c r="D82" s="26" t="s">
        <v>30</v>
      </c>
      <c r="E82">
        <v>2</v>
      </c>
    </row>
    <row r="83" spans="1:5" x14ac:dyDescent="0.3">
      <c r="A83" t="s">
        <v>9</v>
      </c>
      <c r="B83" t="s">
        <v>18</v>
      </c>
      <c r="C83" s="7">
        <v>5.2125784201494199</v>
      </c>
      <c r="D83" s="26" t="s">
        <v>4</v>
      </c>
      <c r="E83">
        <v>3</v>
      </c>
    </row>
    <row r="84" spans="1:5" x14ac:dyDescent="0.3">
      <c r="A84" t="s">
        <v>9</v>
      </c>
      <c r="B84" t="s">
        <v>18</v>
      </c>
      <c r="C84" s="7">
        <v>4.1078489562069498</v>
      </c>
      <c r="D84" s="26" t="s">
        <v>4</v>
      </c>
      <c r="E84">
        <v>3</v>
      </c>
    </row>
    <row r="85" spans="1:5" x14ac:dyDescent="0.3">
      <c r="A85" t="s">
        <v>9</v>
      </c>
      <c r="B85" t="s">
        <v>18</v>
      </c>
      <c r="C85" s="7">
        <v>3.2071008061142501</v>
      </c>
      <c r="D85" s="26" t="s">
        <v>4</v>
      </c>
      <c r="E85">
        <v>3</v>
      </c>
    </row>
    <row r="86" spans="1:5" x14ac:dyDescent="0.3">
      <c r="A86" t="s">
        <v>9</v>
      </c>
      <c r="B86" t="s">
        <v>18</v>
      </c>
      <c r="C86" s="7">
        <v>0.60448323032671303</v>
      </c>
      <c r="D86" s="26" t="s">
        <v>31</v>
      </c>
      <c r="E86">
        <v>4</v>
      </c>
    </row>
    <row r="87" spans="1:5" x14ac:dyDescent="0.3">
      <c r="A87" t="s">
        <v>9</v>
      </c>
      <c r="B87" t="s">
        <v>18</v>
      </c>
      <c r="C87" s="7">
        <v>1.7371029585427</v>
      </c>
      <c r="D87" s="26" t="s">
        <v>31</v>
      </c>
      <c r="E87">
        <v>4</v>
      </c>
    </row>
    <row r="88" spans="1:5" x14ac:dyDescent="0.3">
      <c r="A88" t="s">
        <v>9</v>
      </c>
      <c r="B88" t="s">
        <v>18</v>
      </c>
      <c r="C88" s="7">
        <v>0.263390180302709</v>
      </c>
      <c r="D88" s="26" t="s">
        <v>31</v>
      </c>
      <c r="E88">
        <v>4</v>
      </c>
    </row>
    <row r="89" spans="1:5" x14ac:dyDescent="0.3">
      <c r="A89" t="s">
        <v>9</v>
      </c>
      <c r="B89" t="s">
        <v>18</v>
      </c>
      <c r="C89" s="7">
        <v>0.26</v>
      </c>
      <c r="D89" s="27" t="s">
        <v>32</v>
      </c>
      <c r="E89">
        <v>5</v>
      </c>
    </row>
    <row r="90" spans="1:5" x14ac:dyDescent="0.3">
      <c r="A90" t="s">
        <v>9</v>
      </c>
      <c r="B90" t="s">
        <v>18</v>
      </c>
      <c r="C90" s="7">
        <v>0.36099999999999999</v>
      </c>
      <c r="D90" s="27" t="s">
        <v>32</v>
      </c>
      <c r="E90">
        <v>5</v>
      </c>
    </row>
    <row r="91" spans="1:5" x14ac:dyDescent="0.3">
      <c r="A91" t="s">
        <v>9</v>
      </c>
      <c r="B91" t="s">
        <v>18</v>
      </c>
      <c r="C91" s="7">
        <v>0.80500000000000005</v>
      </c>
      <c r="D91" s="27" t="s">
        <v>32</v>
      </c>
      <c r="E91">
        <v>5</v>
      </c>
    </row>
    <row r="92" spans="1:5" x14ac:dyDescent="0.3">
      <c r="A92" t="s">
        <v>29</v>
      </c>
      <c r="B92" t="s">
        <v>18</v>
      </c>
      <c r="C92">
        <v>1</v>
      </c>
      <c r="D92" s="26" t="s">
        <v>2</v>
      </c>
      <c r="E92">
        <v>0</v>
      </c>
    </row>
    <row r="93" spans="1:5" x14ac:dyDescent="0.3">
      <c r="A93" t="s">
        <v>29</v>
      </c>
      <c r="B93" t="s">
        <v>18</v>
      </c>
      <c r="C93">
        <v>1</v>
      </c>
      <c r="D93" s="26" t="s">
        <v>2</v>
      </c>
      <c r="E93">
        <v>0</v>
      </c>
    </row>
    <row r="94" spans="1:5" x14ac:dyDescent="0.3">
      <c r="A94" t="s">
        <v>29</v>
      </c>
      <c r="B94" t="s">
        <v>18</v>
      </c>
      <c r="C94">
        <v>1</v>
      </c>
      <c r="D94" s="26" t="s">
        <v>2</v>
      </c>
      <c r="E94">
        <v>0</v>
      </c>
    </row>
    <row r="95" spans="1:5" x14ac:dyDescent="0.3">
      <c r="A95" t="s">
        <v>29</v>
      </c>
      <c r="B95" t="s">
        <v>18</v>
      </c>
      <c r="C95" s="7">
        <v>0.437024433046385</v>
      </c>
      <c r="D95" s="26" t="s">
        <v>3</v>
      </c>
      <c r="E95">
        <v>1</v>
      </c>
    </row>
    <row r="96" spans="1:5" x14ac:dyDescent="0.3">
      <c r="A96" t="s">
        <v>29</v>
      </c>
      <c r="B96" t="s">
        <v>18</v>
      </c>
      <c r="C96" s="7">
        <v>0.493007931397132</v>
      </c>
      <c r="D96" s="26" t="s">
        <v>3</v>
      </c>
      <c r="E96">
        <v>1</v>
      </c>
    </row>
    <row r="97" spans="1:5" x14ac:dyDescent="0.3">
      <c r="A97" t="s">
        <v>29</v>
      </c>
      <c r="B97" t="s">
        <v>18</v>
      </c>
      <c r="C97" s="7">
        <v>0.61981076310218597</v>
      </c>
      <c r="D97" s="26" t="s">
        <v>3</v>
      </c>
      <c r="E97">
        <v>1</v>
      </c>
    </row>
    <row r="98" spans="1:5" x14ac:dyDescent="0.3">
      <c r="A98" t="s">
        <v>29</v>
      </c>
      <c r="B98" t="s">
        <v>18</v>
      </c>
      <c r="C98" s="7">
        <v>0.96137072187152495</v>
      </c>
      <c r="D98" s="26" t="s">
        <v>30</v>
      </c>
      <c r="E98">
        <v>2</v>
      </c>
    </row>
    <row r="99" spans="1:5" x14ac:dyDescent="0.3">
      <c r="A99" t="s">
        <v>29</v>
      </c>
      <c r="B99" t="s">
        <v>18</v>
      </c>
      <c r="C99" s="7">
        <v>0.78716985606856404</v>
      </c>
      <c r="D99" s="26" t="s">
        <v>30</v>
      </c>
      <c r="E99">
        <v>2</v>
      </c>
    </row>
    <row r="100" spans="1:5" x14ac:dyDescent="0.3">
      <c r="A100" t="s">
        <v>29</v>
      </c>
      <c r="B100" t="s">
        <v>18</v>
      </c>
      <c r="C100" s="7">
        <v>0.96725015275819404</v>
      </c>
      <c r="D100" s="26" t="s">
        <v>30</v>
      </c>
      <c r="E100">
        <v>2</v>
      </c>
    </row>
    <row r="101" spans="1:5" x14ac:dyDescent="0.3">
      <c r="A101" t="s">
        <v>29</v>
      </c>
      <c r="B101" t="s">
        <v>18</v>
      </c>
      <c r="C101" s="7">
        <v>0.58475260816376995</v>
      </c>
      <c r="D101" s="26" t="s">
        <v>4</v>
      </c>
      <c r="E101">
        <v>3</v>
      </c>
    </row>
    <row r="102" spans="1:5" x14ac:dyDescent="0.3">
      <c r="A102" t="s">
        <v>29</v>
      </c>
      <c r="B102" t="s">
        <v>18</v>
      </c>
      <c r="C102" s="7">
        <v>0.45347922224044701</v>
      </c>
      <c r="D102" s="26" t="s">
        <v>4</v>
      </c>
      <c r="E102">
        <v>3</v>
      </c>
    </row>
    <row r="103" spans="1:5" x14ac:dyDescent="0.3">
      <c r="A103" t="s">
        <v>29</v>
      </c>
      <c r="B103" t="s">
        <v>18</v>
      </c>
      <c r="C103" s="7">
        <v>0.42855900109976702</v>
      </c>
      <c r="D103" s="26" t="s">
        <v>4</v>
      </c>
      <c r="E103">
        <v>3</v>
      </c>
    </row>
    <row r="104" spans="1:5" x14ac:dyDescent="0.3">
      <c r="A104" t="s">
        <v>29</v>
      </c>
      <c r="B104" t="s">
        <v>18</v>
      </c>
      <c r="C104" s="7">
        <v>1.2181302630245401</v>
      </c>
      <c r="D104" s="26" t="s">
        <v>31</v>
      </c>
      <c r="E104">
        <v>4</v>
      </c>
    </row>
    <row r="105" spans="1:5" x14ac:dyDescent="0.3">
      <c r="A105" t="s">
        <v>29</v>
      </c>
      <c r="B105" t="s">
        <v>18</v>
      </c>
      <c r="C105" s="7">
        <v>0.82711760102141296</v>
      </c>
      <c r="D105" s="26" t="s">
        <v>31</v>
      </c>
      <c r="E105">
        <v>4</v>
      </c>
    </row>
    <row r="106" spans="1:5" x14ac:dyDescent="0.3">
      <c r="A106" t="s">
        <v>29</v>
      </c>
      <c r="B106" t="s">
        <v>18</v>
      </c>
      <c r="C106" s="7">
        <v>0.71269292235395199</v>
      </c>
      <c r="D106" s="26" t="s">
        <v>31</v>
      </c>
      <c r="E106">
        <v>4</v>
      </c>
    </row>
    <row r="107" spans="1:5" x14ac:dyDescent="0.3">
      <c r="A107" t="s">
        <v>29</v>
      </c>
      <c r="B107" t="s">
        <v>18</v>
      </c>
      <c r="C107" s="7">
        <v>1.60744640600966</v>
      </c>
      <c r="D107" s="27" t="s">
        <v>32</v>
      </c>
      <c r="E107">
        <v>5</v>
      </c>
    </row>
    <row r="108" spans="1:5" x14ac:dyDescent="0.3">
      <c r="A108" t="s">
        <v>29</v>
      </c>
      <c r="B108" t="s">
        <v>18</v>
      </c>
      <c r="C108" s="7">
        <v>0.59101941371316902</v>
      </c>
      <c r="D108" s="27" t="s">
        <v>32</v>
      </c>
      <c r="E108">
        <v>5</v>
      </c>
    </row>
    <row r="109" spans="1:5" x14ac:dyDescent="0.3">
      <c r="A109" t="s">
        <v>29</v>
      </c>
      <c r="B109" t="s">
        <v>18</v>
      </c>
      <c r="C109" s="7">
        <v>0.69385110345367995</v>
      </c>
      <c r="D109" s="27" t="s">
        <v>32</v>
      </c>
      <c r="E109">
        <v>5</v>
      </c>
    </row>
    <row r="110" spans="1:5" x14ac:dyDescent="0.3">
      <c r="A110" t="s">
        <v>0</v>
      </c>
      <c r="B110" t="s">
        <v>19</v>
      </c>
      <c r="C110">
        <v>1</v>
      </c>
      <c r="D110" s="26" t="s">
        <v>2</v>
      </c>
      <c r="E110">
        <v>0</v>
      </c>
    </row>
    <row r="111" spans="1:5" x14ac:dyDescent="0.3">
      <c r="A111" t="s">
        <v>0</v>
      </c>
      <c r="B111" t="s">
        <v>19</v>
      </c>
      <c r="C111">
        <v>1</v>
      </c>
      <c r="D111" s="26" t="s">
        <v>2</v>
      </c>
      <c r="E111">
        <v>0</v>
      </c>
    </row>
    <row r="112" spans="1:5" x14ac:dyDescent="0.3">
      <c r="A112" t="s">
        <v>0</v>
      </c>
      <c r="B112" t="s">
        <v>19</v>
      </c>
      <c r="C112">
        <v>1</v>
      </c>
      <c r="D112" s="26" t="s">
        <v>2</v>
      </c>
      <c r="E112">
        <v>0</v>
      </c>
    </row>
    <row r="113" spans="1:5" x14ac:dyDescent="0.3">
      <c r="A113" t="s">
        <v>0</v>
      </c>
      <c r="B113" t="s">
        <v>19</v>
      </c>
      <c r="C113" s="7">
        <v>1.7066107159357999</v>
      </c>
      <c r="D113" s="26" t="s">
        <v>3</v>
      </c>
      <c r="E113">
        <v>1</v>
      </c>
    </row>
    <row r="114" spans="1:5" x14ac:dyDescent="0.3">
      <c r="A114" t="s">
        <v>0</v>
      </c>
      <c r="B114" t="s">
        <v>19</v>
      </c>
      <c r="C114" s="7">
        <v>1.61461070469003</v>
      </c>
      <c r="D114" s="26" t="s">
        <v>3</v>
      </c>
      <c r="E114">
        <v>1</v>
      </c>
    </row>
    <row r="115" spans="1:5" x14ac:dyDescent="0.3">
      <c r="A115" t="s">
        <v>0</v>
      </c>
      <c r="B115" t="s">
        <v>19</v>
      </c>
      <c r="C115" s="7">
        <v>2.0619999999999998</v>
      </c>
      <c r="D115" s="26" t="s">
        <v>3</v>
      </c>
      <c r="E115">
        <v>1</v>
      </c>
    </row>
    <row r="116" spans="1:5" x14ac:dyDescent="0.3">
      <c r="A116" t="s">
        <v>0</v>
      </c>
      <c r="B116" t="s">
        <v>19</v>
      </c>
      <c r="C116" s="7">
        <v>1.1184365708103601</v>
      </c>
      <c r="D116" s="26" t="s">
        <v>30</v>
      </c>
      <c r="E116">
        <v>2</v>
      </c>
    </row>
    <row r="117" spans="1:5" x14ac:dyDescent="0.3">
      <c r="A117" t="s">
        <v>0</v>
      </c>
      <c r="B117" t="s">
        <v>19</v>
      </c>
      <c r="C117" s="7">
        <v>0.90373767980874897</v>
      </c>
      <c r="D117" s="26" t="s">
        <v>30</v>
      </c>
      <c r="E117">
        <v>2</v>
      </c>
    </row>
    <row r="118" spans="1:5" x14ac:dyDescent="0.3">
      <c r="A118" t="s">
        <v>0</v>
      </c>
      <c r="B118" t="s">
        <v>19</v>
      </c>
      <c r="C118" s="7">
        <v>0.93819232646345396</v>
      </c>
      <c r="D118" s="26" t="s">
        <v>30</v>
      </c>
      <c r="E118">
        <v>2</v>
      </c>
    </row>
    <row r="119" spans="1:5" x14ac:dyDescent="0.3">
      <c r="A119" t="s">
        <v>0</v>
      </c>
      <c r="B119" t="s">
        <v>19</v>
      </c>
      <c r="C119" s="7">
        <v>1.0957797017073601</v>
      </c>
      <c r="D119" s="26" t="s">
        <v>4</v>
      </c>
      <c r="E119">
        <v>3</v>
      </c>
    </row>
    <row r="120" spans="1:5" x14ac:dyDescent="0.3">
      <c r="A120" t="s">
        <v>0</v>
      </c>
      <c r="B120" t="s">
        <v>19</v>
      </c>
      <c r="C120" s="7">
        <v>2.1113413211360101</v>
      </c>
      <c r="D120" s="26" t="s">
        <v>4</v>
      </c>
      <c r="E120">
        <v>3</v>
      </c>
    </row>
    <row r="121" spans="1:5" x14ac:dyDescent="0.3">
      <c r="A121" t="s">
        <v>0</v>
      </c>
      <c r="B121" t="s">
        <v>19</v>
      </c>
      <c r="C121" s="7">
        <v>1.085</v>
      </c>
      <c r="D121" s="26" t="s">
        <v>4</v>
      </c>
      <c r="E121">
        <v>3</v>
      </c>
    </row>
    <row r="122" spans="1:5" x14ac:dyDescent="0.3">
      <c r="A122" t="s">
        <v>0</v>
      </c>
      <c r="B122" t="s">
        <v>19</v>
      </c>
      <c r="C122" s="7">
        <v>1.5380042886521701</v>
      </c>
      <c r="D122" s="26" t="s">
        <v>31</v>
      </c>
      <c r="E122">
        <v>4</v>
      </c>
    </row>
    <row r="123" spans="1:5" x14ac:dyDescent="0.3">
      <c r="A123" t="s">
        <v>0</v>
      </c>
      <c r="B123" t="s">
        <v>19</v>
      </c>
      <c r="C123" s="7">
        <v>0.96150241755562804</v>
      </c>
      <c r="D123" s="26" t="s">
        <v>31</v>
      </c>
      <c r="E123">
        <v>4</v>
      </c>
    </row>
    <row r="124" spans="1:5" x14ac:dyDescent="0.3">
      <c r="A124" t="s">
        <v>0</v>
      </c>
      <c r="B124" t="s">
        <v>19</v>
      </c>
      <c r="C124" s="7">
        <v>0.91920889706679698</v>
      </c>
      <c r="D124" s="26" t="s">
        <v>31</v>
      </c>
      <c r="E124">
        <v>4</v>
      </c>
    </row>
    <row r="125" spans="1:5" x14ac:dyDescent="0.3">
      <c r="A125" t="s">
        <v>0</v>
      </c>
      <c r="B125" t="s">
        <v>19</v>
      </c>
      <c r="C125" s="7">
        <v>0.87104442192245302</v>
      </c>
      <c r="D125" s="27" t="s">
        <v>32</v>
      </c>
      <c r="E125">
        <v>5</v>
      </c>
    </row>
    <row r="126" spans="1:5" x14ac:dyDescent="0.3">
      <c r="A126" t="s">
        <v>0</v>
      </c>
      <c r="B126" t="s">
        <v>19</v>
      </c>
      <c r="C126" s="7">
        <v>0.735284655275937</v>
      </c>
      <c r="D126" s="27" t="s">
        <v>32</v>
      </c>
      <c r="E126">
        <v>5</v>
      </c>
    </row>
    <row r="127" spans="1:5" x14ac:dyDescent="0.3">
      <c r="A127" t="s">
        <v>0</v>
      </c>
      <c r="B127" t="s">
        <v>19</v>
      </c>
      <c r="C127" s="7">
        <v>0.96164413948815397</v>
      </c>
      <c r="D127" s="27" t="s">
        <v>32</v>
      </c>
      <c r="E127">
        <v>5</v>
      </c>
    </row>
    <row r="128" spans="1:5" x14ac:dyDescent="0.3">
      <c r="A128" t="s">
        <v>9</v>
      </c>
      <c r="B128" t="s">
        <v>19</v>
      </c>
      <c r="C128">
        <v>1</v>
      </c>
      <c r="D128" s="26" t="s">
        <v>2</v>
      </c>
      <c r="E128">
        <v>0</v>
      </c>
    </row>
    <row r="129" spans="1:5" x14ac:dyDescent="0.3">
      <c r="A129" t="s">
        <v>9</v>
      </c>
      <c r="B129" t="s">
        <v>19</v>
      </c>
      <c r="C129">
        <v>1</v>
      </c>
      <c r="D129" s="26" t="s">
        <v>2</v>
      </c>
      <c r="E129">
        <v>0</v>
      </c>
    </row>
    <row r="130" spans="1:5" x14ac:dyDescent="0.3">
      <c r="A130" t="s">
        <v>9</v>
      </c>
      <c r="B130" t="s">
        <v>19</v>
      </c>
      <c r="C130">
        <v>1</v>
      </c>
      <c r="D130" s="26" t="s">
        <v>2</v>
      </c>
      <c r="E130">
        <v>0</v>
      </c>
    </row>
    <row r="131" spans="1:5" x14ac:dyDescent="0.3">
      <c r="A131" t="s">
        <v>9</v>
      </c>
      <c r="B131" t="s">
        <v>19</v>
      </c>
      <c r="C131" s="7">
        <v>2.7566812265160299</v>
      </c>
      <c r="D131" s="26" t="s">
        <v>3</v>
      </c>
      <c r="E131">
        <v>1</v>
      </c>
    </row>
    <row r="132" spans="1:5" x14ac:dyDescent="0.3">
      <c r="A132" t="s">
        <v>9</v>
      </c>
      <c r="B132" t="s">
        <v>19</v>
      </c>
      <c r="C132" s="7">
        <v>3.7654350607751499</v>
      </c>
      <c r="D132" s="26" t="s">
        <v>3</v>
      </c>
      <c r="E132">
        <v>1</v>
      </c>
    </row>
    <row r="133" spans="1:5" x14ac:dyDescent="0.3">
      <c r="A133" t="s">
        <v>9</v>
      </c>
      <c r="B133" t="s">
        <v>19</v>
      </c>
      <c r="C133" s="7">
        <v>0.94027212541942795</v>
      </c>
      <c r="D133" s="26" t="s">
        <v>3</v>
      </c>
      <c r="E133">
        <v>1</v>
      </c>
    </row>
    <row r="134" spans="1:5" x14ac:dyDescent="0.3">
      <c r="A134" t="s">
        <v>9</v>
      </c>
      <c r="B134" t="s">
        <v>19</v>
      </c>
      <c r="C134" s="7">
        <v>3.8791265720610002</v>
      </c>
      <c r="D134" s="26" t="s">
        <v>30</v>
      </c>
      <c r="E134">
        <v>2</v>
      </c>
    </row>
    <row r="135" spans="1:5" x14ac:dyDescent="0.3">
      <c r="A135" t="s">
        <v>9</v>
      </c>
      <c r="B135" t="s">
        <v>19</v>
      </c>
      <c r="C135" s="7">
        <v>2.1065032260549601</v>
      </c>
      <c r="D135" s="26" t="s">
        <v>30</v>
      </c>
      <c r="E135">
        <v>2</v>
      </c>
    </row>
    <row r="136" spans="1:5" x14ac:dyDescent="0.3">
      <c r="A136" t="s">
        <v>9</v>
      </c>
      <c r="B136" t="s">
        <v>19</v>
      </c>
      <c r="C136" s="7">
        <v>0.98107043519741799</v>
      </c>
      <c r="D136" s="26" t="s">
        <v>30</v>
      </c>
      <c r="E136">
        <v>2</v>
      </c>
    </row>
    <row r="137" spans="1:5" x14ac:dyDescent="0.3">
      <c r="A137" t="s">
        <v>9</v>
      </c>
      <c r="B137" t="s">
        <v>19</v>
      </c>
      <c r="C137" s="7">
        <v>2.4395774090752602</v>
      </c>
      <c r="D137" s="26" t="s">
        <v>4</v>
      </c>
      <c r="E137">
        <v>3</v>
      </c>
    </row>
    <row r="138" spans="1:5" x14ac:dyDescent="0.3">
      <c r="A138" t="s">
        <v>9</v>
      </c>
      <c r="B138" t="s">
        <v>19</v>
      </c>
      <c r="C138" s="7">
        <v>5.6372299999999997</v>
      </c>
      <c r="D138" s="26" t="s">
        <v>4</v>
      </c>
      <c r="E138">
        <v>3</v>
      </c>
    </row>
    <row r="139" spans="1:5" x14ac:dyDescent="0.3">
      <c r="A139" t="s">
        <v>9</v>
      </c>
      <c r="B139" t="s">
        <v>19</v>
      </c>
      <c r="C139" s="7">
        <v>2.2341146178403699</v>
      </c>
      <c r="D139" s="26" t="s">
        <v>4</v>
      </c>
      <c r="E139">
        <v>3</v>
      </c>
    </row>
    <row r="140" spans="1:5" x14ac:dyDescent="0.3">
      <c r="A140" t="s">
        <v>9</v>
      </c>
      <c r="B140" t="s">
        <v>19</v>
      </c>
      <c r="C140" s="7">
        <v>1.1345863720745399</v>
      </c>
      <c r="D140" s="26" t="s">
        <v>31</v>
      </c>
      <c r="E140">
        <v>4</v>
      </c>
    </row>
    <row r="141" spans="1:5" x14ac:dyDescent="0.3">
      <c r="A141" t="s">
        <v>9</v>
      </c>
      <c r="B141" t="s">
        <v>19</v>
      </c>
      <c r="C141" s="7">
        <v>3.5497982703494402</v>
      </c>
      <c r="D141" s="26" t="s">
        <v>31</v>
      </c>
      <c r="E141">
        <v>4</v>
      </c>
    </row>
    <row r="142" spans="1:5" x14ac:dyDescent="0.3">
      <c r="A142" t="s">
        <v>9</v>
      </c>
      <c r="B142" t="s">
        <v>19</v>
      </c>
      <c r="C142" s="7">
        <v>1.3981217791021401</v>
      </c>
      <c r="D142" s="26" t="s">
        <v>31</v>
      </c>
      <c r="E142">
        <v>4</v>
      </c>
    </row>
    <row r="143" spans="1:5" x14ac:dyDescent="0.3">
      <c r="A143" t="s">
        <v>9</v>
      </c>
      <c r="B143" t="s">
        <v>19</v>
      </c>
      <c r="C143" s="7">
        <v>0.25900000000000001</v>
      </c>
      <c r="D143" s="27" t="s">
        <v>32</v>
      </c>
      <c r="E143">
        <v>5</v>
      </c>
    </row>
    <row r="144" spans="1:5" x14ac:dyDescent="0.3">
      <c r="A144" t="s">
        <v>9</v>
      </c>
      <c r="B144" t="s">
        <v>19</v>
      </c>
      <c r="C144" s="7">
        <v>0.68400000000000005</v>
      </c>
      <c r="D144" s="27" t="s">
        <v>32</v>
      </c>
      <c r="E144">
        <v>5</v>
      </c>
    </row>
    <row r="145" spans="1:5" x14ac:dyDescent="0.3">
      <c r="A145" t="s">
        <v>9</v>
      </c>
      <c r="B145" t="s">
        <v>19</v>
      </c>
      <c r="C145" s="7">
        <v>0.66100000000000003</v>
      </c>
      <c r="D145" s="27" t="s">
        <v>32</v>
      </c>
      <c r="E145">
        <v>5</v>
      </c>
    </row>
    <row r="146" spans="1:5" x14ac:dyDescent="0.3">
      <c r="A146" t="s">
        <v>29</v>
      </c>
      <c r="B146" t="s">
        <v>19</v>
      </c>
      <c r="C146" s="28">
        <v>1</v>
      </c>
      <c r="D146" s="26" t="s">
        <v>2</v>
      </c>
      <c r="E146">
        <v>0</v>
      </c>
    </row>
    <row r="147" spans="1:5" x14ac:dyDescent="0.3">
      <c r="A147" t="s">
        <v>29</v>
      </c>
      <c r="B147" t="s">
        <v>19</v>
      </c>
      <c r="C147" s="28">
        <v>1</v>
      </c>
      <c r="D147" s="26" t="s">
        <v>2</v>
      </c>
      <c r="E147">
        <v>0</v>
      </c>
    </row>
    <row r="148" spans="1:5" x14ac:dyDescent="0.3">
      <c r="A148" t="s">
        <v>29</v>
      </c>
      <c r="B148" t="s">
        <v>19</v>
      </c>
      <c r="C148" s="28">
        <v>1</v>
      </c>
      <c r="D148" s="26" t="s">
        <v>2</v>
      </c>
      <c r="E148">
        <v>0</v>
      </c>
    </row>
    <row r="149" spans="1:5" x14ac:dyDescent="0.3">
      <c r="A149" t="s">
        <v>29</v>
      </c>
      <c r="B149" t="s">
        <v>19</v>
      </c>
      <c r="C149" s="7">
        <v>3.0721023867325301</v>
      </c>
      <c r="D149" s="26" t="s">
        <v>3</v>
      </c>
      <c r="E149">
        <v>1</v>
      </c>
    </row>
    <row r="150" spans="1:5" x14ac:dyDescent="0.3">
      <c r="A150" t="s">
        <v>29</v>
      </c>
      <c r="B150" t="s">
        <v>19</v>
      </c>
      <c r="C150" s="7">
        <v>2.0830607757831401</v>
      </c>
      <c r="D150" s="26" t="s">
        <v>3</v>
      </c>
      <c r="E150">
        <v>1</v>
      </c>
    </row>
    <row r="151" spans="1:5" x14ac:dyDescent="0.3">
      <c r="A151" t="s">
        <v>29</v>
      </c>
      <c r="B151" t="s">
        <v>19</v>
      </c>
      <c r="C151" s="7">
        <v>1.98674458624154</v>
      </c>
      <c r="D151" s="26" t="s">
        <v>3</v>
      </c>
      <c r="E151">
        <v>1</v>
      </c>
    </row>
    <row r="152" spans="1:5" x14ac:dyDescent="0.3">
      <c r="A152" t="s">
        <v>29</v>
      </c>
      <c r="B152" t="s">
        <v>19</v>
      </c>
      <c r="C152" s="7">
        <v>1.2340529897936201</v>
      </c>
      <c r="D152" s="26" t="s">
        <v>30</v>
      </c>
      <c r="E152">
        <v>2</v>
      </c>
    </row>
    <row r="153" spans="1:5" x14ac:dyDescent="0.3">
      <c r="A153" t="s">
        <v>29</v>
      </c>
      <c r="B153" t="s">
        <v>19</v>
      </c>
      <c r="C153" s="7">
        <v>1.3279670014595999</v>
      </c>
      <c r="D153" s="26" t="s">
        <v>30</v>
      </c>
      <c r="E153">
        <v>2</v>
      </c>
    </row>
    <row r="154" spans="1:5" x14ac:dyDescent="0.3">
      <c r="A154" t="s">
        <v>29</v>
      </c>
      <c r="B154" t="s">
        <v>19</v>
      </c>
      <c r="C154" s="7">
        <v>0.995635041244885</v>
      </c>
      <c r="D154" s="26" t="s">
        <v>30</v>
      </c>
      <c r="E154">
        <v>2</v>
      </c>
    </row>
    <row r="155" spans="1:5" x14ac:dyDescent="0.3">
      <c r="A155" t="s">
        <v>29</v>
      </c>
      <c r="B155" t="s">
        <v>19</v>
      </c>
      <c r="C155" s="7">
        <v>1.30218709167751</v>
      </c>
      <c r="D155" s="26" t="s">
        <v>4</v>
      </c>
      <c r="E155">
        <v>3</v>
      </c>
    </row>
    <row r="156" spans="1:5" x14ac:dyDescent="0.3">
      <c r="A156" t="s">
        <v>29</v>
      </c>
      <c r="B156" t="s">
        <v>19</v>
      </c>
      <c r="C156" s="7">
        <v>1.1377390673813399</v>
      </c>
      <c r="D156" s="26" t="s">
        <v>4</v>
      </c>
      <c r="E156">
        <v>3</v>
      </c>
    </row>
    <row r="157" spans="1:5" x14ac:dyDescent="0.3">
      <c r="A157" t="s">
        <v>29</v>
      </c>
      <c r="B157" t="s">
        <v>19</v>
      </c>
      <c r="C157" s="7">
        <v>0.89243518710536796</v>
      </c>
      <c r="D157" s="26" t="s">
        <v>4</v>
      </c>
      <c r="E157">
        <v>3</v>
      </c>
    </row>
    <row r="158" spans="1:5" x14ac:dyDescent="0.3">
      <c r="A158" t="s">
        <v>29</v>
      </c>
      <c r="B158" t="s">
        <v>19</v>
      </c>
      <c r="C158" s="7">
        <v>0.86587145668572296</v>
      </c>
      <c r="D158" s="26" t="s">
        <v>31</v>
      </c>
      <c r="E158">
        <v>4</v>
      </c>
    </row>
    <row r="159" spans="1:5" x14ac:dyDescent="0.3">
      <c r="A159" t="s">
        <v>29</v>
      </c>
      <c r="B159" t="s">
        <v>19</v>
      </c>
      <c r="C159" s="7">
        <v>0.97115757719285301</v>
      </c>
      <c r="D159" s="26" t="s">
        <v>31</v>
      </c>
      <c r="E159">
        <v>4</v>
      </c>
    </row>
    <row r="160" spans="1:5" x14ac:dyDescent="0.3">
      <c r="A160" t="s">
        <v>29</v>
      </c>
      <c r="B160" t="s">
        <v>19</v>
      </c>
      <c r="C160" s="7">
        <v>0.77733538419381698</v>
      </c>
      <c r="D160" s="26" t="s">
        <v>31</v>
      </c>
      <c r="E160">
        <v>4</v>
      </c>
    </row>
    <row r="161" spans="1:5" x14ac:dyDescent="0.3">
      <c r="A161" t="s">
        <v>29</v>
      </c>
      <c r="B161" t="s">
        <v>19</v>
      </c>
      <c r="C161" s="7">
        <v>1.07189639646572</v>
      </c>
      <c r="D161" s="27" t="s">
        <v>32</v>
      </c>
      <c r="E161">
        <v>5</v>
      </c>
    </row>
    <row r="162" spans="1:5" x14ac:dyDescent="0.3">
      <c r="A162" t="s">
        <v>29</v>
      </c>
      <c r="B162" t="s">
        <v>19</v>
      </c>
      <c r="C162" s="7">
        <v>0.54610015936337297</v>
      </c>
      <c r="D162" s="27" t="s">
        <v>32</v>
      </c>
      <c r="E162">
        <v>5</v>
      </c>
    </row>
    <row r="163" spans="1:5" x14ac:dyDescent="0.3">
      <c r="A163" t="s">
        <v>29</v>
      </c>
      <c r="B163" t="s">
        <v>19</v>
      </c>
      <c r="C163" s="7">
        <v>0.85035855774882596</v>
      </c>
      <c r="D163" s="27" t="s">
        <v>32</v>
      </c>
      <c r="E163">
        <v>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230-80E0-4BFE-8C6A-1B87D71A173F}">
  <dimension ref="B2:L26"/>
  <sheetViews>
    <sheetView workbookViewId="0">
      <selection activeCell="L40" sqref="L40"/>
    </sheetView>
  </sheetViews>
  <sheetFormatPr defaultRowHeight="14.4" x14ac:dyDescent="0.3"/>
  <cols>
    <col min="10" max="11" width="9.21875" customWidth="1"/>
    <col min="12" max="12" width="9.5546875" bestFit="1" customWidth="1"/>
  </cols>
  <sheetData>
    <row r="2" spans="2:12" x14ac:dyDescent="0.3">
      <c r="B2" s="1"/>
      <c r="C2" s="31" t="s">
        <v>0</v>
      </c>
      <c r="D2" s="31"/>
      <c r="E2" s="31"/>
      <c r="F2" s="31"/>
      <c r="H2" s="1"/>
      <c r="I2" s="31" t="s">
        <v>1</v>
      </c>
      <c r="J2" s="31"/>
      <c r="K2" s="31"/>
      <c r="L2" s="31"/>
    </row>
    <row r="3" spans="2:12" ht="15" x14ac:dyDescent="0.3">
      <c r="B3" s="2"/>
      <c r="C3" s="1" t="s">
        <v>2</v>
      </c>
      <c r="D3" s="3" t="s">
        <v>3</v>
      </c>
      <c r="E3" s="3" t="s">
        <v>4</v>
      </c>
      <c r="F3" s="3" t="s">
        <v>5</v>
      </c>
      <c r="H3" s="2"/>
      <c r="I3" s="1" t="s">
        <v>2</v>
      </c>
      <c r="J3" s="3" t="s">
        <v>3</v>
      </c>
      <c r="K3" s="3" t="s">
        <v>4</v>
      </c>
      <c r="L3" s="3" t="s">
        <v>5</v>
      </c>
    </row>
    <row r="4" spans="2:12" x14ac:dyDescent="0.3">
      <c r="B4" s="4" t="s">
        <v>16</v>
      </c>
      <c r="C4" s="5">
        <v>1</v>
      </c>
      <c r="D4" s="6">
        <v>48.864362006586802</v>
      </c>
      <c r="E4" s="6">
        <v>3.3244154026341501</v>
      </c>
      <c r="F4" s="6">
        <v>2.5482771356981599</v>
      </c>
      <c r="H4" s="4" t="s">
        <v>16</v>
      </c>
      <c r="I4" s="10">
        <f>LOG(C4,2)</f>
        <v>0</v>
      </c>
      <c r="J4" s="6">
        <f t="shared" ref="J4:L6" si="0">LOG(D4,2)</f>
        <v>5.6107107502317879</v>
      </c>
      <c r="K4" s="6">
        <f t="shared" si="0"/>
        <v>1.7331006654644396</v>
      </c>
      <c r="L4" s="6">
        <f t="shared" si="0"/>
        <v>1.3495221851905377</v>
      </c>
    </row>
    <row r="5" spans="2:12" x14ac:dyDescent="0.3">
      <c r="B5" s="2"/>
      <c r="C5" s="5">
        <v>1</v>
      </c>
      <c r="D5" s="7">
        <v>14.843353960678201</v>
      </c>
      <c r="E5" s="7">
        <v>2.6246176118321101</v>
      </c>
      <c r="F5" s="7">
        <v>1.65657427183926</v>
      </c>
      <c r="H5" s="2"/>
      <c r="I5" s="10">
        <f t="shared" ref="I5:I6" si="1">LOG(C5,2)</f>
        <v>0</v>
      </c>
      <c r="J5" s="6">
        <f t="shared" si="0"/>
        <v>3.8917452108166026</v>
      </c>
      <c r="K5" s="6">
        <f t="shared" si="0"/>
        <v>1.3921072476554364</v>
      </c>
      <c r="L5" s="6">
        <f t="shared" si="0"/>
        <v>0.72820288751919449</v>
      </c>
    </row>
    <row r="6" spans="2:12" x14ac:dyDescent="0.3">
      <c r="B6" s="2"/>
      <c r="C6" s="5">
        <v>1</v>
      </c>
      <c r="D6" s="7">
        <v>70.7341918064634</v>
      </c>
      <c r="E6" s="7">
        <v>3.4840629764618898</v>
      </c>
      <c r="F6" s="7">
        <v>0.994818515081486</v>
      </c>
      <c r="H6" s="2"/>
      <c r="I6" s="10">
        <f t="shared" si="1"/>
        <v>0</v>
      </c>
      <c r="J6" s="6">
        <f t="shared" si="0"/>
        <v>6.1443358548361022</v>
      </c>
      <c r="K6" s="6">
        <f t="shared" si="0"/>
        <v>1.8007707017232646</v>
      </c>
      <c r="L6" s="6">
        <f t="shared" si="0"/>
        <v>-7.4947363397119774E-3</v>
      </c>
    </row>
    <row r="7" spans="2:12" x14ac:dyDescent="0.3">
      <c r="B7" s="15" t="s">
        <v>7</v>
      </c>
      <c r="C7" s="5">
        <f>AVERAGE(C4:C6)</f>
        <v>1</v>
      </c>
      <c r="D7" s="6">
        <f t="shared" ref="D7:F7" si="2">AVERAGE(D4:D6)</f>
        <v>44.81396925790947</v>
      </c>
      <c r="E7" s="6">
        <f t="shared" si="2"/>
        <v>3.1443653303093835</v>
      </c>
      <c r="F7" s="6">
        <f t="shared" si="2"/>
        <v>1.7332233075396355</v>
      </c>
      <c r="H7" s="15" t="s">
        <v>7</v>
      </c>
      <c r="I7" s="5">
        <f>AVERAGE(I4:I6)</f>
        <v>0</v>
      </c>
      <c r="J7" s="6">
        <f t="shared" ref="J7:L7" si="3">AVERAGE(J4:J6)</f>
        <v>5.2155972719614976</v>
      </c>
      <c r="K7" s="6">
        <f t="shared" si="3"/>
        <v>1.6419928716143801</v>
      </c>
      <c r="L7" s="6">
        <f t="shared" si="3"/>
        <v>0.69007677879000673</v>
      </c>
    </row>
    <row r="8" spans="2:12" x14ac:dyDescent="0.3">
      <c r="B8" s="15" t="s">
        <v>8</v>
      </c>
      <c r="C8">
        <f>_xlfn.STDEV.P(C4:C6)</f>
        <v>0</v>
      </c>
      <c r="D8" s="7">
        <f t="shared" ref="D8:F8" si="4">_xlfn.STDEV.P(D4:D6)</f>
        <v>22.996386670371592</v>
      </c>
      <c r="E8" s="7">
        <f t="shared" si="4"/>
        <v>0.37325157298531608</v>
      </c>
      <c r="F8" s="7">
        <f t="shared" si="4"/>
        <v>0.6365085637011817</v>
      </c>
      <c r="H8" s="15" t="s">
        <v>8</v>
      </c>
      <c r="I8">
        <f>_xlfn.STDEV.P(I4:I6)</f>
        <v>0</v>
      </c>
      <c r="J8" s="7">
        <f t="shared" ref="J8:L8" si="5">_xlfn.STDEV.P(J4:J6)</f>
        <v>0.96111988427187989</v>
      </c>
      <c r="K8" s="7">
        <f t="shared" si="5"/>
        <v>0.17884243949695078</v>
      </c>
      <c r="L8" s="7">
        <f t="shared" si="5"/>
        <v>0.55465540741075225</v>
      </c>
    </row>
    <row r="11" spans="2:12" x14ac:dyDescent="0.3">
      <c r="B11" s="1"/>
      <c r="C11" s="32" t="s">
        <v>9</v>
      </c>
      <c r="D11" s="32"/>
      <c r="E11" s="32"/>
      <c r="F11" s="32"/>
      <c r="H11" s="1"/>
      <c r="I11" s="32" t="s">
        <v>10</v>
      </c>
      <c r="J11" s="32"/>
      <c r="K11" s="32"/>
      <c r="L11" s="32"/>
    </row>
    <row r="12" spans="2:12" ht="15" x14ac:dyDescent="0.3">
      <c r="B12" s="2"/>
      <c r="C12" s="1" t="s">
        <v>2</v>
      </c>
      <c r="D12" s="1" t="s">
        <v>3</v>
      </c>
      <c r="E12" s="1" t="s">
        <v>4</v>
      </c>
      <c r="F12" s="3" t="s">
        <v>5</v>
      </c>
      <c r="H12" s="2"/>
      <c r="I12" s="1" t="s">
        <v>2</v>
      </c>
      <c r="J12" s="1" t="s">
        <v>3</v>
      </c>
      <c r="K12" s="1" t="s">
        <v>4</v>
      </c>
      <c r="L12" s="3" t="s">
        <v>5</v>
      </c>
    </row>
    <row r="13" spans="2:12" x14ac:dyDescent="0.3">
      <c r="B13" s="4" t="s">
        <v>16</v>
      </c>
      <c r="C13" s="5">
        <v>1</v>
      </c>
      <c r="D13" s="6">
        <v>3.3501456436288102</v>
      </c>
      <c r="E13" s="6">
        <v>1.71247483982947</v>
      </c>
      <c r="F13" s="6">
        <v>1.8782721145427199</v>
      </c>
      <c r="H13" s="4" t="s">
        <v>16</v>
      </c>
      <c r="I13" s="5">
        <f>LOG(C13,2)</f>
        <v>0</v>
      </c>
      <c r="J13" s="6">
        <f t="shared" ref="J13:L15" si="6">LOG(D13,2)</f>
        <v>1.7442238163983534</v>
      </c>
      <c r="K13" s="6">
        <f t="shared" si="6"/>
        <v>0.77608279174037387</v>
      </c>
      <c r="L13" s="6">
        <f t="shared" si="6"/>
        <v>0.90940608847762228</v>
      </c>
    </row>
    <row r="14" spans="2:12" x14ac:dyDescent="0.3">
      <c r="B14" s="2"/>
      <c r="C14" s="5">
        <v>1</v>
      </c>
      <c r="D14" s="6">
        <v>2.23969607490459</v>
      </c>
      <c r="E14" s="6">
        <v>1.3979890879977801</v>
      </c>
      <c r="F14" s="6">
        <v>2.2721124032753202</v>
      </c>
      <c r="H14" s="2"/>
      <c r="I14" s="5">
        <f t="shared" ref="I14:I15" si="7">LOG(C14,2)</f>
        <v>0</v>
      </c>
      <c r="J14" s="6">
        <f t="shared" si="6"/>
        <v>1.1633029729182749</v>
      </c>
      <c r="K14" s="6">
        <f t="shared" si="6"/>
        <v>0.48335309980281405</v>
      </c>
      <c r="L14" s="6">
        <f t="shared" si="6"/>
        <v>1.1840342079220991</v>
      </c>
    </row>
    <row r="15" spans="2:12" x14ac:dyDescent="0.3">
      <c r="B15" s="2"/>
      <c r="C15" s="5">
        <v>1</v>
      </c>
      <c r="D15" s="6">
        <v>4.7321795162719198</v>
      </c>
      <c r="E15" s="6">
        <v>0.87979056890749596</v>
      </c>
      <c r="F15" s="6">
        <v>2.1223775559717599</v>
      </c>
      <c r="H15" s="2"/>
      <c r="I15" s="5">
        <f t="shared" si="7"/>
        <v>0</v>
      </c>
      <c r="J15" s="6">
        <f t="shared" si="6"/>
        <v>2.2425048036698456</v>
      </c>
      <c r="K15" s="6">
        <f t="shared" si="6"/>
        <v>-0.18476795881699384</v>
      </c>
      <c r="L15" s="6">
        <f t="shared" si="6"/>
        <v>1.08568132433763</v>
      </c>
    </row>
    <row r="16" spans="2:12" x14ac:dyDescent="0.3">
      <c r="B16" s="15" t="s">
        <v>7</v>
      </c>
      <c r="C16" s="5">
        <f>AVERAGE(C13:C15)</f>
        <v>1</v>
      </c>
      <c r="D16" s="6">
        <f t="shared" ref="D16:F16" si="8">AVERAGE(D13:D15)</f>
        <v>3.4406737449351064</v>
      </c>
      <c r="E16" s="6">
        <f t="shared" si="8"/>
        <v>1.3300848322449152</v>
      </c>
      <c r="F16" s="6">
        <f t="shared" si="8"/>
        <v>2.0909206912632663</v>
      </c>
      <c r="H16" s="15" t="s">
        <v>7</v>
      </c>
      <c r="I16" s="5">
        <f>AVERAGE(I13:I15)</f>
        <v>0</v>
      </c>
      <c r="J16" s="6">
        <f t="shared" ref="J16:L16" si="9">AVERAGE(J13:J15)</f>
        <v>1.7166771976621582</v>
      </c>
      <c r="K16" s="6">
        <f t="shared" si="9"/>
        <v>0.35822264424206468</v>
      </c>
      <c r="L16" s="6">
        <f t="shared" si="9"/>
        <v>1.0597072069124505</v>
      </c>
    </row>
    <row r="17" spans="2:12" x14ac:dyDescent="0.3">
      <c r="B17" s="15" t="s">
        <v>8</v>
      </c>
      <c r="C17">
        <f>_xlfn.STDEV.P(C13:C15)</f>
        <v>0</v>
      </c>
      <c r="D17" s="7">
        <f t="shared" ref="D17:F17" si="10">_xlfn.STDEV.P(D13:D15)</f>
        <v>1.0195636090070346</v>
      </c>
      <c r="E17" s="7">
        <f t="shared" si="10"/>
        <v>0.34331619509545269</v>
      </c>
      <c r="F17" s="7">
        <f t="shared" si="10"/>
        <v>0.16231593474909936</v>
      </c>
      <c r="H17" s="15" t="s">
        <v>8</v>
      </c>
      <c r="I17">
        <f>_xlfn.STDEV.P(I13:I15)</f>
        <v>0</v>
      </c>
      <c r="J17" s="7">
        <f t="shared" ref="J17:L17" si="11">_xlfn.STDEV.P(J13:J15)</f>
        <v>0.44101266801701799</v>
      </c>
      <c r="K17" s="7">
        <f t="shared" si="11"/>
        <v>0.40212084783333041</v>
      </c>
      <c r="L17" s="7">
        <f t="shared" si="11"/>
        <v>0.11361086238975233</v>
      </c>
    </row>
    <row r="20" spans="2:12" x14ac:dyDescent="0.3">
      <c r="B20" s="1"/>
      <c r="C20" s="29" t="s">
        <v>11</v>
      </c>
      <c r="D20" s="29"/>
      <c r="E20" s="29"/>
      <c r="F20" s="29"/>
      <c r="H20" s="1"/>
      <c r="I20" s="29" t="s">
        <v>15</v>
      </c>
      <c r="J20" s="29"/>
      <c r="K20" s="29"/>
      <c r="L20" s="29"/>
    </row>
    <row r="21" spans="2:12" ht="15" x14ac:dyDescent="0.3">
      <c r="B21" s="2"/>
      <c r="C21" s="1" t="s">
        <v>2</v>
      </c>
      <c r="D21" s="1" t="s">
        <v>3</v>
      </c>
      <c r="E21" s="1" t="s">
        <v>4</v>
      </c>
      <c r="F21" s="3" t="s">
        <v>5</v>
      </c>
      <c r="H21" s="2"/>
      <c r="I21" s="1" t="s">
        <v>2</v>
      </c>
      <c r="J21" s="1" t="s">
        <v>3</v>
      </c>
      <c r="K21" s="1" t="s">
        <v>4</v>
      </c>
      <c r="L21" s="3" t="s">
        <v>5</v>
      </c>
    </row>
    <row r="22" spans="2:12" x14ac:dyDescent="0.3">
      <c r="B22" s="4" t="s">
        <v>16</v>
      </c>
      <c r="C22" s="5">
        <v>1</v>
      </c>
      <c r="D22" s="6">
        <v>15.511725995950799</v>
      </c>
      <c r="E22" s="6">
        <v>0.50462087704057301</v>
      </c>
      <c r="F22" s="6">
        <v>1.5335294301467699</v>
      </c>
      <c r="H22" s="4" t="s">
        <v>16</v>
      </c>
      <c r="I22" s="5">
        <f>LOG(C22,2)</f>
        <v>0</v>
      </c>
      <c r="J22" s="6">
        <f t="shared" ref="J22:L24" si="12">LOG(D22,2)</f>
        <v>3.9552873194468758</v>
      </c>
      <c r="K22" s="6">
        <f t="shared" si="12"/>
        <v>-0.986728200543318</v>
      </c>
      <c r="L22" s="6">
        <f t="shared" si="12"/>
        <v>0.61685585380374552</v>
      </c>
    </row>
    <row r="23" spans="2:12" x14ac:dyDescent="0.3">
      <c r="B23" s="2"/>
      <c r="C23" s="5">
        <v>1</v>
      </c>
      <c r="D23" s="6">
        <v>15.707852860823101</v>
      </c>
      <c r="E23" s="6">
        <v>0.300353013279754</v>
      </c>
      <c r="F23" s="6">
        <v>1.2313250186186</v>
      </c>
      <c r="H23" s="2"/>
      <c r="I23" s="5">
        <f t="shared" ref="I23:I24" si="13">LOG(C23,2)</f>
        <v>0</v>
      </c>
      <c r="J23" s="6">
        <f t="shared" si="12"/>
        <v>3.9734140840015688</v>
      </c>
      <c r="K23" s="6">
        <f t="shared" si="12"/>
        <v>-1.7352689571693054</v>
      </c>
      <c r="L23" s="6">
        <f t="shared" si="12"/>
        <v>0.30021162360822595</v>
      </c>
    </row>
    <row r="24" spans="2:12" x14ac:dyDescent="0.3">
      <c r="B24" s="2"/>
      <c r="C24" s="5">
        <v>1</v>
      </c>
      <c r="D24" s="6">
        <v>10.632618410004399</v>
      </c>
      <c r="E24" s="6">
        <v>0.65182691797723102</v>
      </c>
      <c r="F24" s="6">
        <v>2.1114805564358301</v>
      </c>
      <c r="H24" s="2"/>
      <c r="I24" s="5">
        <f t="shared" si="13"/>
        <v>0</v>
      </c>
      <c r="J24" s="6">
        <f t="shared" si="12"/>
        <v>3.4104250164934014</v>
      </c>
      <c r="K24" s="6">
        <f t="shared" si="12"/>
        <v>-0.61743916375228813</v>
      </c>
      <c r="L24" s="6">
        <f t="shared" si="12"/>
        <v>1.0782549621461963</v>
      </c>
    </row>
    <row r="25" spans="2:12" x14ac:dyDescent="0.3">
      <c r="B25" s="15" t="s">
        <v>7</v>
      </c>
      <c r="C25" s="10">
        <f>AVERAGE(C22:C24)</f>
        <v>1</v>
      </c>
      <c r="D25" s="6">
        <f t="shared" ref="D25:F25" si="14">AVERAGE(D22:D24)</f>
        <v>13.950732422259433</v>
      </c>
      <c r="E25" s="6">
        <f t="shared" si="14"/>
        <v>0.48560026943251938</v>
      </c>
      <c r="F25" s="6">
        <f t="shared" si="14"/>
        <v>1.6254450017337334</v>
      </c>
      <c r="H25" s="15" t="s">
        <v>7</v>
      </c>
      <c r="I25" s="10">
        <f>AVERAGE(I22:I24)</f>
        <v>0</v>
      </c>
      <c r="J25" s="6">
        <f t="shared" ref="J25:L25" si="15">AVERAGE(J22:J24)</f>
        <v>3.7797088066472817</v>
      </c>
      <c r="K25" s="6">
        <f t="shared" si="15"/>
        <v>-1.1131454404883039</v>
      </c>
      <c r="L25" s="6">
        <f t="shared" si="15"/>
        <v>0.66510747985272267</v>
      </c>
    </row>
    <row r="26" spans="2:12" x14ac:dyDescent="0.3">
      <c r="B26" s="15" t="s">
        <v>8</v>
      </c>
      <c r="C26">
        <f>_xlfn.STDEV.P(C22:C24)</f>
        <v>0</v>
      </c>
      <c r="D26" s="7">
        <f t="shared" ref="D26:F26" si="16">_xlfn.STDEV.P(D22:D24)</f>
        <v>2.3476267286380308</v>
      </c>
      <c r="E26" s="7">
        <f t="shared" si="16"/>
        <v>0.14411757712867046</v>
      </c>
      <c r="F26" s="7">
        <f t="shared" si="16"/>
        <v>0.36515275060600977</v>
      </c>
      <c r="H26" s="15" t="s">
        <v>8</v>
      </c>
      <c r="I26">
        <f>_xlfn.STDEV.P(I22:I24)</f>
        <v>0</v>
      </c>
      <c r="J26" s="7">
        <f t="shared" ref="J26:L26" si="17">_xlfn.STDEV.P(J22:J24)</f>
        <v>0.26122791217774671</v>
      </c>
      <c r="K26" s="7">
        <f t="shared" si="17"/>
        <v>0.46502462349081691</v>
      </c>
      <c r="L26" s="7">
        <f t="shared" si="17"/>
        <v>0.31946207257733045</v>
      </c>
    </row>
  </sheetData>
  <mergeCells count="6">
    <mergeCell ref="I2:L2"/>
    <mergeCell ref="I11:L11"/>
    <mergeCell ref="I20:L20"/>
    <mergeCell ref="C20:F20"/>
    <mergeCell ref="C11:F11"/>
    <mergeCell ref="C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8AC8-28C0-44E3-966B-EA324CC18357}">
  <dimension ref="B2:L26"/>
  <sheetViews>
    <sheetView workbookViewId="0">
      <selection activeCell="K29" sqref="K29"/>
    </sheetView>
  </sheetViews>
  <sheetFormatPr defaultRowHeight="14.4" x14ac:dyDescent="0.3"/>
  <cols>
    <col min="2" max="2" width="9.21875" customWidth="1"/>
  </cols>
  <sheetData>
    <row r="2" spans="2:12" x14ac:dyDescent="0.3">
      <c r="C2" s="35" t="s">
        <v>0</v>
      </c>
      <c r="D2" s="35"/>
      <c r="E2" s="35"/>
      <c r="F2" s="35"/>
      <c r="I2" s="35" t="s">
        <v>0</v>
      </c>
      <c r="J2" s="35"/>
      <c r="K2" s="35"/>
      <c r="L2" s="35"/>
    </row>
    <row r="3" spans="2:12" ht="15" x14ac:dyDescent="0.3">
      <c r="B3" s="2"/>
      <c r="C3" s="1" t="s">
        <v>2</v>
      </c>
      <c r="D3" s="3" t="s">
        <v>3</v>
      </c>
      <c r="E3" s="3" t="s">
        <v>4</v>
      </c>
      <c r="F3" s="3" t="s">
        <v>5</v>
      </c>
      <c r="H3" s="2"/>
      <c r="I3" s="1" t="s">
        <v>2</v>
      </c>
      <c r="J3" s="3" t="s">
        <v>3</v>
      </c>
      <c r="K3" s="3" t="s">
        <v>4</v>
      </c>
      <c r="L3" s="3" t="s">
        <v>5</v>
      </c>
    </row>
    <row r="4" spans="2:12" x14ac:dyDescent="0.3">
      <c r="B4" s="4" t="s">
        <v>21</v>
      </c>
      <c r="C4" s="5">
        <v>1</v>
      </c>
      <c r="D4" s="6">
        <v>0.17354668044379701</v>
      </c>
      <c r="E4" s="6">
        <v>2.7105488211786999</v>
      </c>
      <c r="F4" s="6">
        <v>1.1707018304564001</v>
      </c>
      <c r="H4" s="4" t="s">
        <v>21</v>
      </c>
      <c r="I4" s="5">
        <f>LOG(C4,2)</f>
        <v>0</v>
      </c>
      <c r="J4" s="6">
        <f t="shared" ref="J4:L6" si="0">LOG(D4,2)</f>
        <v>-2.526604324956033</v>
      </c>
      <c r="K4" s="6">
        <f t="shared" si="0"/>
        <v>1.4385849923278686</v>
      </c>
      <c r="L4" s="6">
        <f t="shared" si="0"/>
        <v>0.2273736783176967</v>
      </c>
    </row>
    <row r="5" spans="2:12" x14ac:dyDescent="0.3">
      <c r="B5" s="9"/>
      <c r="C5" s="5">
        <v>1</v>
      </c>
      <c r="D5" s="6">
        <v>0.18059602292267499</v>
      </c>
      <c r="E5" s="6">
        <v>1.3807982983170899</v>
      </c>
      <c r="F5" s="6">
        <v>0.91568600308244597</v>
      </c>
      <c r="H5" s="9"/>
      <c r="I5" s="5">
        <f t="shared" ref="I5:I6" si="1">LOG(C5,2)</f>
        <v>0</v>
      </c>
      <c r="J5" s="6">
        <f t="shared" si="0"/>
        <v>-2.4691619726827185</v>
      </c>
      <c r="K5" s="6">
        <f t="shared" si="0"/>
        <v>0.46550259166672436</v>
      </c>
      <c r="L5" s="6">
        <f t="shared" si="0"/>
        <v>-0.12707512479234437</v>
      </c>
    </row>
    <row r="6" spans="2:12" x14ac:dyDescent="0.3">
      <c r="B6" s="9"/>
      <c r="C6" s="5">
        <v>1</v>
      </c>
      <c r="D6" s="6">
        <v>0.24323697470759401</v>
      </c>
      <c r="E6" s="6">
        <v>1.26217132371539</v>
      </c>
      <c r="F6" s="6">
        <v>2.4059651971443099</v>
      </c>
      <c r="H6" s="9"/>
      <c r="I6" s="5">
        <f t="shared" si="1"/>
        <v>0</v>
      </c>
      <c r="J6" s="6">
        <f t="shared" si="0"/>
        <v>-2.0395655438497013</v>
      </c>
      <c r="K6" s="6">
        <f t="shared" si="0"/>
        <v>0.33590775112780902</v>
      </c>
      <c r="L6" s="6">
        <f t="shared" si="0"/>
        <v>1.2666157737398995</v>
      </c>
    </row>
    <row r="7" spans="2:12" x14ac:dyDescent="0.3">
      <c r="B7" s="12" t="s">
        <v>7</v>
      </c>
      <c r="C7">
        <f>AVERAGE(C4:C6)</f>
        <v>1</v>
      </c>
      <c r="D7" s="7">
        <f>AVERAGE(D4:D6)</f>
        <v>0.19912655935802201</v>
      </c>
      <c r="E7" s="7">
        <f t="shared" ref="E7" si="2">AVERAGE(E4:E6)</f>
        <v>1.7845061477370601</v>
      </c>
      <c r="F7" s="7">
        <f>AVERAGE(F4:F6)</f>
        <v>1.4974510102277188</v>
      </c>
      <c r="H7" s="12" t="s">
        <v>7</v>
      </c>
      <c r="I7">
        <f>AVERAGE(I4:I6)</f>
        <v>0</v>
      </c>
      <c r="J7" s="7">
        <f t="shared" ref="J7" si="3">AVERAGE(J4:J6)</f>
        <v>-2.3451106138294846</v>
      </c>
      <c r="K7" s="7">
        <f t="shared" ref="K7" si="4">AVERAGE(K4:K6)</f>
        <v>0.74666511170746741</v>
      </c>
      <c r="L7" s="7">
        <f t="shared" ref="L7" si="5">AVERAGE(L4:L6)</f>
        <v>0.45563810908841723</v>
      </c>
    </row>
    <row r="8" spans="2:12" x14ac:dyDescent="0.3">
      <c r="B8" s="12" t="s">
        <v>8</v>
      </c>
      <c r="C8">
        <f>STDEV(C4:C6)</f>
        <v>0</v>
      </c>
      <c r="D8" s="7">
        <f>STDEV(D4:D6)</f>
        <v>3.8363001239214281E-2</v>
      </c>
      <c r="E8" s="7">
        <f t="shared" ref="E8" si="6">STDEV(E4:E6)</f>
        <v>0.80416687605993309</v>
      </c>
      <c r="F8" s="7">
        <f>STDEV(F4:F6)</f>
        <v>0.79706134577229459</v>
      </c>
      <c r="H8" s="12" t="s">
        <v>8</v>
      </c>
      <c r="I8">
        <f>STDEV(I4:I6)</f>
        <v>0</v>
      </c>
      <c r="J8" s="7">
        <f t="shared" ref="J8:L8" si="7">STDEV(J4:J6)</f>
        <v>0.2661639500390422</v>
      </c>
      <c r="K8" s="7">
        <f t="shared" si="7"/>
        <v>0.60271348630330923</v>
      </c>
      <c r="L8" s="7">
        <f t="shared" si="7"/>
        <v>0.72434250733283234</v>
      </c>
    </row>
    <row r="9" spans="2:12" x14ac:dyDescent="0.3">
      <c r="E9" s="7"/>
      <c r="F9" s="7"/>
    </row>
    <row r="10" spans="2:12" x14ac:dyDescent="0.3">
      <c r="E10" s="7"/>
      <c r="F10" s="7"/>
    </row>
    <row r="11" spans="2:12" x14ac:dyDescent="0.3">
      <c r="C11" s="32" t="s">
        <v>9</v>
      </c>
      <c r="D11" s="32"/>
      <c r="E11" s="32"/>
      <c r="F11" s="32"/>
      <c r="I11" s="32" t="s">
        <v>9</v>
      </c>
      <c r="J11" s="32"/>
      <c r="K11" s="32"/>
      <c r="L11" s="32"/>
    </row>
    <row r="12" spans="2:12" ht="15" x14ac:dyDescent="0.3">
      <c r="C12" s="1" t="s">
        <v>2</v>
      </c>
      <c r="D12" s="1" t="s">
        <v>3</v>
      </c>
      <c r="E12" s="1" t="s">
        <v>4</v>
      </c>
      <c r="F12" s="3" t="s">
        <v>5</v>
      </c>
      <c r="I12" s="1" t="s">
        <v>2</v>
      </c>
      <c r="J12" s="1" t="s">
        <v>3</v>
      </c>
      <c r="K12" s="1" t="s">
        <v>4</v>
      </c>
      <c r="L12" s="3" t="s">
        <v>5</v>
      </c>
    </row>
    <row r="13" spans="2:12" x14ac:dyDescent="0.3">
      <c r="B13" s="4" t="s">
        <v>21</v>
      </c>
      <c r="C13" s="5">
        <v>1</v>
      </c>
      <c r="D13" s="6">
        <v>0.39458197786253002</v>
      </c>
      <c r="E13" s="6">
        <v>0.35288586100513503</v>
      </c>
      <c r="F13" s="6">
        <v>1.0565498890582501</v>
      </c>
      <c r="G13" s="17"/>
      <c r="H13" s="4" t="s">
        <v>21</v>
      </c>
      <c r="I13" s="5">
        <f t="shared" ref="I13:L15" si="8">LOG(C13,2)</f>
        <v>0</v>
      </c>
      <c r="J13" s="6">
        <f t="shared" si="8"/>
        <v>-1.3416030309751998</v>
      </c>
      <c r="K13" s="6">
        <f t="shared" si="8"/>
        <v>-1.502726467734915</v>
      </c>
      <c r="L13" s="6">
        <f t="shared" si="8"/>
        <v>7.9360891264925959E-2</v>
      </c>
    </row>
    <row r="14" spans="2:12" x14ac:dyDescent="0.3">
      <c r="B14" s="9"/>
      <c r="C14" s="5">
        <v>1</v>
      </c>
      <c r="D14" s="6">
        <v>0.24271655646683299</v>
      </c>
      <c r="E14" s="6">
        <v>0.35266151901595899</v>
      </c>
      <c r="F14" s="6">
        <v>0.16503190109615701</v>
      </c>
      <c r="G14" s="17"/>
      <c r="H14" s="9"/>
      <c r="I14" s="5">
        <f t="shared" si="8"/>
        <v>0</v>
      </c>
      <c r="J14" s="6">
        <f t="shared" si="8"/>
        <v>-2.0426555722330564</v>
      </c>
      <c r="K14" s="6">
        <f t="shared" si="8"/>
        <v>-1.5036439315235142</v>
      </c>
      <c r="L14" s="6">
        <f t="shared" si="8"/>
        <v>-2.5991831667514127</v>
      </c>
    </row>
    <row r="15" spans="2:12" x14ac:dyDescent="0.3">
      <c r="B15" s="9"/>
      <c r="C15" s="5">
        <v>1</v>
      </c>
      <c r="D15" s="6">
        <v>0.37848063804103299</v>
      </c>
      <c r="E15" s="6">
        <v>0.31149220769074398</v>
      </c>
      <c r="F15" s="6">
        <v>0.36715348753020799</v>
      </c>
      <c r="G15" s="17"/>
      <c r="H15" s="9"/>
      <c r="I15" s="5">
        <f t="shared" si="8"/>
        <v>0</v>
      </c>
      <c r="J15" s="6">
        <f t="shared" si="8"/>
        <v>-1.4017085968339957</v>
      </c>
      <c r="K15" s="6">
        <f t="shared" si="8"/>
        <v>-1.6827320217393176</v>
      </c>
      <c r="L15" s="6">
        <f t="shared" si="8"/>
        <v>-1.4455447909280885</v>
      </c>
    </row>
    <row r="16" spans="2:12" x14ac:dyDescent="0.3">
      <c r="B16" s="15" t="s">
        <v>7</v>
      </c>
      <c r="C16">
        <f>AVERAGE(C13:C15)</f>
        <v>1</v>
      </c>
      <c r="D16" s="7">
        <f t="shared" ref="D16:F16" si="9">AVERAGE(D13:D15)</f>
        <v>0.33859305745679863</v>
      </c>
      <c r="E16" s="7">
        <f t="shared" si="9"/>
        <v>0.33901319590394602</v>
      </c>
      <c r="F16" s="7">
        <f t="shared" si="9"/>
        <v>0.5295784258948717</v>
      </c>
      <c r="H16" s="15" t="s">
        <v>7</v>
      </c>
      <c r="I16">
        <f>AVERAGE(I13:I15)</f>
        <v>0</v>
      </c>
      <c r="J16" s="7">
        <f t="shared" ref="J16" si="10">AVERAGE(J13:J15)</f>
        <v>-1.5953224000140842</v>
      </c>
      <c r="K16" s="7">
        <f t="shared" ref="K16" si="11">AVERAGE(K13:K15)</f>
        <v>-1.5630341403325823</v>
      </c>
      <c r="L16" s="7">
        <f t="shared" ref="L16" si="12">AVERAGE(L13:L15)</f>
        <v>-1.3217890221381916</v>
      </c>
    </row>
    <row r="17" spans="2:12" x14ac:dyDescent="0.3">
      <c r="B17" s="15" t="s">
        <v>8</v>
      </c>
      <c r="C17">
        <f>STDEV(C13:C15)</f>
        <v>0</v>
      </c>
      <c r="D17" s="7">
        <f t="shared" ref="D17:F17" si="13">STDEV(D13:D15)</f>
        <v>8.3420865900391147E-2</v>
      </c>
      <c r="E17" s="7">
        <f t="shared" si="13"/>
        <v>2.383413888743267E-2</v>
      </c>
      <c r="F17" s="7">
        <f t="shared" si="13"/>
        <v>0.46742643931111583</v>
      </c>
      <c r="H17" s="15" t="s">
        <v>8</v>
      </c>
      <c r="I17">
        <f>STDEV(I13:I15)</f>
        <v>0</v>
      </c>
      <c r="J17" s="7">
        <f t="shared" ref="J17:L17" si="14">STDEV(J13:J15)</f>
        <v>0.38856581808931356</v>
      </c>
      <c r="K17" s="7">
        <f t="shared" si="14"/>
        <v>0.10366242108351754</v>
      </c>
      <c r="L17" s="7">
        <f t="shared" si="14"/>
        <v>1.3435535662619644</v>
      </c>
    </row>
    <row r="20" spans="2:12" x14ac:dyDescent="0.3">
      <c r="C20" s="29" t="s">
        <v>11</v>
      </c>
      <c r="D20" s="29"/>
      <c r="E20" s="29"/>
      <c r="F20" s="29"/>
      <c r="I20" s="29" t="s">
        <v>15</v>
      </c>
      <c r="J20" s="29"/>
      <c r="K20" s="29"/>
      <c r="L20" s="29"/>
    </row>
    <row r="21" spans="2:12" ht="15" x14ac:dyDescent="0.3">
      <c r="C21" s="1" t="s">
        <v>2</v>
      </c>
      <c r="D21" s="1" t="s">
        <v>3</v>
      </c>
      <c r="E21" s="1" t="s">
        <v>4</v>
      </c>
      <c r="F21" s="3" t="s">
        <v>5</v>
      </c>
      <c r="I21" s="1" t="s">
        <v>2</v>
      </c>
      <c r="J21" s="1" t="s">
        <v>3</v>
      </c>
      <c r="K21" s="1" t="s">
        <v>4</v>
      </c>
      <c r="L21" s="3" t="s">
        <v>5</v>
      </c>
    </row>
    <row r="22" spans="2:12" x14ac:dyDescent="0.3">
      <c r="B22" s="4" t="s">
        <v>21</v>
      </c>
      <c r="C22" s="5">
        <v>1</v>
      </c>
      <c r="D22" s="6">
        <v>0.63487595326824597</v>
      </c>
      <c r="E22" s="6">
        <v>0.61332019785104896</v>
      </c>
      <c r="F22" s="6">
        <v>1.0457765716071401</v>
      </c>
      <c r="H22" s="4" t="s">
        <v>21</v>
      </c>
      <c r="I22" s="5">
        <f t="shared" ref="I22:L24" si="15">LOG(C22,2)</f>
        <v>0</v>
      </c>
      <c r="J22" s="6">
        <f t="shared" si="15"/>
        <v>-0.6554533598325093</v>
      </c>
      <c r="K22" s="6">
        <f t="shared" si="15"/>
        <v>-0.70528763231617453</v>
      </c>
      <c r="L22" s="6">
        <f t="shared" si="15"/>
        <v>6.4574655155107574E-2</v>
      </c>
    </row>
    <row r="23" spans="2:12" x14ac:dyDescent="0.3">
      <c r="B23" s="9"/>
      <c r="C23" s="5">
        <v>1</v>
      </c>
      <c r="D23" s="6">
        <v>0.61367601406778605</v>
      </c>
      <c r="E23" s="6">
        <v>0.72583519253423701</v>
      </c>
      <c r="F23" s="6">
        <v>1.0009959408378799</v>
      </c>
      <c r="H23" s="9"/>
      <c r="I23" s="5">
        <f t="shared" si="15"/>
        <v>0</v>
      </c>
      <c r="J23" s="6">
        <f t="shared" si="15"/>
        <v>-0.70445089899824331</v>
      </c>
      <c r="K23" s="6">
        <f t="shared" si="15"/>
        <v>-0.46228608648049946</v>
      </c>
      <c r="L23" s="6">
        <f t="shared" si="15"/>
        <v>1.4361238792666398E-3</v>
      </c>
    </row>
    <row r="24" spans="2:12" x14ac:dyDescent="0.3">
      <c r="B24" s="9"/>
      <c r="C24" s="5">
        <v>1</v>
      </c>
      <c r="D24" s="6">
        <v>0.61973964725860198</v>
      </c>
      <c r="E24" s="6">
        <v>0.60170404682206002</v>
      </c>
      <c r="F24" s="6">
        <v>1.53522021174533</v>
      </c>
      <c r="H24" s="9"/>
      <c r="I24" s="5">
        <f t="shared" si="15"/>
        <v>0</v>
      </c>
      <c r="J24" s="6">
        <f t="shared" si="15"/>
        <v>-0.69026582857282415</v>
      </c>
      <c r="K24" s="6">
        <f t="shared" si="15"/>
        <v>-0.73287403509402771</v>
      </c>
      <c r="L24" s="6">
        <f t="shared" si="15"/>
        <v>0.61844561038798873</v>
      </c>
    </row>
    <row r="25" spans="2:12" x14ac:dyDescent="0.3">
      <c r="B25" s="15" t="s">
        <v>7</v>
      </c>
      <c r="C25">
        <f>AVERAGE(C22:C24)</f>
        <v>1</v>
      </c>
      <c r="D25" s="7">
        <f t="shared" ref="D25" si="16">AVERAGE(D22:D24)</f>
        <v>0.62276387153154467</v>
      </c>
      <c r="E25" s="7">
        <f t="shared" ref="E25" si="17">AVERAGE(E22:E24)</f>
        <v>0.646953145735782</v>
      </c>
      <c r="F25" s="7">
        <f t="shared" ref="F25" si="18">AVERAGE(F22:F24)</f>
        <v>1.1939975747301166</v>
      </c>
      <c r="H25" s="15" t="s">
        <v>7</v>
      </c>
      <c r="I25">
        <f>AVERAGE(I22:I24)</f>
        <v>0</v>
      </c>
      <c r="J25" s="7">
        <f t="shared" ref="J25" si="19">AVERAGE(J22:J24)</f>
        <v>-0.68339002913452562</v>
      </c>
      <c r="K25" s="7">
        <f t="shared" ref="K25" si="20">AVERAGE(K22:K24)</f>
        <v>-0.63348258463023388</v>
      </c>
      <c r="L25" s="7">
        <f t="shared" ref="L25" si="21">AVERAGE(L22:L24)</f>
        <v>0.22815212980745433</v>
      </c>
    </row>
    <row r="26" spans="2:12" x14ac:dyDescent="0.3">
      <c r="B26" s="15" t="s">
        <v>8</v>
      </c>
      <c r="C26">
        <f>STDEV(C22:C24)</f>
        <v>0</v>
      </c>
      <c r="D26" s="7">
        <f t="shared" ref="D26:F26" si="22">STDEV(D22:D24)</f>
        <v>1.0918736413413009E-2</v>
      </c>
      <c r="E26" s="7">
        <f t="shared" si="22"/>
        <v>6.8560314479422457E-2</v>
      </c>
      <c r="F26" s="7">
        <f t="shared" si="22"/>
        <v>0.29635450432165705</v>
      </c>
      <c r="H26" s="15" t="s">
        <v>8</v>
      </c>
      <c r="I26">
        <f>STDEV(I22:I24)</f>
        <v>0</v>
      </c>
      <c r="J26" s="7">
        <f t="shared" ref="J26:L26" si="23">STDEV(J22:J24)</f>
        <v>2.5212044235071257E-2</v>
      </c>
      <c r="K26" s="7">
        <f t="shared" si="23"/>
        <v>0.148900749288257</v>
      </c>
      <c r="L26" s="7">
        <f t="shared" si="23"/>
        <v>0.33947513792716627</v>
      </c>
    </row>
  </sheetData>
  <mergeCells count="6">
    <mergeCell ref="C2:F2"/>
    <mergeCell ref="I2:L2"/>
    <mergeCell ref="C20:F20"/>
    <mergeCell ref="I20:L20"/>
    <mergeCell ref="C11:F11"/>
    <mergeCell ref="I11:L11"/>
  </mergeCells>
  <phoneticPr fontId="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25E9-9BE4-428B-8AEB-674C35123233}">
  <dimension ref="B2:T26"/>
  <sheetViews>
    <sheetView workbookViewId="0">
      <selection activeCell="L29" sqref="L29"/>
    </sheetView>
  </sheetViews>
  <sheetFormatPr defaultRowHeight="14.4" x14ac:dyDescent="0.3"/>
  <cols>
    <col min="3" max="6" width="8" customWidth="1"/>
  </cols>
  <sheetData>
    <row r="2" spans="2:20" x14ac:dyDescent="0.3">
      <c r="C2" s="35" t="s">
        <v>0</v>
      </c>
      <c r="D2" s="35"/>
      <c r="E2" s="35"/>
      <c r="F2" s="35"/>
      <c r="I2" s="35" t="s">
        <v>1</v>
      </c>
      <c r="J2" s="35"/>
      <c r="K2" s="35"/>
      <c r="L2" s="35"/>
    </row>
    <row r="3" spans="2:20" ht="15" x14ac:dyDescent="0.3">
      <c r="B3" s="2"/>
      <c r="C3" s="1" t="s">
        <v>2</v>
      </c>
      <c r="D3" s="3" t="s">
        <v>3</v>
      </c>
      <c r="E3" s="3" t="s">
        <v>4</v>
      </c>
      <c r="F3" s="3" t="s">
        <v>5</v>
      </c>
      <c r="H3" s="2"/>
      <c r="I3" s="1" t="s">
        <v>2</v>
      </c>
      <c r="J3" s="3" t="s">
        <v>3</v>
      </c>
      <c r="K3" s="3" t="s">
        <v>4</v>
      </c>
      <c r="L3" s="3" t="s">
        <v>5</v>
      </c>
    </row>
    <row r="4" spans="2:20" x14ac:dyDescent="0.3">
      <c r="B4" s="4" t="s">
        <v>20</v>
      </c>
      <c r="C4" s="5">
        <v>1</v>
      </c>
      <c r="D4" s="6">
        <v>0.77328576621947498</v>
      </c>
      <c r="E4" s="6">
        <v>0.55011371315021396</v>
      </c>
      <c r="F4" s="6">
        <v>0.86183491495708098</v>
      </c>
      <c r="H4" s="4" t="s">
        <v>20</v>
      </c>
      <c r="I4" s="10">
        <f>LOG(C4,2)</f>
        <v>0</v>
      </c>
      <c r="J4" s="6">
        <f t="shared" ref="J4:L6" si="0">LOG(D4,2)</f>
        <v>-0.3709264371138547</v>
      </c>
      <c r="K4" s="6">
        <f t="shared" si="0"/>
        <v>-0.86219822817530556</v>
      </c>
      <c r="L4" s="6">
        <f t="shared" si="0"/>
        <v>-0.2145165482897477</v>
      </c>
    </row>
    <row r="5" spans="2:20" x14ac:dyDescent="0.3">
      <c r="B5" s="9"/>
      <c r="C5" s="5">
        <v>1</v>
      </c>
      <c r="D5" s="6">
        <v>0.79490801590326798</v>
      </c>
      <c r="E5" s="6">
        <v>0.74898922082493002</v>
      </c>
      <c r="F5" s="6">
        <v>0.41005356663305997</v>
      </c>
      <c r="H5" s="9"/>
      <c r="I5" s="10">
        <f t="shared" ref="I5:I6" si="1">LOG(C5,2)</f>
        <v>0</v>
      </c>
      <c r="J5" s="6">
        <f t="shared" si="0"/>
        <v>-0.33114016867651924</v>
      </c>
      <c r="K5" s="6">
        <f t="shared" si="0"/>
        <v>-0.41698313878587318</v>
      </c>
      <c r="L5" s="6">
        <f t="shared" si="0"/>
        <v>-1.2861157088933162</v>
      </c>
    </row>
    <row r="6" spans="2:20" x14ac:dyDescent="0.3">
      <c r="B6" s="9"/>
      <c r="C6" s="5">
        <v>1</v>
      </c>
      <c r="D6" s="6">
        <v>0.47228729798443903</v>
      </c>
      <c r="E6" s="6">
        <v>0.49341032047963301</v>
      </c>
      <c r="F6" s="6">
        <v>0.83689698650414801</v>
      </c>
      <c r="H6" s="9"/>
      <c r="I6" s="10">
        <f t="shared" si="1"/>
        <v>0</v>
      </c>
      <c r="J6" s="6">
        <f t="shared" si="0"/>
        <v>-1.0822633596980187</v>
      </c>
      <c r="K6" s="6">
        <f t="shared" si="0"/>
        <v>-1.019140202619679</v>
      </c>
      <c r="L6" s="6">
        <f t="shared" si="0"/>
        <v>-0.2568780422501642</v>
      </c>
    </row>
    <row r="7" spans="2:20" x14ac:dyDescent="0.3">
      <c r="B7" s="12" t="s">
        <v>7</v>
      </c>
      <c r="C7">
        <f>AVERAGE(C4:C6)</f>
        <v>1</v>
      </c>
      <c r="D7" s="7">
        <f t="shared" ref="D7" si="2">AVERAGE(D4:D6)</f>
        <v>0.68016036003572733</v>
      </c>
      <c r="E7" s="7">
        <f t="shared" ref="E7" si="3">AVERAGE(E4:E6)</f>
        <v>0.59750441815159228</v>
      </c>
      <c r="F7" s="7">
        <f t="shared" ref="F7" si="4">AVERAGE(F4:F6)</f>
        <v>0.70292848936476293</v>
      </c>
      <c r="H7" s="12" t="s">
        <v>7</v>
      </c>
      <c r="I7">
        <f>AVERAGE(I4:I6)</f>
        <v>0</v>
      </c>
      <c r="J7" s="7">
        <f t="shared" ref="J7" si="5">AVERAGE(J4:J6)</f>
        <v>-0.59477665516279754</v>
      </c>
      <c r="K7" s="7">
        <f t="shared" ref="K7" si="6">AVERAGE(K4:K6)</f>
        <v>-0.76610718986028592</v>
      </c>
      <c r="L7" s="7">
        <f t="shared" ref="L7" si="7">AVERAGE(L4:L6)</f>
        <v>-0.58583676647774274</v>
      </c>
    </row>
    <row r="8" spans="2:20" x14ac:dyDescent="0.3">
      <c r="B8" s="12" t="s">
        <v>8</v>
      </c>
      <c r="C8">
        <f>STDEV(C4:C6)</f>
        <v>0</v>
      </c>
      <c r="D8" s="7">
        <f>STDEV(D4:D6)</f>
        <v>0.18034768605469015</v>
      </c>
      <c r="E8" s="7">
        <f t="shared" ref="E8" si="8">STDEV(E4:E6)</f>
        <v>0.13421830264842288</v>
      </c>
      <c r="F8" s="7">
        <f>STDEV(F4:F6)</f>
        <v>0.25394342941432185</v>
      </c>
      <c r="H8" s="12" t="s">
        <v>8</v>
      </c>
      <c r="I8">
        <f>STDEV(I4:I6)</f>
        <v>0</v>
      </c>
      <c r="J8" s="7">
        <f t="shared" ref="J8:L8" si="9">STDEV(J4:J6)</f>
        <v>0.42264429738611092</v>
      </c>
      <c r="K8" s="7">
        <f t="shared" si="9"/>
        <v>0.31236740885467157</v>
      </c>
      <c r="L8" s="7">
        <f t="shared" si="9"/>
        <v>0.6068291126302735</v>
      </c>
    </row>
    <row r="9" spans="2:20" x14ac:dyDescent="0.3">
      <c r="O9" s="1"/>
      <c r="P9" s="9"/>
      <c r="Q9" s="9"/>
      <c r="R9" s="9"/>
      <c r="S9" s="9"/>
      <c r="T9" s="1"/>
    </row>
    <row r="10" spans="2:20" x14ac:dyDescent="0.3">
      <c r="O10" s="2"/>
      <c r="P10" s="1"/>
      <c r="Q10" s="3"/>
      <c r="R10" s="3"/>
      <c r="S10" s="3"/>
      <c r="T10" s="3"/>
    </row>
    <row r="11" spans="2:20" ht="14.4" customHeight="1" x14ac:dyDescent="0.3">
      <c r="C11" s="36" t="s">
        <v>9</v>
      </c>
      <c r="D11" s="36"/>
      <c r="E11" s="36"/>
      <c r="F11" s="36"/>
      <c r="I11" s="36" t="s">
        <v>10</v>
      </c>
      <c r="J11" s="36"/>
      <c r="K11" s="36"/>
      <c r="L11" s="36"/>
      <c r="O11" s="9"/>
      <c r="P11" s="21"/>
      <c r="Q11" s="22"/>
      <c r="R11" s="25"/>
      <c r="S11" s="22"/>
      <c r="T11" s="25"/>
    </row>
    <row r="12" spans="2:20" ht="15" x14ac:dyDescent="0.3">
      <c r="B12" s="2"/>
      <c r="C12" s="1" t="s">
        <v>2</v>
      </c>
      <c r="D12" s="3" t="s">
        <v>3</v>
      </c>
      <c r="E12" s="3" t="s">
        <v>4</v>
      </c>
      <c r="F12" s="3" t="s">
        <v>5</v>
      </c>
      <c r="H12" s="2"/>
      <c r="I12" s="1" t="s">
        <v>2</v>
      </c>
      <c r="J12" s="3" t="s">
        <v>3</v>
      </c>
      <c r="K12" s="3" t="s">
        <v>4</v>
      </c>
      <c r="L12" s="3" t="s">
        <v>5</v>
      </c>
      <c r="O12" s="9"/>
      <c r="P12" s="21"/>
      <c r="Q12" s="22"/>
      <c r="R12" s="25"/>
      <c r="S12" s="22"/>
      <c r="T12" s="25"/>
    </row>
    <row r="13" spans="2:20" x14ac:dyDescent="0.3">
      <c r="B13" s="4" t="s">
        <v>20</v>
      </c>
      <c r="C13" s="5">
        <v>1</v>
      </c>
      <c r="D13" s="6">
        <v>1.2118815021000999</v>
      </c>
      <c r="E13" s="6">
        <v>1.76918899802469</v>
      </c>
      <c r="F13" s="6">
        <v>0.20300000000000001</v>
      </c>
      <c r="H13" s="4" t="s">
        <v>20</v>
      </c>
      <c r="I13" s="5">
        <f>LOG(C13,2)</f>
        <v>0</v>
      </c>
      <c r="J13" s="6">
        <f t="shared" ref="J13:L15" si="10">LOG(D13,2)</f>
        <v>0.2772486388353414</v>
      </c>
      <c r="K13" s="6">
        <f t="shared" si="10"/>
        <v>0.82308817575493975</v>
      </c>
      <c r="L13" s="6">
        <f t="shared" si="10"/>
        <v>-2.3004483674769109</v>
      </c>
      <c r="O13" s="9"/>
      <c r="P13" s="21"/>
      <c r="Q13" s="22"/>
      <c r="R13" s="25"/>
      <c r="S13" s="22"/>
      <c r="T13" s="25"/>
    </row>
    <row r="14" spans="2:20" ht="15.6" x14ac:dyDescent="0.3">
      <c r="B14" s="9"/>
      <c r="C14" s="5">
        <v>1</v>
      </c>
      <c r="D14" s="6">
        <v>1.5689270613988</v>
      </c>
      <c r="E14" s="6">
        <v>2.4265939386561901</v>
      </c>
      <c r="F14" s="6">
        <v>0.372185511867347</v>
      </c>
      <c r="H14" s="9"/>
      <c r="I14" s="5">
        <f t="shared" ref="I14:I15" si="11">LOG(C14,2)</f>
        <v>0</v>
      </c>
      <c r="J14" s="6">
        <f t="shared" si="10"/>
        <v>0.64977828372461865</v>
      </c>
      <c r="K14" s="6">
        <f t="shared" si="10"/>
        <v>1.2789327110026554</v>
      </c>
      <c r="L14" s="6">
        <f t="shared" si="10"/>
        <v>-1.425906198447719</v>
      </c>
      <c r="O14" s="9"/>
      <c r="P14" s="21"/>
      <c r="Q14" s="22"/>
      <c r="R14" s="23"/>
      <c r="T14" s="24"/>
    </row>
    <row r="15" spans="2:20" x14ac:dyDescent="0.3">
      <c r="B15" s="9"/>
      <c r="C15" s="5">
        <v>1</v>
      </c>
      <c r="D15" s="6">
        <v>1.0918440792444299</v>
      </c>
      <c r="E15" s="6">
        <v>1.6327001961469001</v>
      </c>
      <c r="F15" s="6">
        <v>0.21278867889785399</v>
      </c>
      <c r="H15" s="9"/>
      <c r="I15" s="5">
        <f t="shared" si="11"/>
        <v>0</v>
      </c>
      <c r="J15" s="6">
        <f t="shared" si="10"/>
        <v>0.1267668469521078</v>
      </c>
      <c r="K15" s="6">
        <f t="shared" si="10"/>
        <v>0.70725990097870706</v>
      </c>
      <c r="L15" s="6">
        <f t="shared" si="10"/>
        <v>-2.2325066984298361</v>
      </c>
      <c r="O15" s="9"/>
      <c r="P15" s="21"/>
      <c r="Q15" s="22"/>
      <c r="R15" s="23"/>
      <c r="S15" s="22"/>
      <c r="T15" s="22"/>
    </row>
    <row r="16" spans="2:20" x14ac:dyDescent="0.3">
      <c r="B16" s="12" t="s">
        <v>7</v>
      </c>
      <c r="C16">
        <f>AVERAGE(C13:C15)</f>
        <v>1</v>
      </c>
      <c r="D16" s="7">
        <f>AVERAGE(D13:D15)</f>
        <v>1.2908842142477768</v>
      </c>
      <c r="E16" s="7">
        <f t="shared" ref="E16" si="12">AVERAGE(E13:E15)</f>
        <v>1.9428277109425933</v>
      </c>
      <c r="F16" s="7">
        <f>AVERAGE(F13:F15)</f>
        <v>0.26265806358840033</v>
      </c>
      <c r="H16" s="12" t="s">
        <v>7</v>
      </c>
      <c r="I16">
        <f>AVERAGE(I13:I15)</f>
        <v>0</v>
      </c>
      <c r="J16" s="7">
        <f t="shared" ref="J16" si="13">AVERAGE(J13:J15)</f>
        <v>0.35126458983735592</v>
      </c>
      <c r="K16" s="7">
        <f t="shared" ref="K16" si="14">AVERAGE(K13:K15)</f>
        <v>0.93642692924543403</v>
      </c>
      <c r="L16" s="7">
        <f t="shared" ref="L16" si="15">AVERAGE(L13:L15)</f>
        <v>-1.9862870881181554</v>
      </c>
      <c r="O16" s="5"/>
      <c r="P16" s="21"/>
      <c r="Q16" s="21"/>
      <c r="R16" s="21"/>
      <c r="S16" s="21"/>
      <c r="T16" s="21"/>
    </row>
    <row r="17" spans="2:20" x14ac:dyDescent="0.3">
      <c r="B17" s="12" t="s">
        <v>8</v>
      </c>
      <c r="C17">
        <f>STDEV(C13:C15)</f>
        <v>0</v>
      </c>
      <c r="D17" s="7">
        <f>STDEV(D13:D15)</f>
        <v>0.248159453497833</v>
      </c>
      <c r="E17" s="7">
        <f t="shared" ref="E17" si="16">STDEV(E13:E15)</f>
        <v>0.42447570079651348</v>
      </c>
      <c r="F17" s="7">
        <f>STDEV(F13:F15)</f>
        <v>9.4979739963395982E-2</v>
      </c>
      <c r="H17" s="12" t="s">
        <v>8</v>
      </c>
      <c r="I17">
        <f>STDEV(I13:I15)</f>
        <v>0</v>
      </c>
      <c r="J17" s="7">
        <f t="shared" ref="J17:L17" si="17">STDEV(J13:J15)</f>
        <v>0.26924711976316668</v>
      </c>
      <c r="K17" s="7">
        <f t="shared" si="17"/>
        <v>0.30221963075262592</v>
      </c>
      <c r="L17" s="7">
        <f t="shared" si="17"/>
        <v>0.48649159677130838</v>
      </c>
      <c r="O17" s="5"/>
      <c r="P17" s="21"/>
      <c r="Q17" s="21"/>
      <c r="R17" s="21"/>
      <c r="S17" s="21"/>
      <c r="T17" s="21"/>
    </row>
    <row r="20" spans="2:20" x14ac:dyDescent="0.3">
      <c r="B20" s="1"/>
      <c r="C20" s="31" t="s">
        <v>11</v>
      </c>
      <c r="D20" s="31"/>
      <c r="E20" s="31"/>
      <c r="F20" s="31"/>
      <c r="H20" s="1"/>
      <c r="I20" s="31" t="s">
        <v>15</v>
      </c>
      <c r="J20" s="31"/>
      <c r="K20" s="31"/>
      <c r="L20" s="31"/>
    </row>
    <row r="21" spans="2:20" ht="15" x14ac:dyDescent="0.3">
      <c r="B21" s="2"/>
      <c r="C21" s="1" t="s">
        <v>2</v>
      </c>
      <c r="D21" s="3" t="s">
        <v>3</v>
      </c>
      <c r="E21" s="3" t="s">
        <v>4</v>
      </c>
      <c r="F21" s="3" t="s">
        <v>22</v>
      </c>
      <c r="H21" s="2"/>
      <c r="I21" s="1" t="s">
        <v>2</v>
      </c>
      <c r="J21" s="3" t="s">
        <v>3</v>
      </c>
      <c r="K21" s="3" t="s">
        <v>4</v>
      </c>
      <c r="L21" s="3" t="s">
        <v>22</v>
      </c>
    </row>
    <row r="22" spans="2:20" x14ac:dyDescent="0.3">
      <c r="B22" s="4" t="s">
        <v>20</v>
      </c>
      <c r="C22" s="5">
        <v>1</v>
      </c>
      <c r="D22" s="6">
        <v>2.1213631018997501</v>
      </c>
      <c r="E22" s="6">
        <v>1.96952136195675</v>
      </c>
      <c r="F22" s="6">
        <v>1.2477779422166799</v>
      </c>
      <c r="H22" s="4" t="s">
        <v>20</v>
      </c>
      <c r="I22" s="5">
        <f>LOG(C22,2)</f>
        <v>0</v>
      </c>
      <c r="J22" s="6">
        <f t="shared" ref="J22:L26" si="18">LOG(D22,2)</f>
        <v>1.084991580074365</v>
      </c>
      <c r="K22" s="6">
        <f t="shared" si="18"/>
        <v>0.97784506489403877</v>
      </c>
      <c r="L22" s="6">
        <f t="shared" si="18"/>
        <v>0.31936121130970457</v>
      </c>
    </row>
    <row r="23" spans="2:20" x14ac:dyDescent="0.3">
      <c r="B23" s="9"/>
      <c r="C23" s="5">
        <v>1</v>
      </c>
      <c r="D23" s="6">
        <v>1.3147042594893801</v>
      </c>
      <c r="E23" s="6">
        <v>2.1593814795211501</v>
      </c>
      <c r="F23" s="6">
        <v>0.81296581813051605</v>
      </c>
      <c r="H23" s="9"/>
      <c r="I23" s="5">
        <f t="shared" ref="I23:I24" si="19">LOG(C23,2)</f>
        <v>0</v>
      </c>
      <c r="J23" s="6">
        <f t="shared" si="18"/>
        <v>0.39473830419205169</v>
      </c>
      <c r="K23" s="6">
        <f t="shared" si="18"/>
        <v>1.1106181345123025</v>
      </c>
      <c r="L23" s="6">
        <f t="shared" si="18"/>
        <v>-0.29873340070551446</v>
      </c>
    </row>
    <row r="24" spans="2:20" x14ac:dyDescent="0.3">
      <c r="B24" s="9"/>
      <c r="C24" s="5">
        <v>1</v>
      </c>
      <c r="D24" s="6">
        <v>2.0129117754541199</v>
      </c>
      <c r="E24" s="6">
        <v>1.51613960873232</v>
      </c>
      <c r="F24" s="6">
        <v>0.62055871749841196</v>
      </c>
      <c r="H24" s="9"/>
      <c r="I24" s="5">
        <f t="shared" si="19"/>
        <v>0</v>
      </c>
      <c r="J24" s="6">
        <f t="shared" si="18"/>
        <v>1.0092839413083798</v>
      </c>
      <c r="K24" s="6">
        <f t="shared" si="18"/>
        <v>0.60040260545641844</v>
      </c>
      <c r="L24" s="6">
        <f t="shared" si="18"/>
        <v>-0.68836036972765036</v>
      </c>
    </row>
    <row r="25" spans="2:20" x14ac:dyDescent="0.3">
      <c r="B25" s="12" t="s">
        <v>7</v>
      </c>
      <c r="C25" s="18">
        <f>AVERAGE(C22:C24)</f>
        <v>1</v>
      </c>
      <c r="D25" s="6">
        <f>AVERAGE(D22:D24)</f>
        <v>1.81632637894775</v>
      </c>
      <c r="E25" s="6">
        <f t="shared" ref="E25" si="20">AVERAGE(E22:E24)</f>
        <v>1.8816808167367398</v>
      </c>
      <c r="F25" s="6">
        <f>AVERAGE(F22:F24)</f>
        <v>0.89376749261520272</v>
      </c>
      <c r="H25" s="12" t="s">
        <v>7</v>
      </c>
      <c r="I25" s="18">
        <f>AVERAGE(I22:I24)</f>
        <v>0</v>
      </c>
      <c r="J25" s="6">
        <f t="shared" ref="J25" si="21">AVERAGE(J22:J24)</f>
        <v>0.829671275191599</v>
      </c>
      <c r="K25" s="6">
        <f t="shared" ref="K25" si="22">AVERAGE(K22:K24)</f>
        <v>0.89628860162091983</v>
      </c>
      <c r="L25" s="6">
        <f t="shared" si="18"/>
        <v>-0.16202852173163934</v>
      </c>
    </row>
    <row r="26" spans="2:20" x14ac:dyDescent="0.3">
      <c r="B26" s="12" t="s">
        <v>8</v>
      </c>
      <c r="C26" s="19">
        <f>STDEV(C22:C24)</f>
        <v>0</v>
      </c>
      <c r="D26" s="20">
        <f>STDEV(D22:D24)</f>
        <v>0.43778874540054663</v>
      </c>
      <c r="E26" s="20">
        <f t="shared" ref="E26" si="23">STDEV(E22:E24)</f>
        <v>0.33049507881720624</v>
      </c>
      <c r="F26" s="20">
        <f>STDEV(F22:F24)</f>
        <v>0.32132175761017678</v>
      </c>
      <c r="H26" s="12" t="s">
        <v>8</v>
      </c>
      <c r="I26" s="19">
        <f>STDEV(I22:I24)</f>
        <v>0</v>
      </c>
      <c r="J26" s="20">
        <f t="shared" ref="J26:K26" si="24">STDEV(J22:J24)</f>
        <v>0.37856033678761108</v>
      </c>
      <c r="K26" s="20">
        <f t="shared" si="24"/>
        <v>0.26470467326562092</v>
      </c>
      <c r="L26" s="6">
        <f t="shared" si="18"/>
        <v>-1.637909421785662</v>
      </c>
    </row>
  </sheetData>
  <mergeCells count="6">
    <mergeCell ref="C20:F20"/>
    <mergeCell ref="I20:L20"/>
    <mergeCell ref="C11:F11"/>
    <mergeCell ref="I11:L11"/>
    <mergeCell ref="C2:F2"/>
    <mergeCell ref="I2:L2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LLM1</vt:lpstr>
      <vt:lpstr>AML1</vt:lpstr>
      <vt:lpstr>NML1</vt:lpstr>
      <vt:lpstr>Thesis</vt:lpstr>
      <vt:lpstr>MET1</vt:lpstr>
      <vt:lpstr>CTZ1</vt:lpstr>
      <vt:lpstr>YAL1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2025-08-05T19:55:11Z</dcterms:created>
  <dcterms:modified xsi:type="dcterms:W3CDTF">2025-08-15T23:20:12Z</dcterms:modified>
</cp:coreProperties>
</file>