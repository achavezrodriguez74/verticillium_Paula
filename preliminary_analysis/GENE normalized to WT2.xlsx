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CI\Project_10 (random)\supervisions\Pere\doctorado\"/>
    </mc:Choice>
  </mc:AlternateContent>
  <xr:revisionPtr revIDLastSave="0" documentId="13_ncr:1_{8CF52B28-3919-4B03-8AEA-C3EED4A0FDDF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0" sheetId="1" r:id="rId1"/>
    <sheet name="Sheet1" sheetId="3" r:id="rId2"/>
    <sheet name="Hoja1" sheetId="4" r:id="rId3"/>
    <sheet name="Run Information" sheetId="2" r:id="rId4"/>
  </sheets>
  <calcPr calcId="191029" iterateCount="1"/>
</workbook>
</file>

<file path=xl/calcChain.xml><?xml version="1.0" encoding="utf-8"?>
<calcChain xmlns="http://schemas.openxmlformats.org/spreadsheetml/2006/main">
  <c r="H15" i="3" l="1"/>
  <c r="H14" i="3"/>
  <c r="H13" i="3"/>
  <c r="H12" i="3"/>
  <c r="H11" i="3"/>
  <c r="H10" i="3"/>
  <c r="H9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<sst xmlns="http://schemas.openxmlformats.org/spreadsheetml/2006/main" count="221" uniqueCount="65">
  <si>
    <t>Target</t>
  </si>
  <si>
    <t>Sample</t>
  </si>
  <si>
    <t>Mean Cq</t>
  </si>
  <si>
    <t>Mean Efficiency Corrected Cq</t>
  </si>
  <si>
    <t>Normalized Expression</t>
  </si>
  <si>
    <t>Relative Normalized Expression</t>
  </si>
  <si>
    <t>Regulation</t>
  </si>
  <si>
    <t>Compared to Regulation Threshold</t>
  </si>
  <si>
    <t>P-Value</t>
  </si>
  <si>
    <t>Exceeds P-Value Threshold</t>
  </si>
  <si>
    <t>A</t>
  </si>
  <si>
    <t>dVEL2-1</t>
  </si>
  <si>
    <t>No change</t>
  </si>
  <si>
    <t>No</t>
  </si>
  <si>
    <t>dVEL2-2</t>
  </si>
  <si>
    <t>WT-1</t>
  </si>
  <si>
    <t>Yes</t>
  </si>
  <si>
    <t>WT-2</t>
  </si>
  <si>
    <t>B</t>
  </si>
  <si>
    <t>Up regulated</t>
  </si>
  <si>
    <t>C</t>
  </si>
  <si>
    <t>D</t>
  </si>
  <si>
    <t>E</t>
  </si>
  <si>
    <t>EIFB2</t>
  </si>
  <si>
    <t>F</t>
  </si>
  <si>
    <t>H2A</t>
  </si>
  <si>
    <t>File Name</t>
  </si>
  <si>
    <t>APC_2022-11-28 16-59-36_VEL2 first plate liquid pdm.pcrd</t>
  </si>
  <si>
    <t>Created By User</t>
  </si>
  <si>
    <t>Jessica</t>
  </si>
  <si>
    <t>Notes</t>
  </si>
  <si>
    <t>ID</t>
  </si>
  <si>
    <t>Run Started</t>
  </si>
  <si>
    <t>11/28/2022 18:07:38 UTC</t>
  </si>
  <si>
    <t>Run Ended</t>
  </si>
  <si>
    <t>11/28/2022 19:39:01 UTC</t>
  </si>
  <si>
    <t>Sample Vol</t>
  </si>
  <si>
    <t>Lid Temp</t>
  </si>
  <si>
    <t>Protocol File Name</t>
  </si>
  <si>
    <t>Standard.prcl</t>
  </si>
  <si>
    <t>Plate Setup File Name</t>
  </si>
  <si>
    <t>Quick Plate_96 wells_SYBR Only.pltd</t>
  </si>
  <si>
    <t>Base Serial Number</t>
  </si>
  <si>
    <t>BR002625</t>
  </si>
  <si>
    <t>Optical Head Serial Number</t>
  </si>
  <si>
    <t>788BR02573</t>
  </si>
  <si>
    <t>CFX Manager Version</t>
  </si>
  <si>
    <t xml:space="preserve">3.1.1517.0823. </t>
  </si>
  <si>
    <t>dVEL2-3</t>
  </si>
  <si>
    <t>WT-3</t>
  </si>
  <si>
    <t>WT</t>
  </si>
  <si>
    <t>dVEL2</t>
  </si>
  <si>
    <t>Chr1g15480</t>
  </si>
  <si>
    <t>Chr4g08340</t>
  </si>
  <si>
    <t>Chr4g09760</t>
  </si>
  <si>
    <t>p=0.01456</t>
  </si>
  <si>
    <t>p=0.02605</t>
  </si>
  <si>
    <t>p=0.14822</t>
  </si>
  <si>
    <t>p=0.0045</t>
  </si>
  <si>
    <t>p=0.45954</t>
  </si>
  <si>
    <t>p=0.08601</t>
  </si>
  <si>
    <t>Chr1g17500</t>
  </si>
  <si>
    <t xml:space="preserve">Chr1g11910 </t>
  </si>
  <si>
    <t>Chr2g09080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</si>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</sst>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;\-###0.00"/>
    <numFmt numFmtId="165" formatCode="###0.00000;\-###0.00000"/>
    <numFmt numFmtId="166" formatCode="###0.000000;\-###0.000000"/>
    <numFmt numFmtId="167" formatCode="###0;\-###0"/>
  </numFmts>
  <fonts count="23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family val="2"/>
    </font>
    <font>
      <b/>
      <sz val="8.25"/>
      <name val="Microsoft Sans Serif"/>
      <family val="2"/>
    </font>
    <font>
      <b/>
      <sz val="10"/>
      <name val="Calibri"/>
      <family val="2"/>
    </font>
    <font>
      <sz val="12"/>
      <color rgb="FF0000EE"/>
      <name val="Verdana"/>
      <family val="2"/>
    </font>
    <font>
      <sz val="8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5">
    <xf numFmtId="0" fontId="1" fillId="0" borderId="0" xfId="0" applyFont="1">
      <alignment vertical="top"/>
      <protection locked="0"/>
    </xf>
    <xf numFmtId="0" fontId="2" fillId="0" borderId="0" xfId="0" applyFont="1" applyAlignment="1" applyProtection="1">
      <alignment vertical="center"/>
    </xf>
    <xf numFmtId="0" fontId="3" fillId="2" borderId="0" xfId="0" applyFont="1" applyFill="1" applyAlignment="1">
      <alignment horizontal="center" vertical="center"/>
      <protection locked="0"/>
    </xf>
    <xf numFmtId="0" fontId="4" fillId="2" borderId="0" xfId="0" applyFont="1" applyFill="1" applyAlignment="1">
      <alignment horizontal="center" vertical="center" wrapText="1"/>
      <protection locked="0"/>
    </xf>
    <xf numFmtId="0" fontId="5" fillId="3" borderId="0" xfId="0" applyFont="1" applyFill="1" applyAlignment="1">
      <alignment horizontal="center" vertical="center"/>
      <protection locked="0"/>
    </xf>
    <xf numFmtId="49" fontId="6" fillId="4" borderId="0" xfId="0" applyNumberFormat="1" applyFont="1" applyFill="1" applyAlignment="1">
      <alignment horizontal="center" vertical="center"/>
      <protection locked="0"/>
    </xf>
    <xf numFmtId="49" fontId="7" fillId="0" borderId="0" xfId="0" applyNumberFormat="1" applyFont="1" applyAlignment="1" applyProtection="1">
      <alignment vertical="center"/>
    </xf>
    <xf numFmtId="164" fontId="8" fillId="0" borderId="0" xfId="0" applyNumberFormat="1" applyFont="1" applyAlignment="1" applyProtection="1">
      <alignment vertical="center"/>
    </xf>
    <xf numFmtId="165" fontId="9" fillId="0" borderId="0" xfId="0" applyNumberFormat="1" applyFont="1" applyAlignment="1" applyProtection="1">
      <alignment vertical="center"/>
    </xf>
    <xf numFmtId="166" fontId="10" fillId="0" borderId="0" xfId="0" applyNumberFormat="1" applyFont="1" applyAlignment="1" applyProtection="1">
      <alignment vertical="center"/>
    </xf>
    <xf numFmtId="0" fontId="11" fillId="0" borderId="0" xfId="0" applyFont="1" applyAlignment="1" applyProtection="1">
      <alignment vertical="center"/>
    </xf>
    <xf numFmtId="49" fontId="12" fillId="0" borderId="0" xfId="0" applyNumberFormat="1" applyFont="1" applyAlignment="1" applyProtection="1">
      <alignment vertical="center"/>
    </xf>
    <xf numFmtId="164" fontId="13" fillId="0" borderId="0" xfId="0" applyNumberFormat="1" applyFont="1" applyAlignment="1" applyProtection="1">
      <alignment vertical="center"/>
    </xf>
    <xf numFmtId="165" fontId="14" fillId="0" borderId="0" xfId="0" applyNumberFormat="1" applyFont="1" applyAlignment="1" applyProtection="1">
      <alignment vertical="center"/>
    </xf>
    <xf numFmtId="166" fontId="15" fillId="0" borderId="0" xfId="0" applyNumberFormat="1" applyFont="1" applyAlignment="1" applyProtection="1">
      <alignment vertical="center"/>
    </xf>
    <xf numFmtId="49" fontId="16" fillId="0" borderId="0" xfId="0" applyNumberFormat="1" applyFont="1">
      <alignment vertical="top"/>
      <protection locked="0"/>
    </xf>
    <xf numFmtId="167" fontId="17" fillId="0" borderId="0" xfId="0" applyNumberFormat="1" applyFont="1" applyAlignment="1">
      <alignment horizontal="left" vertical="top"/>
      <protection locked="0"/>
    </xf>
    <xf numFmtId="49" fontId="18" fillId="0" borderId="0" xfId="0" applyNumberFormat="1" applyFont="1" applyAlignment="1" applyProtection="1">
      <alignment vertical="center"/>
    </xf>
    <xf numFmtId="165" fontId="18" fillId="0" borderId="0" xfId="0" applyNumberFormat="1" applyFont="1" applyAlignment="1" applyProtection="1">
      <alignment vertical="center"/>
    </xf>
    <xf numFmtId="164" fontId="18" fillId="0" borderId="0" xfId="0" applyNumberFormat="1" applyFont="1" applyAlignment="1" applyProtection="1">
      <alignment vertical="center"/>
    </xf>
    <xf numFmtId="165" fontId="0" fillId="0" borderId="0" xfId="0" applyNumberFormat="1" applyAlignment="1" applyProtection="1">
      <alignment vertical="center"/>
    </xf>
    <xf numFmtId="164" fontId="0" fillId="0" borderId="0" xfId="0" applyNumberFormat="1" applyAlignment="1" applyProtection="1">
      <alignment vertical="center"/>
    </xf>
    <xf numFmtId="165" fontId="0" fillId="0" borderId="0" xfId="0" applyNumberFormat="1" applyAlignment="1" applyProtection="1">
      <alignment horizontal="center" vertical="center"/>
    </xf>
    <xf numFmtId="164" fontId="0" fillId="0" borderId="0" xfId="0" applyNumberFormat="1" applyAlignment="1" applyProtection="1">
      <alignment horizontal="center" vertical="center"/>
    </xf>
    <xf numFmtId="0" fontId="4" fillId="5" borderId="0" xfId="0" applyFont="1" applyFill="1" applyAlignment="1">
      <alignment horizontal="center" vertical="center" wrapText="1"/>
      <protection locked="0"/>
    </xf>
    <xf numFmtId="0" fontId="18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vertical="center"/>
    </xf>
    <xf numFmtId="0" fontId="1" fillId="0" borderId="0" xfId="0" applyFont="1" applyAlignment="1">
      <alignment horizontal="center" vertical="top"/>
      <protection locked="0"/>
    </xf>
    <xf numFmtId="0" fontId="19" fillId="0" borderId="0" xfId="0" applyFont="1" applyAlignment="1">
      <alignment horizontal="center" vertical="top"/>
      <protection locked="0"/>
    </xf>
    <xf numFmtId="0" fontId="20" fillId="0" borderId="0" xfId="0" applyFont="1" applyAlignment="1">
      <alignment vertical="center"/>
      <protection locked="0"/>
    </xf>
    <xf numFmtId="0" fontId="21" fillId="0" borderId="0" xfId="0" applyFont="1">
      <alignment vertical="top"/>
      <protection locked="0"/>
    </xf>
    <xf numFmtId="0" fontId="18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49" fontId="18" fillId="0" borderId="0" xfId="0" applyNumberFormat="1" applyFont="1" applyAlignment="1" applyProtection="1">
      <alignment horizontal="center" vertical="center"/>
    </xf>
    <xf numFmtId="0" fontId="18" fillId="0" borderId="0" xfId="0" applyFont="1" applyAlignment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(Sheet1!$F$4,Sheet1!$F$6,Sheet1!$F$8,Sheet1!$F$10,Sheet1!$F$12,Sheet1!$F$14)</c15:sqref>
                  </c15:fullRef>
                </c:ext>
              </c:extLst>
              <c:f>(Sheet1!$F$4,Sheet1!$F$6,Sheet1!$F$8)</c:f>
              <c:strCache>
                <c:ptCount val="3"/>
                <c:pt idx="0">
                  <c:v>Chr1g15480</c:v>
                </c:pt>
                <c:pt idx="1">
                  <c:v>Chr4g08340</c:v>
                </c:pt>
                <c:pt idx="2">
                  <c:v>Chr4g09760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(Sheet1!$G$4,Sheet1!$G$6,Sheet1!$G$8,Sheet1!$G$10,Sheet1!$G$12,Sheet1!$G$14)</c15:sqref>
                  </c15:fullRef>
                </c:ext>
              </c:extLst>
              <c:f>(Sheet1!$G$4,Sheet1!$G$6,Sheet1!$G$8)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7-44D1-B7FE-16260CA4AB45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dVEL2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(Sheet1!$H$5,Sheet1!$H$7,Sheet1!$H$9,Sheet1!$H$11,Sheet1!$H$13,Sheet1!$H$15)</c15:sqref>
                    </c15:fullRef>
                  </c:ext>
                </c:extLst>
                <c:f>(Sheet1!$H$5,Sheet1!$H$7,Sheet1!$H$9)</c:f>
                <c:numCache>
                  <c:formatCode>General</c:formatCode>
                  <c:ptCount val="3"/>
                  <c:pt idx="0">
                    <c:v>0.36882654582193247</c:v>
                  </c:pt>
                  <c:pt idx="1">
                    <c:v>0.70874364963563996</c:v>
                  </c:pt>
                  <c:pt idx="2">
                    <c:v>0.67301876897347512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(Sheet1!$H$5,Sheet1!$H$7,Sheet1!$H$9,Sheet1!$H$11,Sheet1!$H$13,Sheet1!$H$15)</c15:sqref>
                    </c15:fullRef>
                  </c:ext>
                </c:extLst>
                <c:f>(Sheet1!$H$5,Sheet1!$H$7,Sheet1!$H$9)</c:f>
                <c:numCache>
                  <c:formatCode>General</c:formatCode>
                  <c:ptCount val="3"/>
                  <c:pt idx="0">
                    <c:v>0.36882654582193247</c:v>
                  </c:pt>
                  <c:pt idx="1">
                    <c:v>0.70874364963563996</c:v>
                  </c:pt>
                  <c:pt idx="2">
                    <c:v>0.67301876897347512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(Sheet1!$F$4,Sheet1!$F$6,Sheet1!$F$8,Sheet1!$F$10,Sheet1!$F$12,Sheet1!$F$14)</c15:sqref>
                  </c15:fullRef>
                </c:ext>
              </c:extLst>
              <c:f>(Sheet1!$F$4,Sheet1!$F$6,Sheet1!$F$8)</c:f>
              <c:strCache>
                <c:ptCount val="3"/>
                <c:pt idx="0">
                  <c:v>Chr1g15480</c:v>
                </c:pt>
                <c:pt idx="1">
                  <c:v>Chr4g08340</c:v>
                </c:pt>
                <c:pt idx="2">
                  <c:v>Chr4g09760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(Sheet1!$H$4,Sheet1!$H$6,Sheet1!$H$8,Sheet1!$H$10,Sheet1!$H$12,Sheet1!$H$14)</c15:sqref>
                  </c15:fullRef>
                </c:ext>
              </c:extLst>
              <c:f>(Sheet1!$H$4,Sheet1!$H$6,Sheet1!$H$8)</c:f>
              <c:numCache>
                <c:formatCode>General</c:formatCode>
                <c:ptCount val="3"/>
                <c:pt idx="0">
                  <c:v>3.1375046206421264</c:v>
                </c:pt>
                <c:pt idx="1">
                  <c:v>4.0441959219101768</c:v>
                </c:pt>
                <c:pt idx="2">
                  <c:v>2.0942354182711966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47-44D1-B7FE-16260CA4A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278928"/>
        <c:axId val="1759276016"/>
      </c:barChart>
      <c:catAx>
        <c:axId val="175927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759276016"/>
        <c:crosses val="autoZero"/>
        <c:auto val="1"/>
        <c:lblAlgn val="ctr"/>
        <c:lblOffset val="100"/>
        <c:noMultiLvlLbl val="0"/>
      </c:catAx>
      <c:valAx>
        <c:axId val="17592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400">
                    <a:latin typeface="Arial" panose="020B0604020202020204" pitchFamily="34" charset="0"/>
                    <a:cs typeface="Arial" panose="020B0604020202020204" pitchFamily="34" charset="0"/>
                  </a:rPr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8.3073727933541015E-3"/>
              <c:y val="7.053289842727442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927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(Sheet1!$F$4,Sheet1!$F$6,Sheet1!$F$8,Sheet1!$F$10,Sheet1!$F$12,Sheet1!$F$14)</c:f>
              <c:strCache>
                <c:ptCount val="6"/>
                <c:pt idx="0">
                  <c:v>Chr1g15480</c:v>
                </c:pt>
                <c:pt idx="1">
                  <c:v>Chr4g08340</c:v>
                </c:pt>
                <c:pt idx="2">
                  <c:v>Chr4g09760</c:v>
                </c:pt>
                <c:pt idx="3">
                  <c:v>Chr1g17500</c:v>
                </c:pt>
                <c:pt idx="4">
                  <c:v>Chr1g11910 </c:v>
                </c:pt>
                <c:pt idx="5">
                  <c:v>Chr2g09080</c:v>
                </c:pt>
              </c:strCache>
            </c:strRef>
          </c:cat>
          <c:val>
            <c:numRef>
              <c:f>(Sheet1!$G$4,Sheet1!$G$6,Sheet1!$G$8,Sheet1!$G$10,Sheet1!$G$12,Sheet1!$G$14)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0-4A7D-9E83-DF1F2B8D151C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dVEL2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(Sheet1!$H$5,Sheet1!$H$7,Sheet1!$H$9,Sheet1!$H$11,Sheet1!$H$13,Sheet1!$H$15)</c:f>
                <c:numCache>
                  <c:formatCode>General</c:formatCode>
                  <c:ptCount val="6"/>
                  <c:pt idx="0">
                    <c:v>0.36882654582193247</c:v>
                  </c:pt>
                  <c:pt idx="1">
                    <c:v>0.70874364963563996</c:v>
                  </c:pt>
                  <c:pt idx="2">
                    <c:v>0.67301876897347512</c:v>
                  </c:pt>
                  <c:pt idx="3">
                    <c:v>0.43736054491504589</c:v>
                  </c:pt>
                  <c:pt idx="4">
                    <c:v>0.19261597804250266</c:v>
                  </c:pt>
                  <c:pt idx="5">
                    <c:v>0.17897710541855277</c:v>
                  </c:pt>
                </c:numCache>
              </c:numRef>
            </c:plus>
            <c:minus>
              <c:numRef>
                <c:f>(Sheet1!$H$5,Sheet1!$H$7,Sheet1!$H$9,Sheet1!$H$11,Sheet1!$H$13,Sheet1!$H$15)</c:f>
                <c:numCache>
                  <c:formatCode>General</c:formatCode>
                  <c:ptCount val="6"/>
                  <c:pt idx="0">
                    <c:v>0.36882654582193247</c:v>
                  </c:pt>
                  <c:pt idx="1">
                    <c:v>0.70874364963563996</c:v>
                  </c:pt>
                  <c:pt idx="2">
                    <c:v>0.67301876897347512</c:v>
                  </c:pt>
                  <c:pt idx="3">
                    <c:v>0.43736054491504589</c:v>
                  </c:pt>
                  <c:pt idx="4">
                    <c:v>0.19261597804250266</c:v>
                  </c:pt>
                  <c:pt idx="5">
                    <c:v>0.17897710541855277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(Sheet1!$F$4,Sheet1!$F$6,Sheet1!$F$8,Sheet1!$F$10,Sheet1!$F$12,Sheet1!$F$14)</c:f>
              <c:strCache>
                <c:ptCount val="6"/>
                <c:pt idx="0">
                  <c:v>Chr1g15480</c:v>
                </c:pt>
                <c:pt idx="1">
                  <c:v>Chr4g08340</c:v>
                </c:pt>
                <c:pt idx="2">
                  <c:v>Chr4g09760</c:v>
                </c:pt>
                <c:pt idx="3">
                  <c:v>Chr1g17500</c:v>
                </c:pt>
                <c:pt idx="4">
                  <c:v>Chr1g11910 </c:v>
                </c:pt>
                <c:pt idx="5">
                  <c:v>Chr2g09080</c:v>
                </c:pt>
              </c:strCache>
            </c:strRef>
          </c:cat>
          <c:val>
            <c:numRef>
              <c:f>(Sheet1!$H$4,Sheet1!$H$6,Sheet1!$H$8,Sheet1!$H$10,Sheet1!$H$12,Sheet1!$H$14)</c:f>
              <c:numCache>
                <c:formatCode>General</c:formatCode>
                <c:ptCount val="6"/>
                <c:pt idx="0">
                  <c:v>3.1375046206421264</c:v>
                </c:pt>
                <c:pt idx="1">
                  <c:v>4.0441959219101768</c:v>
                </c:pt>
                <c:pt idx="2">
                  <c:v>2.0942354182711966</c:v>
                </c:pt>
                <c:pt idx="3">
                  <c:v>5.5923289338497169</c:v>
                </c:pt>
                <c:pt idx="4">
                  <c:v>0.78120297948574402</c:v>
                </c:pt>
                <c:pt idx="5">
                  <c:v>0.59681827558983358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0-4A7D-9E83-DF1F2B8D1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278928"/>
        <c:axId val="1759276016"/>
      </c:barChart>
      <c:catAx>
        <c:axId val="175927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9276016"/>
        <c:crosses val="autoZero"/>
        <c:auto val="1"/>
        <c:lblAlgn val="ctr"/>
        <c:lblOffset val="100"/>
        <c:noMultiLvlLbl val="0"/>
      </c:catAx>
      <c:valAx>
        <c:axId val="17592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927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(Sheet1!$F$4,Sheet1!$F$6,Sheet1!$F$8,Sheet1!$F$10,Sheet1!$F$12,Sheet1!$F$14)</c15:sqref>
                  </c15:fullRef>
                </c:ext>
              </c:extLst>
              <c:f>(Sheet1!$F$10,Sheet1!$F$12,Sheet1!$F$14)</c:f>
              <c:strCache>
                <c:ptCount val="3"/>
                <c:pt idx="0">
                  <c:v>Chr1g17500</c:v>
                </c:pt>
                <c:pt idx="1">
                  <c:v>Chr1g11910 </c:v>
                </c:pt>
                <c:pt idx="2">
                  <c:v>Chr2g09080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(Sheet1!$G$4,Sheet1!$G$6,Sheet1!$G$8,Sheet1!$G$10,Sheet1!$G$12,Sheet1!$G$14)</c15:sqref>
                  </c15:fullRef>
                </c:ext>
              </c:extLst>
              <c:f>(Sheet1!$G$10,Sheet1!$G$12,Sheet1!$G$14)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0-451A-A6DF-01A06DBE7612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dVEL2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(Sheet1!$H$5,Sheet1!$H$7,Sheet1!$H$9,Sheet1!$H$11,Sheet1!$H$13,Sheet1!$H$15)</c15:sqref>
                    </c15:fullRef>
                  </c:ext>
                </c:extLst>
                <c:f>(Sheet1!$H$11,Sheet1!$H$13,Sheet1!$H$15)</c:f>
                <c:numCache>
                  <c:formatCode>General</c:formatCode>
                  <c:ptCount val="3"/>
                  <c:pt idx="0">
                    <c:v>0.43736054491504589</c:v>
                  </c:pt>
                  <c:pt idx="1">
                    <c:v>0.19261597804250266</c:v>
                  </c:pt>
                  <c:pt idx="2">
                    <c:v>0.17897710541855277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(Sheet1!$H$5,Sheet1!$H$7,Sheet1!$H$9,Sheet1!$H$11,Sheet1!$H$13,Sheet1!$H$15)</c15:sqref>
                    </c15:fullRef>
                  </c:ext>
                </c:extLst>
                <c:f>(Sheet1!$H$11,Sheet1!$H$13,Sheet1!$H$15)</c:f>
                <c:numCache>
                  <c:formatCode>General</c:formatCode>
                  <c:ptCount val="3"/>
                  <c:pt idx="0">
                    <c:v>0.43736054491504589</c:v>
                  </c:pt>
                  <c:pt idx="1">
                    <c:v>0.19261597804250266</c:v>
                  </c:pt>
                  <c:pt idx="2">
                    <c:v>0.17897710541855277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(Sheet1!$F$4,Sheet1!$F$6,Sheet1!$F$8,Sheet1!$F$10,Sheet1!$F$12,Sheet1!$F$14)</c15:sqref>
                  </c15:fullRef>
                </c:ext>
              </c:extLst>
              <c:f>(Sheet1!$F$10,Sheet1!$F$12,Sheet1!$F$14)</c:f>
              <c:strCache>
                <c:ptCount val="3"/>
                <c:pt idx="0">
                  <c:v>Chr1g17500</c:v>
                </c:pt>
                <c:pt idx="1">
                  <c:v>Chr1g11910 </c:v>
                </c:pt>
                <c:pt idx="2">
                  <c:v>Chr2g09080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(Sheet1!$H$4,Sheet1!$H$6,Sheet1!$H$8,Sheet1!$H$10,Sheet1!$H$12,Sheet1!$H$14)</c15:sqref>
                  </c15:fullRef>
                </c:ext>
              </c:extLst>
              <c:f>(Sheet1!$H$10,Sheet1!$H$12,Sheet1!$H$14)</c:f>
              <c:numCache>
                <c:formatCode>General</c:formatCode>
                <c:ptCount val="3"/>
                <c:pt idx="0">
                  <c:v>5.5923289338497169</c:v>
                </c:pt>
                <c:pt idx="1">
                  <c:v>0.78120297948574402</c:v>
                </c:pt>
                <c:pt idx="2">
                  <c:v>0.59681827558983358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0-451A-A6DF-01A06DBE7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278928"/>
        <c:axId val="1759276016"/>
      </c:barChart>
      <c:catAx>
        <c:axId val="175927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9276016"/>
        <c:crosses val="autoZero"/>
        <c:auto val="1"/>
        <c:lblAlgn val="ctr"/>
        <c:lblOffset val="100"/>
        <c:noMultiLvlLbl val="0"/>
      </c:catAx>
      <c:valAx>
        <c:axId val="17592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927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</xdr:colOff>
      <xdr:row>0</xdr:row>
      <xdr:rowOff>137159</xdr:rowOff>
    </xdr:from>
    <xdr:to>
      <xdr:col>20</xdr:col>
      <xdr:colOff>259080</xdr:colOff>
      <xdr:row>17</xdr:row>
      <xdr:rowOff>51434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</xdr:colOff>
      <xdr:row>18</xdr:row>
      <xdr:rowOff>9525</xdr:rowOff>
    </xdr:from>
    <xdr:to>
      <xdr:col>20</xdr:col>
      <xdr:colOff>20955</xdr:colOff>
      <xdr:row>37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800100</xdr:colOff>
      <xdr:row>22</xdr:row>
      <xdr:rowOff>114299</xdr:rowOff>
    </xdr:from>
    <xdr:to>
      <xdr:col>9</xdr:col>
      <xdr:colOff>171450</xdr:colOff>
      <xdr:row>44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workbookViewId="0">
      <pane xSplit="1" ySplit="1" topLeftCell="B32" activePane="bottomRight" state="frozen"/>
      <selection activeCell="B2" sqref="A1:XFD1048576"/>
      <selection pane="topRight" activeCell="B2" sqref="A1:XFD1048576"/>
      <selection pane="bottomLeft" activeCell="B2" sqref="A1:XFD1048576"/>
      <selection pane="bottomRight" activeCell="I38" sqref="I38"/>
    </sheetView>
  </sheetViews>
  <sheetFormatPr baseColWidth="10" defaultColWidth="10" defaultRowHeight="15" customHeight="1" x14ac:dyDescent="0.2"/>
  <cols>
    <col min="1" max="1" width="1.5" style="4" customWidth="1"/>
    <col min="2" max="3" width="16.625" style="6" customWidth="1"/>
    <col min="4" max="5" width="13.375" style="7" customWidth="1"/>
    <col min="6" max="8" width="13.375" style="8" customWidth="1"/>
    <col min="9" max="9" width="16.625" style="6" customWidth="1"/>
    <col min="10" max="10" width="13.375" style="9" customWidth="1"/>
    <col min="11" max="11" width="13.375" style="6" customWidth="1"/>
    <col min="12" max="12" width="10" style="1" customWidth="1"/>
    <col min="13" max="16384" width="10" style="1"/>
  </cols>
  <sheetData>
    <row r="1" spans="1:11" s="2" customFormat="1" ht="45" customHeight="1" x14ac:dyDescent="0.2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4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ht="15" customHeight="1" x14ac:dyDescent="0.2">
      <c r="B2" s="11" t="s">
        <v>10</v>
      </c>
      <c r="C2" s="11" t="s">
        <v>11</v>
      </c>
      <c r="D2" s="12">
        <v>22.7921271216359</v>
      </c>
      <c r="E2" s="12">
        <v>22.7921271216359</v>
      </c>
      <c r="F2" s="13">
        <v>0.49119528795309902</v>
      </c>
      <c r="G2" s="13">
        <v>3.3921453197484301</v>
      </c>
      <c r="H2" s="13">
        <v>3.3921453197484301</v>
      </c>
      <c r="I2" s="11" t="s">
        <v>12</v>
      </c>
      <c r="J2" s="14">
        <v>1.29020147777714E-5</v>
      </c>
      <c r="K2" s="11" t="s">
        <v>13</v>
      </c>
    </row>
    <row r="3" spans="1:11" ht="15" customHeight="1" x14ac:dyDescent="0.2">
      <c r="B3" s="11" t="s">
        <v>10</v>
      </c>
      <c r="C3" s="11" t="s">
        <v>14</v>
      </c>
      <c r="D3" s="12">
        <v>22.932829465283898</v>
      </c>
      <c r="E3" s="12">
        <v>22.932829465283898</v>
      </c>
      <c r="F3" s="13">
        <v>0.52163280569737902</v>
      </c>
      <c r="G3" s="13">
        <v>3.6023437599477899</v>
      </c>
      <c r="H3" s="13">
        <v>3.6023437599477899</v>
      </c>
      <c r="I3" s="11" t="s">
        <v>12</v>
      </c>
      <c r="J3" s="14">
        <v>3.6069089335952799E-3</v>
      </c>
      <c r="K3" s="11" t="s">
        <v>13</v>
      </c>
    </row>
    <row r="4" spans="1:11" ht="15" customHeight="1" x14ac:dyDescent="0.2">
      <c r="B4" s="11" t="s">
        <v>10</v>
      </c>
      <c r="C4" s="11" t="s">
        <v>15</v>
      </c>
      <c r="D4" s="12">
        <v>24.476017029759799</v>
      </c>
      <c r="E4" s="12">
        <v>24.476017029759799</v>
      </c>
      <c r="F4" s="13">
        <v>0.181913184632984</v>
      </c>
      <c r="G4" s="13">
        <v>1.25627418052966</v>
      </c>
      <c r="H4" s="13">
        <v>1.25627418052966</v>
      </c>
      <c r="I4" s="11" t="s">
        <v>12</v>
      </c>
      <c r="J4" s="14">
        <v>5.55691401150031E-2</v>
      </c>
      <c r="K4" s="11" t="s">
        <v>16</v>
      </c>
    </row>
    <row r="5" spans="1:11" ht="15" customHeight="1" x14ac:dyDescent="0.2">
      <c r="B5" s="11" t="s">
        <v>10</v>
      </c>
      <c r="C5" s="11" t="s">
        <v>17</v>
      </c>
      <c r="D5" s="12">
        <v>24.583518921936999</v>
      </c>
      <c r="E5" s="12">
        <v>24.583518921936999</v>
      </c>
      <c r="F5" s="13">
        <v>0.144803727922107</v>
      </c>
      <c r="G5" s="13">
        <v>1</v>
      </c>
      <c r="H5" s="13">
        <v>1</v>
      </c>
      <c r="I5" s="11" t="s">
        <v>12</v>
      </c>
      <c r="J5" s="14"/>
      <c r="K5" s="11" t="s">
        <v>13</v>
      </c>
    </row>
    <row r="6" spans="1:11" ht="15" customHeight="1" x14ac:dyDescent="0.2">
      <c r="B6" s="11" t="s">
        <v>18</v>
      </c>
      <c r="C6" s="11" t="s">
        <v>11</v>
      </c>
      <c r="D6" s="12">
        <v>28.202965371744501</v>
      </c>
      <c r="E6" s="12">
        <v>28.202965371744501</v>
      </c>
      <c r="F6" s="13">
        <v>1.15459474622416E-2</v>
      </c>
      <c r="G6" s="13">
        <v>3.3295684371147298</v>
      </c>
      <c r="H6" s="13">
        <v>3.3295684371147298</v>
      </c>
      <c r="I6" s="11" t="s">
        <v>12</v>
      </c>
      <c r="J6" s="14">
        <v>7.7652253623006196E-4</v>
      </c>
      <c r="K6" s="11" t="s">
        <v>13</v>
      </c>
    </row>
    <row r="7" spans="1:11" ht="15" customHeight="1" x14ac:dyDescent="0.2">
      <c r="B7" s="11" t="s">
        <v>18</v>
      </c>
      <c r="C7" s="11" t="s">
        <v>14</v>
      </c>
      <c r="D7" s="12">
        <v>27.994898449696802</v>
      </c>
      <c r="E7" s="12">
        <v>27.994898449696802</v>
      </c>
      <c r="F7" s="13">
        <v>1.5614579461114201E-2</v>
      </c>
      <c r="G7" s="13">
        <v>4.5028622469110298</v>
      </c>
      <c r="H7" s="13">
        <v>4.5028622469110298</v>
      </c>
      <c r="I7" s="11" t="s">
        <v>19</v>
      </c>
      <c r="J7" s="14">
        <v>8.12457173108183E-4</v>
      </c>
      <c r="K7" s="11" t="s">
        <v>13</v>
      </c>
    </row>
    <row r="8" spans="1:11" ht="15" customHeight="1" x14ac:dyDescent="0.2">
      <c r="B8" s="11" t="s">
        <v>18</v>
      </c>
      <c r="C8" s="11" t="s">
        <v>15</v>
      </c>
      <c r="D8" s="12">
        <v>30.651257579993</v>
      </c>
      <c r="E8" s="12">
        <v>30.651257579993</v>
      </c>
      <c r="F8" s="13">
        <v>2.5172800895595401E-3</v>
      </c>
      <c r="G8" s="13">
        <v>0.72592191857657895</v>
      </c>
      <c r="H8" s="13">
        <v>-1.3775586249838601</v>
      </c>
      <c r="I8" s="11" t="s">
        <v>12</v>
      </c>
      <c r="J8" s="14">
        <v>0.257847607248408</v>
      </c>
      <c r="K8" s="11" t="s">
        <v>16</v>
      </c>
    </row>
    <row r="9" spans="1:11" ht="15" customHeight="1" x14ac:dyDescent="0.2">
      <c r="B9" s="11" t="s">
        <v>18</v>
      </c>
      <c r="C9" s="11" t="s">
        <v>17</v>
      </c>
      <c r="D9" s="12">
        <v>29.967494389780299</v>
      </c>
      <c r="E9" s="12">
        <v>29.967494389780299</v>
      </c>
      <c r="F9" s="13">
        <v>3.4677008988728999E-3</v>
      </c>
      <c r="G9" s="13">
        <v>1</v>
      </c>
      <c r="H9" s="13">
        <v>1</v>
      </c>
      <c r="I9" s="11" t="s">
        <v>12</v>
      </c>
      <c r="J9" s="14"/>
      <c r="K9" s="11" t="s">
        <v>13</v>
      </c>
    </row>
    <row r="10" spans="1:11" ht="15" customHeight="1" x14ac:dyDescent="0.2">
      <c r="B10" s="11" t="s">
        <v>20</v>
      </c>
      <c r="C10" s="11" t="s">
        <v>11</v>
      </c>
      <c r="D10" s="12">
        <v>25.075333816796299</v>
      </c>
      <c r="E10" s="12">
        <v>25.075333816796299</v>
      </c>
      <c r="F10" s="13">
        <v>0.100911460177767</v>
      </c>
      <c r="G10" s="13">
        <v>2.4997460831688199</v>
      </c>
      <c r="H10" s="13">
        <v>2.4997460831688199</v>
      </c>
      <c r="I10" s="11" t="s">
        <v>12</v>
      </c>
      <c r="J10" s="14">
        <v>9.9987751587604602E-4</v>
      </c>
      <c r="K10" s="11" t="s">
        <v>13</v>
      </c>
    </row>
    <row r="11" spans="1:11" ht="15" customHeight="1" x14ac:dyDescent="0.2">
      <c r="B11" s="11" t="s">
        <v>20</v>
      </c>
      <c r="C11" s="11" t="s">
        <v>14</v>
      </c>
      <c r="D11" s="12">
        <v>25.050182120508701</v>
      </c>
      <c r="E11" s="12">
        <v>25.050182120508701</v>
      </c>
      <c r="F11" s="13">
        <v>0.120220418626237</v>
      </c>
      <c r="G11" s="13">
        <v>2.9780613623908598</v>
      </c>
      <c r="H11" s="13">
        <v>2.9780613623908598</v>
      </c>
      <c r="I11" s="11" t="s">
        <v>12</v>
      </c>
      <c r="J11" s="14">
        <v>1.8574379478586401E-4</v>
      </c>
      <c r="K11" s="11" t="s">
        <v>13</v>
      </c>
    </row>
    <row r="12" spans="1:11" ht="15" customHeight="1" x14ac:dyDescent="0.2">
      <c r="B12" s="11" t="s">
        <v>20</v>
      </c>
      <c r="C12" s="11" t="s">
        <v>15</v>
      </c>
      <c r="D12" s="12">
        <v>25.755316372706499</v>
      </c>
      <c r="E12" s="12">
        <v>25.755316372706499</v>
      </c>
      <c r="F12" s="13">
        <v>7.4947422405678005E-2</v>
      </c>
      <c r="G12" s="13">
        <v>1.8565733294529201</v>
      </c>
      <c r="H12" s="13">
        <v>1.8565733294529201</v>
      </c>
      <c r="I12" s="11" t="s">
        <v>12</v>
      </c>
      <c r="J12" s="14">
        <v>1.5905874301948E-3</v>
      </c>
      <c r="K12" s="11" t="s">
        <v>13</v>
      </c>
    </row>
    <row r="13" spans="1:11" ht="15" customHeight="1" x14ac:dyDescent="0.2">
      <c r="B13" s="11" t="s">
        <v>20</v>
      </c>
      <c r="C13" s="11" t="s">
        <v>17</v>
      </c>
      <c r="D13" s="12">
        <v>26.426309198337901</v>
      </c>
      <c r="E13" s="12">
        <v>26.426309198337901</v>
      </c>
      <c r="F13" s="13">
        <v>4.0368684186453903E-2</v>
      </c>
      <c r="G13" s="13">
        <v>1</v>
      </c>
      <c r="H13" s="13">
        <v>1</v>
      </c>
      <c r="I13" s="11" t="s">
        <v>12</v>
      </c>
      <c r="J13" s="14"/>
      <c r="K13" s="11" t="s">
        <v>13</v>
      </c>
    </row>
    <row r="14" spans="1:11" ht="15" customHeight="1" x14ac:dyDescent="0.2">
      <c r="B14" s="11" t="s">
        <v>21</v>
      </c>
      <c r="C14" s="11" t="s">
        <v>11</v>
      </c>
      <c r="D14" s="12">
        <v>20.036547035137598</v>
      </c>
      <c r="E14" s="12">
        <v>20.036547035137598</v>
      </c>
      <c r="F14" s="13">
        <v>3.3171602570104599</v>
      </c>
      <c r="G14" s="13">
        <v>5.2669180210795901</v>
      </c>
      <c r="H14" s="13">
        <v>5.2669180210795901</v>
      </c>
      <c r="I14" s="11" t="s">
        <v>19</v>
      </c>
      <c r="J14" s="14">
        <v>1.4766751086562301E-3</v>
      </c>
      <c r="K14" s="11" t="s">
        <v>13</v>
      </c>
    </row>
    <row r="15" spans="1:11" ht="15" customHeight="1" x14ac:dyDescent="0.2">
      <c r="B15" s="11" t="s">
        <v>21</v>
      </c>
      <c r="C15" s="11" t="s">
        <v>14</v>
      </c>
      <c r="D15" s="12">
        <v>20.279810712849901</v>
      </c>
      <c r="E15" s="12">
        <v>20.279810712849901</v>
      </c>
      <c r="F15" s="13">
        <v>3.2809765023966202</v>
      </c>
      <c r="G15" s="13">
        <v>5.2094662085410599</v>
      </c>
      <c r="H15" s="13">
        <v>5.2094662085410599</v>
      </c>
      <c r="I15" s="11" t="s">
        <v>19</v>
      </c>
      <c r="J15" s="14">
        <v>2.8593587024783301E-6</v>
      </c>
      <c r="K15" s="11" t="s">
        <v>13</v>
      </c>
    </row>
    <row r="16" spans="1:11" ht="15" customHeight="1" x14ac:dyDescent="0.2">
      <c r="B16" s="6" t="s">
        <v>21</v>
      </c>
      <c r="C16" s="6" t="s">
        <v>15</v>
      </c>
      <c r="D16" s="7">
        <v>22.710446812268199</v>
      </c>
      <c r="E16" s="7">
        <v>22.710446812268199</v>
      </c>
      <c r="F16" s="8">
        <v>0.61852003493965002</v>
      </c>
      <c r="G16" s="8">
        <v>0.98207323916221101</v>
      </c>
      <c r="H16" s="8">
        <v>-1.0182539958558301</v>
      </c>
      <c r="I16" s="6" t="s">
        <v>12</v>
      </c>
      <c r="J16" s="9">
        <v>0.95516236681646405</v>
      </c>
      <c r="K16" s="6" t="s">
        <v>16</v>
      </c>
    </row>
    <row r="17" spans="2:11" ht="15" customHeight="1" x14ac:dyDescent="0.2">
      <c r="B17" s="11" t="s">
        <v>21</v>
      </c>
      <c r="C17" s="11" t="s">
        <v>17</v>
      </c>
      <c r="D17" s="12">
        <v>22.462699863353599</v>
      </c>
      <c r="E17" s="12">
        <v>22.462699863353599</v>
      </c>
      <c r="F17" s="13">
        <v>0.62981049709418602</v>
      </c>
      <c r="G17" s="13">
        <v>1</v>
      </c>
      <c r="H17" s="13">
        <v>1</v>
      </c>
      <c r="I17" s="11" t="s">
        <v>12</v>
      </c>
      <c r="J17" s="14"/>
      <c r="K17" s="11" t="s">
        <v>13</v>
      </c>
    </row>
    <row r="18" spans="2:11" ht="15" customHeight="1" x14ac:dyDescent="0.2">
      <c r="B18" s="6" t="s">
        <v>22</v>
      </c>
      <c r="C18" s="6" t="s">
        <v>11</v>
      </c>
      <c r="D18" s="7">
        <v>23.978292787281699</v>
      </c>
      <c r="E18" s="7">
        <v>23.978292787281699</v>
      </c>
      <c r="F18" s="8">
        <v>0.21586525574575899</v>
      </c>
      <c r="G18" s="8">
        <v>0.83870650318995998</v>
      </c>
      <c r="H18" s="8">
        <v>-1.19231220480176</v>
      </c>
      <c r="I18" s="6" t="s">
        <v>12</v>
      </c>
      <c r="J18" s="9">
        <v>0.16354827062396801</v>
      </c>
      <c r="K18" s="6" t="s">
        <v>16</v>
      </c>
    </row>
    <row r="19" spans="2:11" ht="15" customHeight="1" x14ac:dyDescent="0.2">
      <c r="B19" s="6" t="s">
        <v>22</v>
      </c>
      <c r="C19" s="6" t="s">
        <v>14</v>
      </c>
      <c r="D19" s="7">
        <v>23.990245470464998</v>
      </c>
      <c r="E19" s="7">
        <v>23.990245470464998</v>
      </c>
      <c r="F19" s="8">
        <v>0.25064033427351601</v>
      </c>
      <c r="G19" s="8">
        <v>0.97381895752824699</v>
      </c>
      <c r="H19" s="8">
        <v>-1.0268849176424</v>
      </c>
      <c r="I19" s="6" t="s">
        <v>12</v>
      </c>
      <c r="J19" s="9">
        <v>0.82985228007323097</v>
      </c>
      <c r="K19" s="6" t="s">
        <v>16</v>
      </c>
    </row>
    <row r="20" spans="2:11" ht="15" customHeight="1" x14ac:dyDescent="0.2">
      <c r="B20" s="6" t="s">
        <v>22</v>
      </c>
      <c r="C20" s="6" t="s">
        <v>15</v>
      </c>
      <c r="D20" s="7">
        <v>23.464463671075698</v>
      </c>
      <c r="E20" s="7">
        <v>23.464463671075698</v>
      </c>
      <c r="F20" s="8">
        <v>0.3667516530546</v>
      </c>
      <c r="G20" s="8">
        <v>1.42494907487494</v>
      </c>
      <c r="H20" s="8">
        <v>1.42494907487494</v>
      </c>
      <c r="I20" s="6" t="s">
        <v>12</v>
      </c>
      <c r="J20" s="9">
        <v>4.62147461999632E-2</v>
      </c>
      <c r="K20" s="6" t="s">
        <v>16</v>
      </c>
    </row>
    <row r="21" spans="2:11" ht="15" customHeight="1" x14ac:dyDescent="0.2">
      <c r="B21" s="6" t="s">
        <v>22</v>
      </c>
      <c r="C21" s="6" t="s">
        <v>17</v>
      </c>
      <c r="D21" s="7">
        <v>23.753724558835302</v>
      </c>
      <c r="E21" s="7">
        <v>23.753724558835302</v>
      </c>
      <c r="F21" s="8">
        <v>0.25737877901832301</v>
      </c>
      <c r="G21" s="8">
        <v>1</v>
      </c>
      <c r="H21" s="8">
        <v>1</v>
      </c>
      <c r="I21" s="6" t="s">
        <v>12</v>
      </c>
      <c r="K21" s="6" t="s">
        <v>13</v>
      </c>
    </row>
    <row r="22" spans="2:11" ht="15" customHeight="1" x14ac:dyDescent="0.2">
      <c r="B22" s="6" t="s">
        <v>23</v>
      </c>
      <c r="C22" s="6" t="s">
        <v>11</v>
      </c>
      <c r="D22" s="7">
        <v>21.907689668439701</v>
      </c>
      <c r="E22" s="7">
        <v>21.907689668439701</v>
      </c>
      <c r="I22" s="6" t="s">
        <v>12</v>
      </c>
      <c r="J22" s="9">
        <v>0.95826047108768697</v>
      </c>
      <c r="K22" s="6" t="s">
        <v>16</v>
      </c>
    </row>
    <row r="23" spans="2:11" ht="15" customHeight="1" x14ac:dyDescent="0.2">
      <c r="B23" s="6" t="s">
        <v>23</v>
      </c>
      <c r="C23" s="6" t="s">
        <v>14</v>
      </c>
      <c r="D23" s="7">
        <v>22.092161560857299</v>
      </c>
      <c r="E23" s="7">
        <v>22.092161560857299</v>
      </c>
      <c r="I23" s="6" t="s">
        <v>12</v>
      </c>
      <c r="J23" s="9">
        <v>0.91834866933675396</v>
      </c>
      <c r="K23" s="6" t="s">
        <v>16</v>
      </c>
    </row>
    <row r="24" spans="2:11" ht="15" customHeight="1" x14ac:dyDescent="0.2">
      <c r="B24" s="6" t="s">
        <v>23</v>
      </c>
      <c r="C24" s="6" t="s">
        <v>15</v>
      </c>
      <c r="D24" s="7">
        <v>22.1358037982945</v>
      </c>
      <c r="E24" s="7">
        <v>22.1358037982945</v>
      </c>
      <c r="I24" s="6" t="s">
        <v>12</v>
      </c>
      <c r="J24" s="9">
        <v>0.96662767809171501</v>
      </c>
      <c r="K24" s="6" t="s">
        <v>16</v>
      </c>
    </row>
    <row r="25" spans="2:11" ht="15" customHeight="1" x14ac:dyDescent="0.2">
      <c r="B25" s="6" t="s">
        <v>23</v>
      </c>
      <c r="C25" s="6" t="s">
        <v>17</v>
      </c>
      <c r="D25" s="7">
        <v>21.968610723409601</v>
      </c>
      <c r="E25" s="7">
        <v>21.968610723409601</v>
      </c>
      <c r="I25" s="6" t="s">
        <v>12</v>
      </c>
      <c r="K25" s="6" t="s">
        <v>13</v>
      </c>
    </row>
    <row r="26" spans="2:11" ht="15" customHeight="1" x14ac:dyDescent="0.2">
      <c r="B26" s="6" t="s">
        <v>24</v>
      </c>
      <c r="C26" s="6" t="s">
        <v>11</v>
      </c>
      <c r="D26" s="7">
        <v>20.4011482755174</v>
      </c>
      <c r="E26" s="7">
        <v>20.4011482755174</v>
      </c>
      <c r="F26" s="8">
        <v>2.5763837047089</v>
      </c>
      <c r="G26" s="8">
        <v>0.54886561990120897</v>
      </c>
      <c r="H26" s="8">
        <v>-1.82193958546719</v>
      </c>
      <c r="I26" s="6" t="s">
        <v>12</v>
      </c>
      <c r="J26" s="9">
        <v>1.5471013434454801E-2</v>
      </c>
      <c r="K26" s="6" t="s">
        <v>16</v>
      </c>
    </row>
    <row r="27" spans="2:11" ht="15" customHeight="1" x14ac:dyDescent="0.2">
      <c r="B27" s="6" t="s">
        <v>24</v>
      </c>
      <c r="C27" s="6" t="s">
        <v>14</v>
      </c>
      <c r="D27" s="7">
        <v>20.982018912987701</v>
      </c>
      <c r="E27" s="7">
        <v>20.982018912987701</v>
      </c>
      <c r="F27" s="8">
        <v>2.0165889756101301</v>
      </c>
      <c r="G27" s="8">
        <v>0.42960850752208002</v>
      </c>
      <c r="H27" s="8">
        <v>-2.3277006448681798</v>
      </c>
      <c r="I27" s="6" t="s">
        <v>12</v>
      </c>
      <c r="J27" s="9">
        <v>4.11082922327074E-2</v>
      </c>
      <c r="K27" s="6" t="s">
        <v>16</v>
      </c>
    </row>
    <row r="28" spans="2:11" ht="15" customHeight="1" x14ac:dyDescent="0.2">
      <c r="B28" s="6" t="s">
        <v>24</v>
      </c>
      <c r="C28" s="6" t="s">
        <v>15</v>
      </c>
      <c r="D28" s="7">
        <v>20.408985459144301</v>
      </c>
      <c r="E28" s="7">
        <v>20.408985459144301</v>
      </c>
      <c r="F28" s="8">
        <v>3.04903684797786</v>
      </c>
      <c r="G28" s="8">
        <v>0.64955833116328598</v>
      </c>
      <c r="H28" s="8">
        <v>-1.53950761929127</v>
      </c>
      <c r="I28" s="6" t="s">
        <v>12</v>
      </c>
      <c r="J28" s="9">
        <v>8.2354943334900996E-2</v>
      </c>
      <c r="K28" s="6" t="s">
        <v>16</v>
      </c>
    </row>
    <row r="29" spans="2:11" ht="15" customHeight="1" x14ac:dyDescent="0.2">
      <c r="B29" s="6" t="s">
        <v>24</v>
      </c>
      <c r="C29" s="6" t="s">
        <v>17</v>
      </c>
      <c r="D29" s="7">
        <v>19.564866978489999</v>
      </c>
      <c r="E29" s="7">
        <v>19.564866978489999</v>
      </c>
      <c r="F29" s="8">
        <v>4.6940154589617498</v>
      </c>
      <c r="G29" s="8">
        <v>1</v>
      </c>
      <c r="H29" s="8">
        <v>1</v>
      </c>
      <c r="I29" s="6" t="s">
        <v>12</v>
      </c>
      <c r="K29" s="6" t="s">
        <v>13</v>
      </c>
    </row>
    <row r="30" spans="2:11" ht="15" customHeight="1" x14ac:dyDescent="0.2">
      <c r="B30" s="6" t="s">
        <v>25</v>
      </c>
      <c r="C30" s="6" t="s">
        <v>11</v>
      </c>
      <c r="D30" s="7">
        <v>21.6253018269975</v>
      </c>
      <c r="E30" s="7">
        <v>21.6253018269975</v>
      </c>
      <c r="I30" s="6" t="s">
        <v>12</v>
      </c>
      <c r="J30" s="9">
        <v>0.49381063334894598</v>
      </c>
      <c r="K30" s="6" t="s">
        <v>16</v>
      </c>
    </row>
    <row r="31" spans="2:11" ht="15" customHeight="1" x14ac:dyDescent="0.2">
      <c r="B31" s="6" t="s">
        <v>25</v>
      </c>
      <c r="C31" s="6" t="s">
        <v>14</v>
      </c>
      <c r="D31" s="7">
        <v>21.895710388125199</v>
      </c>
      <c r="E31" s="7">
        <v>21.895710388125199</v>
      </c>
      <c r="I31" s="6" t="s">
        <v>12</v>
      </c>
      <c r="J31" s="9">
        <v>0.489109020988724</v>
      </c>
      <c r="K31" s="6" t="s">
        <v>16</v>
      </c>
    </row>
    <row r="32" spans="2:11" ht="15" customHeight="1" x14ac:dyDescent="0.2">
      <c r="B32" s="6" t="s">
        <v>25</v>
      </c>
      <c r="C32" s="6" t="s">
        <v>15</v>
      </c>
      <c r="D32" s="7">
        <v>21.898874291187099</v>
      </c>
      <c r="E32" s="7">
        <v>21.898874291187099</v>
      </c>
      <c r="I32" s="6" t="s">
        <v>12</v>
      </c>
      <c r="J32" s="9">
        <v>0.73291212328772304</v>
      </c>
      <c r="K32" s="6" t="s">
        <v>16</v>
      </c>
    </row>
    <row r="33" spans="1:15" s="10" customFormat="1" ht="15" customHeight="1" x14ac:dyDescent="0.2">
      <c r="A33" s="4"/>
      <c r="B33" s="11" t="s">
        <v>25</v>
      </c>
      <c r="C33" s="11" t="s">
        <v>17</v>
      </c>
      <c r="D33" s="12">
        <v>21.622768419862101</v>
      </c>
      <c r="E33" s="12">
        <v>21.622768419862101</v>
      </c>
      <c r="F33" s="13"/>
      <c r="G33" s="13"/>
      <c r="H33" s="13"/>
      <c r="I33" s="11" t="s">
        <v>12</v>
      </c>
      <c r="J33" s="14"/>
      <c r="K33" s="11" t="s">
        <v>13</v>
      </c>
    </row>
    <row r="37" spans="1:15" ht="15" customHeight="1" x14ac:dyDescent="0.2">
      <c r="D37" s="17"/>
      <c r="E37" s="23" t="s">
        <v>15</v>
      </c>
      <c r="F37" s="23" t="s">
        <v>17</v>
      </c>
      <c r="G37" s="22" t="s">
        <v>49</v>
      </c>
      <c r="H37" s="22" t="s">
        <v>11</v>
      </c>
      <c r="I37" s="22" t="s">
        <v>14</v>
      </c>
      <c r="J37" s="22" t="s">
        <v>48</v>
      </c>
      <c r="M37" s="25" t="s">
        <v>50</v>
      </c>
      <c r="N37" s="25" t="s">
        <v>51</v>
      </c>
    </row>
    <row r="38" spans="1:15" ht="15" customHeight="1" x14ac:dyDescent="0.2">
      <c r="D38" s="33" t="s">
        <v>10</v>
      </c>
      <c r="E38" s="21"/>
      <c r="F38" s="21"/>
      <c r="G38" s="20"/>
      <c r="H38" s="18">
        <v>2.70016320666423</v>
      </c>
      <c r="I38" s="20">
        <v>3.6023437599477899</v>
      </c>
      <c r="J38" s="20">
        <v>3.1100068953143598</v>
      </c>
      <c r="L38" s="31" t="s">
        <v>10</v>
      </c>
      <c r="N38" s="18">
        <v>2.70016320666423</v>
      </c>
    </row>
    <row r="39" spans="1:15" ht="15" customHeight="1" x14ac:dyDescent="0.2">
      <c r="D39" s="33"/>
      <c r="E39" s="21"/>
      <c r="F39" s="21"/>
      <c r="G39" s="20"/>
      <c r="H39" s="20"/>
      <c r="I39" s="20"/>
      <c r="J39" s="20"/>
      <c r="L39" s="32"/>
      <c r="N39" s="20">
        <v>3.6023437599477899</v>
      </c>
      <c r="O39" s="26"/>
    </row>
    <row r="40" spans="1:15" ht="15" customHeight="1" x14ac:dyDescent="0.2">
      <c r="D40" s="33"/>
      <c r="E40" s="19"/>
      <c r="F40" s="19"/>
      <c r="G40" s="18"/>
      <c r="H40" s="18"/>
      <c r="I40" s="18"/>
      <c r="J40" s="18"/>
      <c r="L40" s="32"/>
      <c r="N40" s="20">
        <v>3.1100068953143598</v>
      </c>
    </row>
    <row r="41" spans="1:15" ht="15" customHeight="1" x14ac:dyDescent="0.2">
      <c r="D41" s="33" t="s">
        <v>18</v>
      </c>
      <c r="E41" s="19"/>
      <c r="F41" s="19"/>
      <c r="G41" s="18"/>
      <c r="H41" s="18">
        <v>4.5866757180214401</v>
      </c>
      <c r="I41" s="18">
        <v>4.5028622469110298</v>
      </c>
      <c r="J41" s="18">
        <v>3.0430498007980602</v>
      </c>
      <c r="L41" s="31" t="s">
        <v>18</v>
      </c>
      <c r="N41" s="18">
        <v>4.5866757180214401</v>
      </c>
    </row>
    <row r="42" spans="1:15" ht="15" customHeight="1" x14ac:dyDescent="0.2">
      <c r="D42" s="33"/>
      <c r="E42" s="19"/>
      <c r="F42" s="19"/>
      <c r="G42" s="18"/>
      <c r="H42" s="18"/>
      <c r="I42" s="18"/>
      <c r="J42" s="18"/>
      <c r="L42" s="32"/>
      <c r="N42" s="18">
        <v>4.5028622469110298</v>
      </c>
    </row>
    <row r="43" spans="1:15" ht="15" customHeight="1" x14ac:dyDescent="0.2">
      <c r="D43" s="33"/>
      <c r="E43" s="19"/>
      <c r="F43" s="19"/>
      <c r="G43" s="18"/>
      <c r="H43" s="18"/>
      <c r="I43" s="18"/>
      <c r="J43" s="18"/>
      <c r="L43" s="32"/>
      <c r="N43" s="18">
        <v>3.0430498007980602</v>
      </c>
    </row>
    <row r="44" spans="1:15" ht="15" customHeight="1" x14ac:dyDescent="0.2">
      <c r="D44" s="33" t="s">
        <v>20</v>
      </c>
      <c r="E44" s="19"/>
      <c r="F44" s="19"/>
      <c r="G44" s="18"/>
      <c r="H44" s="18">
        <v>1.34643002972871</v>
      </c>
      <c r="I44" s="18">
        <v>2.9780613623908598</v>
      </c>
      <c r="J44" s="18">
        <v>1.9582148626940199</v>
      </c>
      <c r="L44" s="31" t="s">
        <v>20</v>
      </c>
      <c r="N44" s="18">
        <v>1.34643002972871</v>
      </c>
    </row>
    <row r="45" spans="1:15" ht="15" customHeight="1" x14ac:dyDescent="0.2">
      <c r="D45" s="33"/>
      <c r="E45" s="19"/>
      <c r="F45" s="19"/>
      <c r="G45" s="18"/>
      <c r="H45" s="18"/>
      <c r="I45" s="18"/>
      <c r="J45" s="17"/>
      <c r="L45" s="31"/>
      <c r="N45" s="18">
        <v>2.9780613623908598</v>
      </c>
    </row>
    <row r="46" spans="1:15" ht="15" customHeight="1" x14ac:dyDescent="0.2">
      <c r="D46" s="33"/>
      <c r="E46" s="19"/>
      <c r="F46" s="19"/>
      <c r="G46" s="18"/>
      <c r="H46" s="18"/>
      <c r="I46" s="18"/>
      <c r="J46" s="17"/>
      <c r="L46" s="31"/>
      <c r="N46" s="18">
        <v>1.9582148626940199</v>
      </c>
    </row>
    <row r="47" spans="1:15" ht="15" customHeight="1" x14ac:dyDescent="0.2">
      <c r="D47" s="33" t="s">
        <v>21</v>
      </c>
      <c r="E47" s="19"/>
      <c r="F47" s="19"/>
      <c r="G47" s="18"/>
      <c r="H47" s="18">
        <v>5.3630603208093701</v>
      </c>
      <c r="I47" s="18">
        <v>5.2094662085410599</v>
      </c>
      <c r="J47" s="18">
        <v>6.2044602721987197</v>
      </c>
      <c r="L47" s="31" t="s">
        <v>21</v>
      </c>
      <c r="N47" s="18">
        <v>5.3630603208093701</v>
      </c>
    </row>
    <row r="48" spans="1:15" ht="15" customHeight="1" x14ac:dyDescent="0.2">
      <c r="D48" s="33"/>
      <c r="E48" s="19"/>
      <c r="F48" s="19"/>
      <c r="G48" s="18"/>
      <c r="H48" s="18"/>
      <c r="I48" s="18"/>
      <c r="J48" s="17"/>
      <c r="L48" s="32"/>
      <c r="N48" s="18">
        <v>5.2094662085410599</v>
      </c>
    </row>
    <row r="49" spans="4:14" ht="15" customHeight="1" x14ac:dyDescent="0.2">
      <c r="D49" s="33"/>
      <c r="E49" s="19"/>
      <c r="F49" s="19"/>
      <c r="G49" s="18"/>
      <c r="H49" s="18"/>
      <c r="I49" s="18"/>
      <c r="J49" s="17"/>
      <c r="L49" s="32"/>
      <c r="N49" s="18">
        <v>6.2044602721987197</v>
      </c>
    </row>
    <row r="50" spans="4:14" ht="15" customHeight="1" x14ac:dyDescent="0.2">
      <c r="D50" s="33" t="s">
        <v>22</v>
      </c>
      <c r="E50" s="19"/>
      <c r="F50" s="19"/>
      <c r="G50" s="18"/>
      <c r="H50" s="18">
        <v>0.58858700144324105</v>
      </c>
      <c r="I50" s="18">
        <v>0.97381895752824699</v>
      </c>
      <c r="J50" s="17"/>
      <c r="L50" s="31" t="s">
        <v>22</v>
      </c>
      <c r="N50" s="18">
        <v>0.58858700144324105</v>
      </c>
    </row>
    <row r="51" spans="4:14" ht="15" customHeight="1" x14ac:dyDescent="0.2">
      <c r="D51" s="33"/>
      <c r="E51" s="19"/>
      <c r="F51" s="19"/>
      <c r="G51" s="18"/>
      <c r="H51" s="18"/>
      <c r="I51" s="18"/>
      <c r="J51" s="17"/>
      <c r="L51" s="32"/>
      <c r="N51" s="18">
        <v>0.97381895752824699</v>
      </c>
    </row>
    <row r="52" spans="4:14" ht="15" customHeight="1" x14ac:dyDescent="0.2">
      <c r="D52" s="33"/>
      <c r="E52" s="19"/>
      <c r="F52" s="19"/>
      <c r="G52" s="18"/>
      <c r="H52" s="18"/>
      <c r="I52" s="18"/>
      <c r="J52" s="17"/>
      <c r="L52" s="32"/>
      <c r="N52" s="17"/>
    </row>
    <row r="53" spans="4:14" ht="15" customHeight="1" x14ac:dyDescent="0.2">
      <c r="D53" s="33" t="s">
        <v>24</v>
      </c>
      <c r="E53" s="19"/>
      <c r="F53" s="19"/>
      <c r="G53" s="18"/>
      <c r="H53" s="18">
        <v>0.84498280380493596</v>
      </c>
      <c r="I53" s="18">
        <v>0.42960850752208002</v>
      </c>
      <c r="J53" s="18">
        <v>0.51586351544248499</v>
      </c>
      <c r="L53" s="31" t="s">
        <v>24</v>
      </c>
      <c r="N53" s="18">
        <v>0.84498280380493596</v>
      </c>
    </row>
    <row r="54" spans="4:14" ht="15" customHeight="1" x14ac:dyDescent="0.2">
      <c r="D54" s="33"/>
      <c r="E54" s="19"/>
      <c r="F54" s="19"/>
      <c r="G54" s="18"/>
      <c r="H54" s="18"/>
      <c r="I54" s="18"/>
      <c r="J54" s="17"/>
      <c r="L54" s="32"/>
      <c r="N54" s="18">
        <v>0.42960850752208002</v>
      </c>
    </row>
    <row r="55" spans="4:14" ht="15" customHeight="1" x14ac:dyDescent="0.2">
      <c r="D55" s="33"/>
      <c r="E55" s="19"/>
      <c r="F55" s="19"/>
      <c r="G55" s="18"/>
      <c r="H55" s="18"/>
      <c r="I55" s="18"/>
      <c r="J55" s="17"/>
      <c r="L55" s="32"/>
      <c r="N55" s="18">
        <v>0.51586351544248499</v>
      </c>
    </row>
  </sheetData>
  <mergeCells count="12">
    <mergeCell ref="L53:L55"/>
    <mergeCell ref="D38:D40"/>
    <mergeCell ref="D41:D43"/>
    <mergeCell ref="D44:D46"/>
    <mergeCell ref="D47:D49"/>
    <mergeCell ref="D50:D52"/>
    <mergeCell ref="D53:D55"/>
    <mergeCell ref="L38:L40"/>
    <mergeCell ref="L41:L43"/>
    <mergeCell ref="L44:L46"/>
    <mergeCell ref="L47:L49"/>
    <mergeCell ref="L50:L52"/>
  </mergeCells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23"/>
  <sheetViews>
    <sheetView tabSelected="1" workbookViewId="0">
      <selection activeCell="H19" sqref="H19"/>
    </sheetView>
  </sheetViews>
  <sheetFormatPr baseColWidth="10" defaultColWidth="9" defaultRowHeight="10.8" x14ac:dyDescent="0.2"/>
  <cols>
    <col min="2" max="2" width="14.375" customWidth="1"/>
    <col min="5" max="5" width="21.875" customWidth="1"/>
    <col min="6" max="6" width="13.125" customWidth="1"/>
  </cols>
  <sheetData>
    <row r="3" spans="2:8" s="27" customFormat="1" ht="18" customHeight="1" x14ac:dyDescent="0.2">
      <c r="C3" s="27" t="s">
        <v>50</v>
      </c>
      <c r="D3" s="27" t="s">
        <v>51</v>
      </c>
      <c r="G3" s="28" t="s">
        <v>50</v>
      </c>
      <c r="H3" s="28" t="s">
        <v>51</v>
      </c>
    </row>
    <row r="4" spans="2:8" s="27" customFormat="1" ht="18" customHeight="1" x14ac:dyDescent="0.2">
      <c r="B4" s="29" t="s">
        <v>52</v>
      </c>
      <c r="C4" s="27">
        <v>1</v>
      </c>
      <c r="D4" s="27">
        <v>2.70016320666423</v>
      </c>
      <c r="E4" s="30" t="s">
        <v>55</v>
      </c>
      <c r="F4" s="29" t="s">
        <v>52</v>
      </c>
      <c r="G4" s="27">
        <v>1</v>
      </c>
      <c r="H4" s="27">
        <f>AVERAGE(D4:D6)</f>
        <v>3.1375046206421264</v>
      </c>
    </row>
    <row r="5" spans="2:8" s="27" customFormat="1" ht="18" customHeight="1" x14ac:dyDescent="0.2">
      <c r="B5"/>
      <c r="C5" s="27">
        <v>1</v>
      </c>
      <c r="D5" s="27">
        <v>3.6023437599477899</v>
      </c>
      <c r="G5" s="27">
        <v>0</v>
      </c>
      <c r="H5" s="27">
        <f>_xlfn.STDEV.P(D4:D6)</f>
        <v>0.36882654582193247</v>
      </c>
    </row>
    <row r="6" spans="2:8" s="27" customFormat="1" ht="18" customHeight="1" x14ac:dyDescent="0.2">
      <c r="B6"/>
      <c r="C6" s="27">
        <v>1</v>
      </c>
      <c r="D6" s="27">
        <v>3.1100068953143598</v>
      </c>
      <c r="F6" s="29" t="s">
        <v>53</v>
      </c>
      <c r="G6" s="27">
        <v>1</v>
      </c>
      <c r="H6" s="27">
        <f>AVERAGE(D7:D9)</f>
        <v>4.0441959219101768</v>
      </c>
    </row>
    <row r="7" spans="2:8" s="27" customFormat="1" ht="18" customHeight="1" x14ac:dyDescent="0.2">
      <c r="B7" s="29" t="s">
        <v>53</v>
      </c>
      <c r="C7" s="27">
        <v>1</v>
      </c>
      <c r="D7" s="27">
        <v>4.5866757180214401</v>
      </c>
      <c r="E7" s="30" t="s">
        <v>56</v>
      </c>
      <c r="G7" s="27">
        <v>0</v>
      </c>
      <c r="H7" s="27">
        <f>_xlfn.STDEV.P(D7:D9)</f>
        <v>0.70874364963563996</v>
      </c>
    </row>
    <row r="8" spans="2:8" s="27" customFormat="1" ht="18" customHeight="1" x14ac:dyDescent="0.2">
      <c r="B8"/>
      <c r="C8" s="27">
        <v>1</v>
      </c>
      <c r="D8" s="27">
        <v>4.5028622469110298</v>
      </c>
      <c r="F8" s="29" t="s">
        <v>54</v>
      </c>
      <c r="G8" s="27">
        <v>1</v>
      </c>
      <c r="H8" s="27">
        <f>AVERAGE(D10:D12)</f>
        <v>2.0942354182711966</v>
      </c>
    </row>
    <row r="9" spans="2:8" s="27" customFormat="1" ht="18" customHeight="1" x14ac:dyDescent="0.2">
      <c r="B9"/>
      <c r="C9" s="27">
        <v>1</v>
      </c>
      <c r="D9" s="27">
        <v>3.0430498007980602</v>
      </c>
      <c r="G9" s="27">
        <v>0</v>
      </c>
      <c r="H9" s="27">
        <f>_xlfn.STDEV.P(D10:D12)</f>
        <v>0.67301876897347512</v>
      </c>
    </row>
    <row r="10" spans="2:8" s="27" customFormat="1" ht="18" customHeight="1" x14ac:dyDescent="0.2">
      <c r="B10" s="29" t="s">
        <v>54</v>
      </c>
      <c r="C10" s="27">
        <v>1</v>
      </c>
      <c r="D10" s="27">
        <v>1.34643002972871</v>
      </c>
      <c r="E10" s="30" t="s">
        <v>57</v>
      </c>
      <c r="F10" s="29" t="s">
        <v>61</v>
      </c>
      <c r="G10" s="27">
        <v>1</v>
      </c>
      <c r="H10" s="27">
        <f>AVERAGE(D13:D15)</f>
        <v>5.5923289338497169</v>
      </c>
    </row>
    <row r="11" spans="2:8" s="27" customFormat="1" ht="18" customHeight="1" x14ac:dyDescent="0.2">
      <c r="B11"/>
      <c r="C11" s="27">
        <v>1</v>
      </c>
      <c r="D11" s="27">
        <v>2.9780613623908598</v>
      </c>
      <c r="G11" s="27">
        <v>0</v>
      </c>
      <c r="H11" s="27">
        <f>_xlfn.STDEV.P(D13:D15)</f>
        <v>0.43736054491504589</v>
      </c>
    </row>
    <row r="12" spans="2:8" s="27" customFormat="1" ht="18" customHeight="1" x14ac:dyDescent="0.2">
      <c r="B12"/>
      <c r="C12" s="27">
        <v>1</v>
      </c>
      <c r="D12" s="27">
        <v>1.9582148626940199</v>
      </c>
      <c r="F12" s="29" t="s">
        <v>62</v>
      </c>
      <c r="G12" s="27">
        <v>1</v>
      </c>
      <c r="H12" s="27">
        <f>AVERAGE(D16:D17)</f>
        <v>0.78120297948574402</v>
      </c>
    </row>
    <row r="13" spans="2:8" s="27" customFormat="1" ht="18" customHeight="1" x14ac:dyDescent="0.2">
      <c r="B13" s="29" t="s">
        <v>61</v>
      </c>
      <c r="C13" s="27">
        <v>1</v>
      </c>
      <c r="D13" s="27">
        <v>5.3630603208093701</v>
      </c>
      <c r="E13" s="30" t="s">
        <v>58</v>
      </c>
      <c r="G13" s="27">
        <v>0</v>
      </c>
      <c r="H13" s="27">
        <f>_xlfn.STDEV.P(D16:D17)</f>
        <v>0.19261597804250266</v>
      </c>
    </row>
    <row r="14" spans="2:8" s="27" customFormat="1" ht="18" customHeight="1" x14ac:dyDescent="0.2">
      <c r="B14"/>
      <c r="C14" s="27">
        <v>1</v>
      </c>
      <c r="D14" s="27">
        <v>5.2094662085410599</v>
      </c>
      <c r="F14" s="29" t="s">
        <v>63</v>
      </c>
      <c r="G14" s="27">
        <v>1</v>
      </c>
      <c r="H14" s="27">
        <f>AVERAGE(D19:D21)</f>
        <v>0.59681827558983358</v>
      </c>
    </row>
    <row r="15" spans="2:8" s="27" customFormat="1" ht="18" customHeight="1" x14ac:dyDescent="0.2">
      <c r="B15"/>
      <c r="C15" s="27">
        <v>1</v>
      </c>
      <c r="D15" s="27">
        <v>6.2044602721987197</v>
      </c>
      <c r="G15" s="27">
        <v>0</v>
      </c>
      <c r="H15" s="27">
        <f>_xlfn.STDEV.P(D19:D21)</f>
        <v>0.17897710541855277</v>
      </c>
    </row>
    <row r="16" spans="2:8" s="27" customFormat="1" ht="18" customHeight="1" x14ac:dyDescent="0.2">
      <c r="B16" s="29" t="s">
        <v>62</v>
      </c>
      <c r="C16" s="27">
        <v>1</v>
      </c>
      <c r="D16" s="27">
        <v>0.58858700144324105</v>
      </c>
      <c r="E16" s="30" t="s">
        <v>59</v>
      </c>
    </row>
    <row r="17" spans="2:5" s="27" customFormat="1" ht="18" customHeight="1" x14ac:dyDescent="0.2">
      <c r="B17"/>
      <c r="C17" s="27">
        <v>1</v>
      </c>
      <c r="D17" s="27">
        <v>0.97381895752824699</v>
      </c>
    </row>
    <row r="18" spans="2:5" s="27" customFormat="1" ht="18" customHeight="1" x14ac:dyDescent="0.2">
      <c r="B18"/>
      <c r="C18" s="27">
        <v>1</v>
      </c>
    </row>
    <row r="19" spans="2:5" s="27" customFormat="1" ht="18" customHeight="1" x14ac:dyDescent="0.2">
      <c r="B19" s="29" t="s">
        <v>63</v>
      </c>
      <c r="C19" s="27">
        <v>1</v>
      </c>
      <c r="D19" s="27">
        <v>0.84498280380493596</v>
      </c>
      <c r="E19" s="30" t="s">
        <v>60</v>
      </c>
    </row>
    <row r="20" spans="2:5" s="27" customFormat="1" ht="18" customHeight="1" x14ac:dyDescent="0.2">
      <c r="C20" s="27">
        <v>1</v>
      </c>
      <c r="D20" s="27">
        <v>0.42960850752208002</v>
      </c>
    </row>
    <row r="21" spans="2:5" s="27" customFormat="1" ht="18" customHeight="1" x14ac:dyDescent="0.2">
      <c r="C21" s="27">
        <v>1</v>
      </c>
      <c r="D21" s="27">
        <v>0.51586351544248499</v>
      </c>
    </row>
    <row r="22" spans="2:5" s="27" customFormat="1" ht="18" customHeight="1" x14ac:dyDescent="0.2">
      <c r="B22"/>
      <c r="C22"/>
      <c r="D22"/>
    </row>
    <row r="23" spans="2:5" s="27" customFormat="1" ht="18" customHeight="1" x14ac:dyDescent="0.2">
      <c r="B23"/>
      <c r="C23"/>
      <c r="D23"/>
    </row>
  </sheetData>
  <pageMargins left="0.7" right="0.7" top="0.75" bottom="0.75" header="0.3" footer="0.3"/>
  <pageSetup paperSize="9" orientation="portrait" r:id="rId1"/>
  <ignoredErrors>
    <ignoredError sqref="H14:H15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621D-2DEC-44F5-9BC7-3AA89615F740}">
  <dimension ref="B3:C20"/>
  <sheetViews>
    <sheetView zoomScaleNormal="100" workbookViewId="0">
      <selection activeCell="B4" sqref="B4"/>
    </sheetView>
  </sheetViews>
  <sheetFormatPr baseColWidth="10" defaultRowHeight="10.8" x14ac:dyDescent="0.2"/>
  <cols>
    <col min="2" max="2" width="14.375" customWidth="1"/>
    <col min="3" max="3" width="9"/>
  </cols>
  <sheetData>
    <row r="3" spans="2:3" x14ac:dyDescent="0.2">
      <c r="B3" s="34" t="s">
        <v>64</v>
      </c>
      <c r="C3" s="27" t="s">
        <v>51</v>
      </c>
    </row>
    <row r="4" spans="2:3" x14ac:dyDescent="0.2">
      <c r="B4" s="34" t="s">
        <v>52</v>
      </c>
      <c r="C4" s="27">
        <v>2.70016320666423</v>
      </c>
    </row>
    <row r="5" spans="2:3" x14ac:dyDescent="0.2">
      <c r="B5" s="34" t="s">
        <v>52</v>
      </c>
      <c r="C5" s="27">
        <v>3.6023437599477899</v>
      </c>
    </row>
    <row r="6" spans="2:3" x14ac:dyDescent="0.2">
      <c r="B6" s="34" t="s">
        <v>52</v>
      </c>
      <c r="C6" s="27">
        <v>3.1100068953143598</v>
      </c>
    </row>
    <row r="7" spans="2:3" x14ac:dyDescent="0.2">
      <c r="B7" s="34" t="s">
        <v>53</v>
      </c>
      <c r="C7" s="27">
        <v>4.5866757180214401</v>
      </c>
    </row>
    <row r="8" spans="2:3" x14ac:dyDescent="0.2">
      <c r="B8" s="34" t="s">
        <v>53</v>
      </c>
      <c r="C8" s="27">
        <v>4.5028622469110298</v>
      </c>
    </row>
    <row r="9" spans="2:3" x14ac:dyDescent="0.2">
      <c r="B9" s="34" t="s">
        <v>53</v>
      </c>
      <c r="C9" s="27">
        <v>3.0430498007980602</v>
      </c>
    </row>
    <row r="10" spans="2:3" x14ac:dyDescent="0.2">
      <c r="B10" s="34" t="s">
        <v>54</v>
      </c>
      <c r="C10" s="27">
        <v>1.34643002972871</v>
      </c>
    </row>
    <row r="11" spans="2:3" x14ac:dyDescent="0.2">
      <c r="B11" s="34" t="s">
        <v>54</v>
      </c>
      <c r="C11" s="27">
        <v>2.9780613623908598</v>
      </c>
    </row>
    <row r="12" spans="2:3" x14ac:dyDescent="0.2">
      <c r="B12" s="34" t="s">
        <v>54</v>
      </c>
      <c r="C12" s="27">
        <v>1.9582148626940199</v>
      </c>
    </row>
    <row r="13" spans="2:3" x14ac:dyDescent="0.2">
      <c r="B13" s="34" t="s">
        <v>61</v>
      </c>
      <c r="C13" s="27">
        <v>5.3630603208093701</v>
      </c>
    </row>
    <row r="14" spans="2:3" x14ac:dyDescent="0.2">
      <c r="B14" s="34" t="s">
        <v>61</v>
      </c>
      <c r="C14" s="27">
        <v>5.2094662085410599</v>
      </c>
    </row>
    <row r="15" spans="2:3" x14ac:dyDescent="0.2">
      <c r="B15" s="34" t="s">
        <v>61</v>
      </c>
      <c r="C15" s="27">
        <v>6.2044602721987197</v>
      </c>
    </row>
    <row r="16" spans="2:3" x14ac:dyDescent="0.2">
      <c r="B16" s="34" t="s">
        <v>62</v>
      </c>
      <c r="C16" s="27">
        <v>0.58858700144324105</v>
      </c>
    </row>
    <row r="17" spans="2:3" x14ac:dyDescent="0.2">
      <c r="B17" s="34" t="s">
        <v>62</v>
      </c>
      <c r="C17" s="27">
        <v>0.97381895752824699</v>
      </c>
    </row>
    <row r="18" spans="2:3" x14ac:dyDescent="0.2">
      <c r="B18" s="34" t="s">
        <v>63</v>
      </c>
      <c r="C18" s="27">
        <v>0.84498280380493596</v>
      </c>
    </row>
    <row r="19" spans="2:3" x14ac:dyDescent="0.2">
      <c r="B19" s="34" t="s">
        <v>63</v>
      </c>
      <c r="C19" s="27">
        <v>0.42960850752208002</v>
      </c>
    </row>
    <row r="20" spans="2:3" x14ac:dyDescent="0.2">
      <c r="B20" s="34" t="s">
        <v>63</v>
      </c>
      <c r="C20" s="27">
        <v>0.51586351544248499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10" defaultRowHeight="15" customHeight="1" x14ac:dyDescent="0.2"/>
  <cols>
    <col min="1" max="1" width="23.125" style="15" customWidth="1"/>
    <col min="2" max="2" width="47.5" style="15" customWidth="1"/>
    <col min="3" max="3" width="10" style="15" customWidth="1"/>
    <col min="4" max="16384" width="10" style="15"/>
  </cols>
  <sheetData>
    <row r="1" spans="1:2" ht="15" customHeight="1" x14ac:dyDescent="0.2">
      <c r="A1" s="15" t="s">
        <v>26</v>
      </c>
      <c r="B1" s="15" t="s">
        <v>27</v>
      </c>
    </row>
    <row r="2" spans="1:2" ht="15" customHeight="1" x14ac:dyDescent="0.2">
      <c r="A2" s="15" t="s">
        <v>28</v>
      </c>
      <c r="B2" s="15" t="s">
        <v>29</v>
      </c>
    </row>
    <row r="3" spans="1:2" ht="15" customHeight="1" x14ac:dyDescent="0.2">
      <c r="A3" s="15" t="s">
        <v>30</v>
      </c>
    </row>
    <row r="4" spans="1:2" ht="15" customHeight="1" x14ac:dyDescent="0.2">
      <c r="A4" s="15" t="s">
        <v>31</v>
      </c>
    </row>
    <row r="5" spans="1:2" ht="15" customHeight="1" x14ac:dyDescent="0.2">
      <c r="A5" s="15" t="s">
        <v>32</v>
      </c>
      <c r="B5" s="15" t="s">
        <v>33</v>
      </c>
    </row>
    <row r="6" spans="1:2" ht="15" customHeight="1" x14ac:dyDescent="0.2">
      <c r="A6" s="15" t="s">
        <v>34</v>
      </c>
      <c r="B6" s="15" t="s">
        <v>35</v>
      </c>
    </row>
    <row r="7" spans="1:2" ht="15" customHeight="1" x14ac:dyDescent="0.2">
      <c r="A7" s="15" t="s">
        <v>36</v>
      </c>
      <c r="B7" s="16">
        <v>10</v>
      </c>
    </row>
    <row r="8" spans="1:2" ht="15" customHeight="1" x14ac:dyDescent="0.2">
      <c r="A8" s="15" t="s">
        <v>37</v>
      </c>
      <c r="B8" s="16">
        <v>105</v>
      </c>
    </row>
    <row r="9" spans="1:2" ht="15" customHeight="1" x14ac:dyDescent="0.2">
      <c r="A9" s="15" t="s">
        <v>38</v>
      </c>
      <c r="B9" s="15" t="s">
        <v>39</v>
      </c>
    </row>
    <row r="10" spans="1:2" ht="15" customHeight="1" x14ac:dyDescent="0.2">
      <c r="A10" s="15" t="s">
        <v>40</v>
      </c>
      <c r="B10" s="15" t="s">
        <v>41</v>
      </c>
    </row>
    <row r="11" spans="1:2" ht="15" customHeight="1" x14ac:dyDescent="0.2">
      <c r="A11" s="15" t="s">
        <v>42</v>
      </c>
      <c r="B11" s="15" t="s">
        <v>43</v>
      </c>
    </row>
    <row r="12" spans="1:2" ht="15" customHeight="1" x14ac:dyDescent="0.2">
      <c r="A12" s="15" t="s">
        <v>44</v>
      </c>
      <c r="B12" s="15" t="s">
        <v>45</v>
      </c>
    </row>
    <row r="13" spans="1:2" ht="15" customHeight="1" x14ac:dyDescent="0.2">
      <c r="A13" s="15" t="s">
        <v>46</v>
      </c>
      <c r="B13" s="15" t="s">
        <v>47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</vt:lpstr>
      <vt:lpstr>Sheet1</vt:lpstr>
      <vt:lpstr>Hoja1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Luciana</cp:lastModifiedBy>
  <dcterms:modified xsi:type="dcterms:W3CDTF">2023-08-16T20:30:22Z</dcterms:modified>
</cp:coreProperties>
</file>