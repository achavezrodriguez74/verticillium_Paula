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4d12928f7c1c326c/Documentos/PhD/Para combinar/"/>
    </mc:Choice>
  </mc:AlternateContent>
  <xr:revisionPtr revIDLastSave="110" documentId="11_9E4C551FCCD8CC5256BC57F0ABB953959291F851" xr6:coauthVersionLast="47" xr6:coauthVersionMax="47" xr10:uidLastSave="{1B824F4F-BAFF-4E91-923E-DF451F7ECA97}"/>
  <bookViews>
    <workbookView xWindow="-108" yWindow="-108" windowWidth="23256" windowHeight="13896" activeTab="3" xr2:uid="{00000000-000D-0000-FFFF-FFFF00000000}"/>
  </bookViews>
  <sheets>
    <sheet name="Tabelle 1" sheetId="1" r:id="rId1"/>
    <sheet name="Summary" sheetId="2" r:id="rId2"/>
    <sheet name="Degree of Symptoms" sheetId="4" r:id="rId3"/>
    <sheet name="Tabelle1 (2)" sheetId="7" r:id="rId4"/>
    <sheet name="Diagramm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7" l="1"/>
  <c r="O4" i="7"/>
  <c r="O3" i="7"/>
  <c r="O2" i="7"/>
  <c r="N5" i="7"/>
  <c r="N4" i="7"/>
  <c r="N3" i="7"/>
  <c r="N2" i="7"/>
  <c r="M2" i="7"/>
  <c r="N8" i="7" l="1"/>
  <c r="O8" i="7"/>
  <c r="A232" i="7" l="1"/>
  <c r="A211" i="7"/>
  <c r="A190" i="7"/>
  <c r="A169" i="7"/>
  <c r="A148" i="7"/>
  <c r="A127" i="7"/>
  <c r="A106" i="7"/>
  <c r="A85" i="7"/>
  <c r="A64" i="7"/>
  <c r="A43" i="7"/>
  <c r="A22" i="7"/>
  <c r="A1" i="7"/>
  <c r="C24" i="1"/>
  <c r="G22" i="4" s="1"/>
  <c r="D24" i="1"/>
  <c r="G30" i="4" s="1"/>
  <c r="E24" i="1"/>
  <c r="B12" i="2" s="1"/>
  <c r="F24" i="1"/>
  <c r="C25" i="1"/>
  <c r="J11" i="1" s="1"/>
  <c r="D25" i="1"/>
  <c r="B11" i="2" s="1"/>
  <c r="E25" i="1"/>
  <c r="B13" i="2" s="1"/>
  <c r="F25" i="1"/>
  <c r="B25" i="1"/>
  <c r="B24" i="1"/>
  <c r="B6" i="2" s="1"/>
  <c r="F249" i="7"/>
  <c r="F228" i="7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K19" i="4"/>
  <c r="K20" i="4"/>
  <c r="K21" i="4"/>
  <c r="K22" i="4"/>
  <c r="K18" i="4"/>
  <c r="F26" i="4"/>
  <c r="J26" i="4" s="1"/>
  <c r="F9" i="4"/>
  <c r="F18" i="4"/>
  <c r="J18" i="4" s="1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B7" i="2"/>
  <c r="B45" i="1"/>
  <c r="C6" i="2" s="1"/>
  <c r="C45" i="1"/>
  <c r="C8" i="2"/>
  <c r="D45" i="1"/>
  <c r="C10" i="2"/>
  <c r="E45" i="1"/>
  <c r="C12" i="2" s="1"/>
  <c r="F45" i="1"/>
  <c r="B46" i="1"/>
  <c r="C7" i="2" s="1"/>
  <c r="C46" i="1"/>
  <c r="C9" i="2"/>
  <c r="D46" i="1"/>
  <c r="C11" i="2"/>
  <c r="E46" i="1"/>
  <c r="C13" i="2"/>
  <c r="F46" i="1"/>
  <c r="B68" i="1"/>
  <c r="D6" i="2" s="1"/>
  <c r="C68" i="1"/>
  <c r="D8" i="2"/>
  <c r="D68" i="1"/>
  <c r="D10" i="2"/>
  <c r="E68" i="1"/>
  <c r="D12" i="2"/>
  <c r="F68" i="1"/>
  <c r="B69" i="1"/>
  <c r="D7" i="2" s="1"/>
  <c r="C69" i="1"/>
  <c r="D9" i="2" s="1"/>
  <c r="D69" i="1"/>
  <c r="D11" i="2"/>
  <c r="E69" i="1"/>
  <c r="D13" i="2"/>
  <c r="F69" i="1"/>
  <c r="B89" i="1"/>
  <c r="E6" i="2" s="1"/>
  <c r="C89" i="1"/>
  <c r="E8" i="2"/>
  <c r="D89" i="1"/>
  <c r="E10" i="2" s="1"/>
  <c r="E89" i="1"/>
  <c r="E12" i="2"/>
  <c r="F89" i="1"/>
  <c r="B90" i="1"/>
  <c r="E7" i="2" s="1"/>
  <c r="C90" i="1"/>
  <c r="E9" i="2"/>
  <c r="D90" i="1"/>
  <c r="E11" i="2"/>
  <c r="E90" i="1"/>
  <c r="E13" i="2" s="1"/>
  <c r="F90" i="1"/>
  <c r="B110" i="1"/>
  <c r="F6" i="2" s="1"/>
  <c r="C110" i="1"/>
  <c r="F8" i="2"/>
  <c r="D110" i="1"/>
  <c r="F10" i="2"/>
  <c r="E110" i="1"/>
  <c r="F12" i="2"/>
  <c r="F110" i="1"/>
  <c r="B111" i="1"/>
  <c r="F7" i="2" s="1"/>
  <c r="C111" i="1"/>
  <c r="F9" i="2"/>
  <c r="D111" i="1"/>
  <c r="F11" i="2"/>
  <c r="E111" i="1"/>
  <c r="F13" i="2"/>
  <c r="F111" i="1"/>
  <c r="B131" i="1"/>
  <c r="G6" i="2"/>
  <c r="C131" i="1"/>
  <c r="G8" i="2"/>
  <c r="D131" i="1"/>
  <c r="G10" i="2"/>
  <c r="E131" i="1"/>
  <c r="G12" i="2" s="1"/>
  <c r="F131" i="1"/>
  <c r="B132" i="1"/>
  <c r="G7" i="2"/>
  <c r="C132" i="1"/>
  <c r="G9" i="2" s="1"/>
  <c r="D132" i="1"/>
  <c r="G11" i="2" s="1"/>
  <c r="E132" i="1"/>
  <c r="G13" i="2" s="1"/>
  <c r="F132" i="1"/>
  <c r="B152" i="1"/>
  <c r="H6" i="2"/>
  <c r="C152" i="1"/>
  <c r="H8" i="2" s="1"/>
  <c r="D152" i="1"/>
  <c r="H10" i="2"/>
  <c r="E152" i="1"/>
  <c r="H12" i="2" s="1"/>
  <c r="F152" i="1"/>
  <c r="B153" i="1"/>
  <c r="H7" i="2"/>
  <c r="C153" i="1"/>
  <c r="H9" i="2"/>
  <c r="D153" i="1"/>
  <c r="H11" i="2"/>
  <c r="E153" i="1"/>
  <c r="H13" i="2" s="1"/>
  <c r="F153" i="1"/>
  <c r="B173" i="1"/>
  <c r="I6" i="2" s="1"/>
  <c r="C173" i="1"/>
  <c r="I8" i="2"/>
  <c r="D173" i="1"/>
  <c r="I10" i="2"/>
  <c r="E173" i="1"/>
  <c r="I12" i="2" s="1"/>
  <c r="F173" i="1"/>
  <c r="B174" i="1"/>
  <c r="I7" i="2"/>
  <c r="C174" i="1"/>
  <c r="I9" i="2"/>
  <c r="D174" i="1"/>
  <c r="I11" i="2"/>
  <c r="E174" i="1"/>
  <c r="I13" i="2" s="1"/>
  <c r="F174" i="1"/>
  <c r="B194" i="1"/>
  <c r="J6" i="2"/>
  <c r="C194" i="1"/>
  <c r="J8" i="2" s="1"/>
  <c r="D194" i="1"/>
  <c r="J10" i="2" s="1"/>
  <c r="E194" i="1"/>
  <c r="J12" i="2" s="1"/>
  <c r="F194" i="1"/>
  <c r="B195" i="1"/>
  <c r="J7" i="2"/>
  <c r="C195" i="1"/>
  <c r="J9" i="2"/>
  <c r="D195" i="1"/>
  <c r="J11" i="2"/>
  <c r="E195" i="1"/>
  <c r="J13" i="2" s="1"/>
  <c r="F195" i="1"/>
  <c r="B215" i="1"/>
  <c r="K6" i="2"/>
  <c r="C215" i="1"/>
  <c r="K8" i="2"/>
  <c r="D215" i="1"/>
  <c r="K10" i="2"/>
  <c r="E215" i="1"/>
  <c r="K12" i="2" s="1"/>
  <c r="F215" i="1"/>
  <c r="B216" i="1"/>
  <c r="K7" i="2" s="1"/>
  <c r="C216" i="1"/>
  <c r="K9" i="2"/>
  <c r="D216" i="1"/>
  <c r="K11" i="2"/>
  <c r="E216" i="1"/>
  <c r="K13" i="2" s="1"/>
  <c r="F216" i="1"/>
  <c r="B236" i="1"/>
  <c r="L6" i="2"/>
  <c r="C236" i="1"/>
  <c r="L8" i="2"/>
  <c r="D236" i="1"/>
  <c r="L10" i="2"/>
  <c r="E236" i="1"/>
  <c r="L12" i="2" s="1"/>
  <c r="F236" i="1"/>
  <c r="B237" i="1"/>
  <c r="L7" i="2"/>
  <c r="C237" i="1"/>
  <c r="L9" i="2" s="1"/>
  <c r="D237" i="1"/>
  <c r="L11" i="2" s="1"/>
  <c r="E237" i="1"/>
  <c r="L13" i="2" s="1"/>
  <c r="F237" i="1"/>
  <c r="B257" i="1"/>
  <c r="M6" i="2"/>
  <c r="C257" i="1"/>
  <c r="M8" i="2"/>
  <c r="D257" i="1"/>
  <c r="M10" i="2"/>
  <c r="E257" i="1"/>
  <c r="M12" i="2" s="1"/>
  <c r="F257" i="1"/>
  <c r="B258" i="1"/>
  <c r="M7" i="2"/>
  <c r="C258" i="1"/>
  <c r="M9" i="2"/>
  <c r="D258" i="1"/>
  <c r="M11" i="2"/>
  <c r="E258" i="1"/>
  <c r="M13" i="2" s="1"/>
  <c r="F258" i="1"/>
  <c r="B10" i="2"/>
  <c r="B8" i="2"/>
  <c r="G21" i="4" l="1"/>
  <c r="F20" i="4"/>
  <c r="J20" i="4" s="1"/>
  <c r="G19" i="4"/>
  <c r="K11" i="1"/>
  <c r="J12" i="1"/>
  <c r="B9" i="2"/>
  <c r="L12" i="1"/>
  <c r="F29" i="4"/>
  <c r="J29" i="4" s="1"/>
  <c r="G27" i="4"/>
  <c r="F28" i="4"/>
  <c r="J28" i="4" s="1"/>
  <c r="F22" i="4"/>
  <c r="J22" i="4" s="1"/>
  <c r="L11" i="1"/>
  <c r="K12" i="1"/>
  <c r="F21" i="4"/>
  <c r="J21" i="4" s="1"/>
  <c r="G20" i="4"/>
  <c r="F19" i="4"/>
  <c r="J19" i="4" s="1"/>
  <c r="C92" i="7" s="1"/>
  <c r="I12" i="1"/>
  <c r="C120" i="7"/>
  <c r="C137" i="7"/>
  <c r="C66" i="7"/>
  <c r="C129" i="7"/>
  <c r="C3" i="7"/>
  <c r="C14" i="7"/>
  <c r="C9" i="7"/>
  <c r="C87" i="7"/>
  <c r="C24" i="7"/>
  <c r="C86" i="7"/>
  <c r="C26" i="7"/>
  <c r="C48" i="7"/>
  <c r="C68" i="7"/>
  <c r="C221" i="7"/>
  <c r="C223" i="7"/>
  <c r="C224" i="7"/>
  <c r="C226" i="7"/>
  <c r="C195" i="7"/>
  <c r="C213" i="7"/>
  <c r="C234" i="7"/>
  <c r="C235" i="7"/>
  <c r="C236" i="7"/>
  <c r="C237" i="7"/>
  <c r="C215" i="7"/>
  <c r="C222" i="7"/>
  <c r="C225" i="7"/>
  <c r="C202" i="7"/>
  <c r="C198" i="7"/>
  <c r="C180" i="7"/>
  <c r="C149" i="7"/>
  <c r="C178" i="7"/>
  <c r="C158" i="7"/>
  <c r="C138" i="7"/>
  <c r="C96" i="7"/>
  <c r="C69" i="7"/>
  <c r="C51" i="7"/>
  <c r="C29" i="7"/>
  <c r="C99" i="7"/>
  <c r="C37" i="7"/>
  <c r="C218" i="7"/>
  <c r="C205" i="7"/>
  <c r="C203" i="7"/>
  <c r="C199" i="7"/>
  <c r="C182" i="7"/>
  <c r="C162" i="7"/>
  <c r="C142" i="7"/>
  <c r="C176" i="7"/>
  <c r="C108" i="7"/>
  <c r="C220" i="7"/>
  <c r="C212" i="7"/>
  <c r="C196" i="7"/>
  <c r="C192" i="7"/>
  <c r="C179" i="7"/>
  <c r="C119" i="7"/>
  <c r="C150" i="7"/>
  <c r="C130" i="7"/>
  <c r="C110" i="7"/>
  <c r="C152" i="7"/>
  <c r="C173" i="7"/>
  <c r="C153" i="7"/>
  <c r="C77" i="7"/>
  <c r="C23" i="7"/>
  <c r="C216" i="7"/>
  <c r="C219" i="7"/>
  <c r="C204" i="7"/>
  <c r="C128" i="7"/>
  <c r="C172" i="7"/>
  <c r="C160" i="7"/>
  <c r="C174" i="7"/>
  <c r="C154" i="7"/>
  <c r="C134" i="7"/>
  <c r="I11" i="1"/>
  <c r="G29" i="4"/>
  <c r="G28" i="4"/>
  <c r="G13" i="4"/>
  <c r="F27" i="4"/>
  <c r="J27" i="4" s="1"/>
  <c r="F30" i="4"/>
  <c r="J30" i="4" s="1"/>
  <c r="C90" i="7" l="1"/>
  <c r="C217" i="7"/>
  <c r="C70" i="7"/>
  <c r="C111" i="7"/>
  <c r="C233" i="7"/>
  <c r="C31" i="7"/>
  <c r="C112" i="7"/>
  <c r="C214" i="7"/>
  <c r="C228" i="7" s="1"/>
  <c r="C33" i="7"/>
  <c r="C131" i="7"/>
  <c r="C191" i="7"/>
  <c r="C55" i="7"/>
  <c r="C27" i="7"/>
  <c r="C136" i="7"/>
  <c r="C113" i="7"/>
  <c r="C246" i="7"/>
  <c r="C53" i="7"/>
  <c r="C151" i="7"/>
  <c r="C193" i="7"/>
  <c r="C94" i="7"/>
  <c r="C114" i="7"/>
  <c r="C133" i="7"/>
  <c r="C170" i="7"/>
  <c r="C72" i="7"/>
  <c r="C171" i="7"/>
  <c r="C194" i="7"/>
  <c r="C46" i="7"/>
  <c r="C181" i="7"/>
  <c r="C117" i="7"/>
  <c r="C155" i="7"/>
  <c r="C242" i="7"/>
  <c r="C32" i="7"/>
  <c r="C78" i="7"/>
  <c r="C132" i="7"/>
  <c r="C121" i="7"/>
  <c r="C247" i="7"/>
  <c r="C240" i="7"/>
  <c r="C107" i="7"/>
  <c r="C163" i="7"/>
  <c r="C165" i="7" s="1"/>
  <c r="C116" i="7"/>
  <c r="C123" i="7" s="1"/>
  <c r="C184" i="7"/>
  <c r="C141" i="7"/>
  <c r="C245" i="7"/>
  <c r="C239" i="7"/>
  <c r="C73" i="7"/>
  <c r="C183" i="7"/>
  <c r="C156" i="7"/>
  <c r="C115" i="7"/>
  <c r="C161" i="7"/>
  <c r="C244" i="7"/>
  <c r="C238" i="7"/>
  <c r="C25" i="7"/>
  <c r="C197" i="7"/>
  <c r="C135" i="7"/>
  <c r="C243" i="7"/>
  <c r="C44" i="7"/>
  <c r="C200" i="7"/>
  <c r="C139" i="7"/>
  <c r="C140" i="7"/>
  <c r="C145" i="7" s="1"/>
  <c r="C201" i="7"/>
  <c r="C159" i="7"/>
  <c r="C175" i="7"/>
  <c r="C118" i="7"/>
  <c r="C241" i="7"/>
  <c r="C98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214" i="7"/>
  <c r="D134" i="7"/>
  <c r="D107" i="7"/>
  <c r="D121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C187" i="7"/>
  <c r="D171" i="7"/>
  <c r="D138" i="7"/>
  <c r="D48" i="7"/>
  <c r="D73" i="7"/>
  <c r="D52" i="7"/>
  <c r="D23" i="7"/>
  <c r="D50" i="7"/>
  <c r="D179" i="7"/>
  <c r="D110" i="7"/>
  <c r="D24" i="7"/>
  <c r="D35" i="7"/>
  <c r="D9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14" i="7"/>
  <c r="D26" i="7"/>
  <c r="D135" i="7"/>
  <c r="D66" i="7"/>
  <c r="D95" i="7"/>
  <c r="D3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124" i="7" l="1"/>
  <c r="C229" i="7"/>
  <c r="C166" i="7"/>
  <c r="C186" i="7"/>
  <c r="C144" i="7"/>
  <c r="C103" i="7"/>
  <c r="C249" i="7"/>
  <c r="C19" i="7"/>
  <c r="C61" i="7"/>
  <c r="C39" i="7"/>
  <c r="C208" i="7"/>
  <c r="C207" i="7"/>
  <c r="C60" i="7"/>
  <c r="C250" i="7"/>
  <c r="C18" i="7"/>
  <c r="C40" i="7"/>
  <c r="C82" i="7"/>
  <c r="C102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H129" i="7" l="1"/>
  <c r="H132" i="7"/>
  <c r="H128" i="7"/>
  <c r="H131" i="7"/>
  <c r="H130" i="7"/>
  <c r="E145" i="7"/>
  <c r="E144" i="7"/>
  <c r="H150" i="7"/>
  <c r="H151" i="7"/>
  <c r="H149" i="7"/>
  <c r="H153" i="7"/>
  <c r="H152" i="7"/>
  <c r="E166" i="7"/>
  <c r="E165" i="7"/>
  <c r="H89" i="7"/>
  <c r="H88" i="7"/>
  <c r="H86" i="7"/>
  <c r="H90" i="7"/>
  <c r="H87" i="7"/>
  <c r="E102" i="7"/>
  <c r="E103" i="7"/>
  <c r="H67" i="7"/>
  <c r="H66" i="7"/>
  <c r="H69" i="7"/>
  <c r="H65" i="7"/>
  <c r="H68" i="7"/>
  <c r="E82" i="7"/>
  <c r="E81" i="7"/>
  <c r="H109" i="7"/>
  <c r="H108" i="7"/>
  <c r="H111" i="7"/>
  <c r="H107" i="7"/>
  <c r="H110" i="7"/>
  <c r="E124" i="7"/>
  <c r="E123" i="7"/>
  <c r="H25" i="7"/>
  <c r="H27" i="7"/>
  <c r="H24" i="7"/>
  <c r="H23" i="7"/>
  <c r="H26" i="7"/>
  <c r="E39" i="7"/>
  <c r="E40" i="7"/>
  <c r="H193" i="7"/>
  <c r="H192" i="7"/>
  <c r="H195" i="7"/>
  <c r="H191" i="7"/>
  <c r="H194" i="7"/>
  <c r="E207" i="7"/>
  <c r="E208" i="7"/>
  <c r="H237" i="7"/>
  <c r="H233" i="7"/>
  <c r="E249" i="7"/>
  <c r="H236" i="7"/>
  <c r="H235" i="7"/>
  <c r="H234" i="7"/>
  <c r="E250" i="7"/>
  <c r="H173" i="7"/>
  <c r="H172" i="7"/>
  <c r="H171" i="7"/>
  <c r="H174" i="7"/>
  <c r="H170" i="7"/>
  <c r="E186" i="7"/>
  <c r="E187" i="7"/>
  <c r="H213" i="7"/>
  <c r="H216" i="7"/>
  <c r="H212" i="7"/>
  <c r="H215" i="7"/>
  <c r="H214" i="7"/>
  <c r="E229" i="7"/>
  <c r="E228" i="7"/>
  <c r="H47" i="7"/>
  <c r="H46" i="7"/>
  <c r="H45" i="7"/>
  <c r="H48" i="7"/>
  <c r="H44" i="7"/>
  <c r="E60" i="7"/>
  <c r="E61" i="7"/>
  <c r="H5" i="7"/>
  <c r="M5" i="7" s="1"/>
  <c r="H4" i="7"/>
  <c r="M4" i="7" s="1"/>
  <c r="M8" i="7" s="1"/>
  <c r="H6" i="7"/>
  <c r="H3" i="7"/>
  <c r="H2" i="7"/>
  <c r="E18" i="7"/>
  <c r="E19" i="7"/>
  <c r="H112" i="7" l="1"/>
  <c r="H49" i="7"/>
  <c r="H238" i="7"/>
  <c r="H28" i="7"/>
  <c r="H133" i="7"/>
  <c r="H196" i="7"/>
  <c r="H154" i="7"/>
  <c r="H7" i="7"/>
  <c r="H217" i="7"/>
  <c r="H175" i="7"/>
  <c r="H70" i="7"/>
  <c r="H91" i="7"/>
</calcChain>
</file>

<file path=xl/sharedStrings.xml><?xml version="1.0" encoding="utf-8"?>
<sst xmlns="http://schemas.openxmlformats.org/spreadsheetml/2006/main" count="346" uniqueCount="61">
  <si>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</si>
  <si>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</si>
  <si>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</si>
  <si>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</si>
  <si>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</si>
  <si>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</si>
  <si>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</si>
  <si>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Stem Assay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</si>
  <si>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</si>
  <si>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</si>
  <si>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</si>
  <si>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</si>
  <si>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</si>
  <si>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</si>
  <si>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</si>
  <si>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VGB39</t>
  </si>
  <si>
    <t>WT JR2</t>
  </si>
  <si>
    <t>irgendwas ist komisch</t>
  </si>
  <si>
    <t>2 vegetationspunkte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</si>
  <si>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</si>
  <si>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</si>
  <si>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</si>
  <si>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</si>
  <si>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</si>
  <si>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</si>
  <si>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</si>
  <si>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</si>
  <si>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</si>
  <si>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</si>
  <si>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</si>
  <si>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</si>
  <si>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</si>
  <si>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</si>
  <si>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</si>
  <si>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</si>
  <si>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</si>
  <si>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</si>
  <si>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</si>
  <si>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</si>
  <si>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</si>
  <si>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</si>
  <si>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</si>
  <si>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</si>
  <si>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</si>
  <si>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</si>
  <si>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</si>
  <si>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</si>
  <si>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</si>
  <si>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</si>
  <si>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</si>
  <si>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</si>
  <si>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</si>
  <si>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</si>
  <si>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>nicht verfärbt</t>
  </si>
  <si>
    <t xml:space="preserve">date of measurement: 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</si>
  <si>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</si>
  <si>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</si>
  <si>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Date</t>
  </si>
  <si>
    <t>WT</t>
  </si>
  <si>
    <t>oeLLM1</t>
  </si>
  <si>
    <t>MOCK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</si>
</sst>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6" fillId="0" borderId="3" xfId="1" applyFont="1" applyBorder="1" applyAlignment="1">
      <alignment horizontal="center" wrapText="1"/>
    </xf>
    <xf numFmtId="0" fontId="6" fillId="0" borderId="3" xfId="1" applyFont="1" applyBorder="1" applyAlignment="1">
      <alignment wrapText="1"/>
    </xf>
    <xf numFmtId="0" fontId="3" fillId="0" borderId="3" xfId="1" applyFont="1" applyBorder="1" applyAlignment="1">
      <alignment horizontal="center" wrapText="1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</c:v>
                </c:pt>
                <c:pt idx="1">
                  <c:v>WT JR2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</c:v>
                </c:pt>
                <c:pt idx="1">
                  <c:v>WT JR2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</c:v>
                </c:pt>
                <c:pt idx="1">
                  <c:v>WT JR2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'Tabelle1 (2)'!$L$2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</c:strCache>
            </c:strRef>
          </c:cat>
          <c:val>
            <c:numRef>
              <c:f>'Tabelle1 (2)'!$M$2:$O$2</c:f>
              <c:numCache>
                <c:formatCode>General</c:formatCode>
                <c:ptCount val="3"/>
                <c:pt idx="0">
                  <c:v>87</c:v>
                </c:pt>
                <c:pt idx="1">
                  <c:v>14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tx>
            <c:strRef>
              <c:f>'Tabelle1 (2)'!$L$3</c:f>
              <c:strCache>
                <c:ptCount val="1"/>
                <c:pt idx="0">
                  <c:v>weak symptoms</c:v>
                </c:pt>
              </c:strCache>
            </c:strRef>
          </c:tx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</c:strCache>
            </c:strRef>
          </c:cat>
          <c:val>
            <c:numRef>
              <c:f>'Tabelle1 (2)'!$M$3:$O$3</c:f>
              <c:numCache>
                <c:formatCode>General</c:formatCode>
                <c:ptCount val="3"/>
                <c:pt idx="0">
                  <c:v>3</c:v>
                </c:pt>
                <c:pt idx="1">
                  <c:v>36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tx>
            <c:strRef>
              <c:f>'Tabelle1 (2)'!$L$4</c:f>
              <c:strCache>
                <c:ptCount val="1"/>
                <c:pt idx="0">
                  <c:v>strong symptoms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</c:strCache>
            </c:strRef>
          </c:cat>
          <c:val>
            <c:numRef>
              <c:f>'Tabelle1 (2)'!$M$4:$O$4</c:f>
              <c:numCache>
                <c:formatCode>General</c:formatCode>
                <c:ptCount val="3"/>
                <c:pt idx="0">
                  <c:v>0</c:v>
                </c:pt>
                <c:pt idx="1">
                  <c:v>30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tx>
            <c:strRef>
              <c:f>'Tabelle1 (2)'!$L$5</c:f>
              <c:strCache>
                <c:ptCount val="1"/>
                <c:pt idx="0">
                  <c:v>very strong symptoms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oeLLM1</c:v>
                </c:pt>
              </c:strCache>
            </c:strRef>
          </c:cat>
          <c:val>
            <c:numRef>
              <c:f>'Tabelle1 (2)'!$M$5:$O$5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DE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45590996120222604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CE2C128F-87D7-F442-BCDF-D370F2880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66B1BD1C-3FC5-EA44-ACA4-60107239D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3BF33798-94E7-2D4F-B635-EEED4F1A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317500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37FA77BA-0672-8844-89F3-089DEDF5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8"/>
  <sheetViews>
    <sheetView topLeftCell="A2" zoomScale="110" zoomScaleNormal="110" workbookViewId="0">
      <selection activeCell="G25" sqref="G25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12.44140625" style="1" customWidth="1"/>
    <col min="7" max="7" width="8.88671875" style="2" customWidth="1"/>
    <col min="8" max="8" width="8.88671875" style="1" customWidth="1"/>
    <col min="9" max="10" width="11" style="1" customWidth="1"/>
    <col min="11" max="11" width="14.109375" style="1" customWidth="1"/>
    <col min="12" max="12" width="14.33203125" style="1" customWidth="1"/>
    <col min="13" max="16384" width="9.109375" style="1"/>
  </cols>
  <sheetData>
    <row r="1" spans="1:12" ht="21" x14ac:dyDescent="0.4">
      <c r="A1" s="3" t="s">
        <v>56</v>
      </c>
      <c r="F1" s="4" t="s">
        <v>57</v>
      </c>
    </row>
    <row r="2" spans="1:12" x14ac:dyDescent="0.25">
      <c r="A2" s="1" t="s">
        <v>0</v>
      </c>
    </row>
    <row r="3" spans="1:12" x14ac:dyDescent="0.25">
      <c r="A3" s="1" t="s">
        <v>55</v>
      </c>
      <c r="B3" s="5"/>
    </row>
    <row r="4" spans="1:12" x14ac:dyDescent="0.25">
      <c r="A4" s="1" t="s">
        <v>54</v>
      </c>
      <c r="B4" s="6"/>
    </row>
    <row r="5" spans="1:12" x14ac:dyDescent="0.25">
      <c r="A5" s="1" t="s">
        <v>1</v>
      </c>
      <c r="B5" s="6"/>
    </row>
    <row r="6" spans="1:12" x14ac:dyDescent="0.25">
      <c r="B6" s="7"/>
      <c r="C6" s="7"/>
    </row>
    <row r="7" spans="1:12" ht="15" customHeight="1" x14ac:dyDescent="0.25">
      <c r="A7" s="8" t="s">
        <v>2</v>
      </c>
      <c r="B7" s="36" t="s">
        <v>3</v>
      </c>
      <c r="C7" s="36" t="s">
        <v>4</v>
      </c>
      <c r="D7" s="36" t="s">
        <v>5</v>
      </c>
      <c r="E7" s="36" t="s">
        <v>6</v>
      </c>
      <c r="F7" s="37" t="s">
        <v>7</v>
      </c>
    </row>
    <row r="8" spans="1:12" x14ac:dyDescent="0.25">
      <c r="A8" s="10" t="s">
        <v>8</v>
      </c>
      <c r="B8" s="36"/>
      <c r="C8" s="36"/>
      <c r="D8" s="36"/>
      <c r="E8" s="36"/>
      <c r="F8" s="37"/>
    </row>
    <row r="9" spans="1:12" ht="15" customHeight="1" x14ac:dyDescent="0.25">
      <c r="A9" s="11">
        <v>1</v>
      </c>
      <c r="B9" s="12"/>
      <c r="C9" s="12"/>
      <c r="D9" s="12"/>
      <c r="E9" s="12"/>
      <c r="F9" s="13"/>
      <c r="H9" s="1" t="s">
        <v>2</v>
      </c>
      <c r="I9" s="36" t="s">
        <v>3</v>
      </c>
      <c r="J9" s="36" t="s">
        <v>9</v>
      </c>
      <c r="K9" s="36" t="s">
        <v>5</v>
      </c>
      <c r="L9" s="36" t="s">
        <v>6</v>
      </c>
    </row>
    <row r="10" spans="1:12" x14ac:dyDescent="0.25">
      <c r="A10" s="14">
        <v>2</v>
      </c>
      <c r="B10" s="12"/>
      <c r="C10" s="12"/>
      <c r="D10" s="12"/>
      <c r="E10" s="12"/>
      <c r="F10" s="13"/>
      <c r="I10" s="36"/>
      <c r="J10" s="36"/>
      <c r="K10" s="36"/>
      <c r="L10" s="36"/>
    </row>
    <row r="11" spans="1:12" x14ac:dyDescent="0.25">
      <c r="A11" s="14">
        <v>3</v>
      </c>
      <c r="B11" s="12"/>
      <c r="C11" s="12"/>
      <c r="D11" s="12"/>
      <c r="E11" s="12"/>
      <c r="F11" s="13"/>
      <c r="H11" s="1" t="s">
        <v>10</v>
      </c>
      <c r="I11" s="15" t="e">
        <f>B24-B25</f>
        <v>#DIV/0!</v>
      </c>
      <c r="J11" s="15" t="e">
        <f>C24-C25</f>
        <v>#DIV/0!</v>
      </c>
      <c r="K11" s="15" t="e">
        <f>D24-D25</f>
        <v>#DIV/0!</v>
      </c>
      <c r="L11" s="15" t="e">
        <f>E24-E25</f>
        <v>#DIV/0!</v>
      </c>
    </row>
    <row r="12" spans="1:12" x14ac:dyDescent="0.25">
      <c r="A12" s="14">
        <v>4</v>
      </c>
      <c r="B12" s="12"/>
      <c r="C12" s="12"/>
      <c r="D12" s="12"/>
      <c r="E12" s="12"/>
      <c r="F12" s="13"/>
      <c r="H12" s="1" t="s">
        <v>11</v>
      </c>
      <c r="I12" s="15" t="e">
        <f>B24+B25</f>
        <v>#DIV/0!</v>
      </c>
      <c r="J12" s="15" t="e">
        <f>C24+C25</f>
        <v>#DIV/0!</v>
      </c>
      <c r="K12" s="15" t="e">
        <f>D24+D25</f>
        <v>#DIV/0!</v>
      </c>
      <c r="L12" s="15" t="e">
        <f>E24+E25</f>
        <v>#DIV/0!</v>
      </c>
    </row>
    <row r="13" spans="1:12" x14ac:dyDescent="0.25">
      <c r="A13" s="14">
        <v>5</v>
      </c>
      <c r="B13" s="12"/>
      <c r="C13" s="12"/>
      <c r="D13" s="12"/>
      <c r="E13" s="12"/>
      <c r="F13" s="13"/>
    </row>
    <row r="14" spans="1:12" x14ac:dyDescent="0.25">
      <c r="A14" s="14">
        <v>6</v>
      </c>
      <c r="B14" s="12"/>
      <c r="C14" s="12"/>
      <c r="D14" s="12"/>
      <c r="E14" s="12"/>
      <c r="F14" s="13"/>
    </row>
    <row r="15" spans="1:12" ht="15" customHeight="1" x14ac:dyDescent="0.25">
      <c r="A15" s="14">
        <v>7</v>
      </c>
      <c r="B15" s="12"/>
      <c r="C15" s="12"/>
      <c r="D15" s="12"/>
      <c r="E15" s="12"/>
      <c r="F15" s="13"/>
    </row>
    <row r="16" spans="1:12" x14ac:dyDescent="0.25">
      <c r="A16" s="14">
        <v>8</v>
      </c>
      <c r="B16" s="12"/>
      <c r="C16" s="12"/>
      <c r="D16" s="12"/>
      <c r="E16" s="12"/>
      <c r="F16" s="13"/>
    </row>
    <row r="17" spans="1:7" x14ac:dyDescent="0.25">
      <c r="A17" s="14">
        <v>9</v>
      </c>
      <c r="B17" s="12"/>
      <c r="C17" s="12"/>
      <c r="D17" s="12"/>
      <c r="E17" s="12"/>
      <c r="F17" s="13"/>
    </row>
    <row r="18" spans="1:7" x14ac:dyDescent="0.25">
      <c r="A18" s="14">
        <v>10</v>
      </c>
      <c r="B18" s="12"/>
      <c r="C18" s="12"/>
      <c r="D18" s="12"/>
      <c r="E18" s="12"/>
      <c r="F18" s="13"/>
    </row>
    <row r="19" spans="1:7" ht="14.1" customHeight="1" x14ac:dyDescent="0.25">
      <c r="A19" s="14">
        <v>11</v>
      </c>
      <c r="B19" s="12"/>
      <c r="C19" s="12"/>
      <c r="D19" s="12"/>
      <c r="E19" s="12"/>
      <c r="F19" s="13"/>
    </row>
    <row r="20" spans="1:7" x14ac:dyDescent="0.25">
      <c r="A20" s="14">
        <v>12</v>
      </c>
      <c r="B20" s="12"/>
      <c r="C20" s="12"/>
      <c r="D20" s="12"/>
      <c r="E20" s="12"/>
      <c r="F20" s="13"/>
    </row>
    <row r="21" spans="1:7" x14ac:dyDescent="0.25">
      <c r="A21" s="14">
        <v>13</v>
      </c>
      <c r="B21" s="12"/>
      <c r="C21" s="12"/>
      <c r="D21" s="12"/>
      <c r="E21" s="12"/>
      <c r="F21" s="13"/>
    </row>
    <row r="22" spans="1:7" x14ac:dyDescent="0.25">
      <c r="A22" s="14">
        <v>14</v>
      </c>
      <c r="B22" s="12"/>
      <c r="C22" s="12"/>
      <c r="D22" s="12"/>
      <c r="E22" s="12"/>
      <c r="F22" s="13"/>
    </row>
    <row r="23" spans="1:7" x14ac:dyDescent="0.25">
      <c r="A23" s="14">
        <v>15</v>
      </c>
      <c r="B23" s="12"/>
      <c r="C23" s="12"/>
      <c r="D23" s="12"/>
      <c r="E23" s="12"/>
      <c r="F23" s="13"/>
    </row>
    <row r="24" spans="1:7" x14ac:dyDescent="0.25">
      <c r="A24" s="16" t="s">
        <v>12</v>
      </c>
      <c r="B24" s="17" t="e">
        <f>AVERAGE(B9:B23)</f>
        <v>#DIV/0!</v>
      </c>
      <c r="C24" s="17" t="e">
        <f t="shared" ref="C24:F24" si="0">AVERAGE(C9:C23)</f>
        <v>#DIV/0!</v>
      </c>
      <c r="D24" s="17" t="e">
        <f t="shared" si="0"/>
        <v>#DIV/0!</v>
      </c>
      <c r="E24" s="17" t="e">
        <f t="shared" si="0"/>
        <v>#DIV/0!</v>
      </c>
      <c r="F24" s="17" t="e">
        <f t="shared" si="0"/>
        <v>#DIV/0!</v>
      </c>
      <c r="G24" s="2" t="s">
        <v>13</v>
      </c>
    </row>
    <row r="25" spans="1:7" x14ac:dyDescent="0.25">
      <c r="A25" s="12" t="s">
        <v>14</v>
      </c>
      <c r="B25" s="18" t="e">
        <f>STDEV(B9:B23)</f>
        <v>#DIV/0!</v>
      </c>
      <c r="C25" s="18" t="e">
        <f t="shared" ref="C25:F25" si="1">STDEV(C9:C23)</f>
        <v>#DIV/0!</v>
      </c>
      <c r="D25" s="18" t="e">
        <f t="shared" si="1"/>
        <v>#DIV/0!</v>
      </c>
      <c r="E25" s="18" t="e">
        <f t="shared" si="1"/>
        <v>#DIV/0!</v>
      </c>
      <c r="F25" s="18" t="e">
        <f t="shared" si="1"/>
        <v>#DIV/0!</v>
      </c>
      <c r="G25" s="2">
        <v>15</v>
      </c>
    </row>
    <row r="26" spans="1:7" x14ac:dyDescent="0.25">
      <c r="B26" s="15"/>
      <c r="C26" s="15"/>
      <c r="D26" s="15"/>
      <c r="E26" s="15"/>
    </row>
    <row r="27" spans="1:7" x14ac:dyDescent="0.25">
      <c r="A27" s="1" t="s">
        <v>15</v>
      </c>
    </row>
    <row r="28" spans="1:7" ht="31.5" customHeight="1" x14ac:dyDescent="0.25">
      <c r="A28" s="19" t="s">
        <v>16</v>
      </c>
      <c r="B28" s="36" t="s">
        <v>3</v>
      </c>
      <c r="C28" s="36" t="s">
        <v>4</v>
      </c>
      <c r="D28" s="36" t="s">
        <v>5</v>
      </c>
      <c r="E28" s="36" t="s">
        <v>6</v>
      </c>
      <c r="F28" s="37" t="s">
        <v>7</v>
      </c>
    </row>
    <row r="29" spans="1:7" x14ac:dyDescent="0.25">
      <c r="A29" s="10" t="s">
        <v>8</v>
      </c>
      <c r="B29" s="36"/>
      <c r="C29" s="36"/>
      <c r="D29" s="36"/>
      <c r="E29" s="36"/>
      <c r="F29" s="37"/>
    </row>
    <row r="30" spans="1:7" ht="15" customHeight="1" x14ac:dyDescent="0.25">
      <c r="A30" s="11">
        <v>1</v>
      </c>
      <c r="B30" s="12"/>
      <c r="C30" s="12"/>
      <c r="D30" s="12"/>
      <c r="E30" s="12"/>
      <c r="F30" s="13"/>
    </row>
    <row r="31" spans="1:7" x14ac:dyDescent="0.25">
      <c r="A31" s="14">
        <v>2</v>
      </c>
      <c r="B31" s="12"/>
      <c r="C31" s="12"/>
      <c r="D31" s="12"/>
      <c r="E31" s="12"/>
      <c r="F31" s="13"/>
    </row>
    <row r="32" spans="1:7" x14ac:dyDescent="0.25">
      <c r="A32" s="14">
        <v>3</v>
      </c>
      <c r="B32" s="12"/>
      <c r="C32" s="12"/>
      <c r="D32" s="12"/>
      <c r="E32" s="12"/>
      <c r="F32" s="13"/>
    </row>
    <row r="33" spans="1:7" x14ac:dyDescent="0.25">
      <c r="A33" s="14">
        <v>4</v>
      </c>
      <c r="B33" s="12"/>
      <c r="C33" s="12"/>
      <c r="D33" s="12"/>
      <c r="E33" s="12"/>
      <c r="F33" s="13"/>
    </row>
    <row r="34" spans="1:7" x14ac:dyDescent="0.25">
      <c r="A34" s="14">
        <v>5</v>
      </c>
      <c r="B34" s="12"/>
      <c r="C34" s="12"/>
      <c r="D34" s="12"/>
      <c r="E34" s="12"/>
      <c r="F34" s="13"/>
    </row>
    <row r="35" spans="1:7" x14ac:dyDescent="0.25">
      <c r="A35" s="14">
        <v>6</v>
      </c>
      <c r="B35" s="12"/>
      <c r="C35" s="12"/>
      <c r="D35" s="12"/>
      <c r="E35" s="12"/>
      <c r="F35" s="13"/>
    </row>
    <row r="36" spans="1:7" ht="15" customHeight="1" x14ac:dyDescent="0.25">
      <c r="A36" s="14">
        <v>7</v>
      </c>
      <c r="B36" s="12"/>
      <c r="C36" s="12"/>
      <c r="D36" s="12"/>
      <c r="E36" s="12"/>
      <c r="F36" s="13"/>
    </row>
    <row r="37" spans="1:7" x14ac:dyDescent="0.25">
      <c r="A37" s="14">
        <v>8</v>
      </c>
      <c r="B37" s="12"/>
      <c r="C37" s="12"/>
      <c r="D37" s="12"/>
      <c r="E37" s="12"/>
      <c r="F37" s="13"/>
    </row>
    <row r="38" spans="1:7" x14ac:dyDescent="0.25">
      <c r="A38" s="14">
        <v>9</v>
      </c>
      <c r="B38" s="12"/>
      <c r="C38" s="12"/>
      <c r="D38" s="12"/>
      <c r="E38" s="12"/>
      <c r="F38" s="13"/>
    </row>
    <row r="39" spans="1:7" x14ac:dyDescent="0.25">
      <c r="A39" s="14">
        <v>10</v>
      </c>
      <c r="B39" s="12"/>
      <c r="C39" s="12"/>
      <c r="D39" s="12"/>
      <c r="E39" s="12"/>
      <c r="F39" s="13"/>
    </row>
    <row r="40" spans="1:7" x14ac:dyDescent="0.25">
      <c r="A40" s="14">
        <v>11</v>
      </c>
      <c r="B40" s="12"/>
      <c r="C40" s="12"/>
      <c r="D40" s="12"/>
      <c r="E40" s="12"/>
      <c r="F40" s="13"/>
    </row>
    <row r="41" spans="1:7" x14ac:dyDescent="0.25">
      <c r="A41" s="14">
        <v>12</v>
      </c>
      <c r="B41" s="12"/>
      <c r="C41" s="12"/>
      <c r="D41" s="12"/>
      <c r="E41" s="12"/>
      <c r="F41" s="13"/>
    </row>
    <row r="42" spans="1:7" x14ac:dyDescent="0.25">
      <c r="A42" s="14">
        <v>13</v>
      </c>
      <c r="B42" s="12"/>
      <c r="C42" s="12"/>
      <c r="D42" s="12"/>
      <c r="E42" s="12"/>
      <c r="F42" s="13"/>
    </row>
    <row r="43" spans="1:7" x14ac:dyDescent="0.25">
      <c r="A43" s="14">
        <v>14</v>
      </c>
      <c r="B43" s="12"/>
      <c r="C43" s="12"/>
      <c r="D43" s="12"/>
      <c r="E43" s="12"/>
      <c r="F43" s="13"/>
    </row>
    <row r="44" spans="1:7" x14ac:dyDescent="0.25">
      <c r="A44" s="14">
        <v>15</v>
      </c>
      <c r="B44" s="12"/>
      <c r="C44" s="12"/>
      <c r="D44" s="12"/>
      <c r="E44" s="12"/>
      <c r="F44" s="13"/>
    </row>
    <row r="45" spans="1:7" x14ac:dyDescent="0.25">
      <c r="A45" s="16" t="s">
        <v>12</v>
      </c>
      <c r="B45" s="17" t="e">
        <f>AVERAGE(B30:B44)</f>
        <v>#DIV/0!</v>
      </c>
      <c r="C45" s="17" t="e">
        <f>AVERAGE(C30:C44)</f>
        <v>#DIV/0!</v>
      </c>
      <c r="D45" s="17" t="e">
        <f>AVERAGE(D30:D44)</f>
        <v>#DIV/0!</v>
      </c>
      <c r="E45" s="17" t="e">
        <f>AVERAGE(E30:E44)</f>
        <v>#DIV/0!</v>
      </c>
      <c r="F45" s="17" t="e">
        <f>AVERAGE(F30:F44)</f>
        <v>#DIV/0!</v>
      </c>
      <c r="G45" s="2" t="s">
        <v>13</v>
      </c>
    </row>
    <row r="46" spans="1:7" x14ac:dyDescent="0.25">
      <c r="A46" s="12" t="s">
        <v>14</v>
      </c>
      <c r="B46" s="18" t="e">
        <f>STDEV(B30:B44)</f>
        <v>#DIV/0!</v>
      </c>
      <c r="C46" s="18" t="e">
        <f>STDEV(C30:C44)</f>
        <v>#DIV/0!</v>
      </c>
      <c r="D46" s="18" t="e">
        <f>STDEV(D30:D44)</f>
        <v>#DIV/0!</v>
      </c>
      <c r="E46" s="18" t="e">
        <f>STDEV(E30:E44)</f>
        <v>#DIV/0!</v>
      </c>
      <c r="F46" s="18" t="e">
        <f>STDEV(F30:F44)</f>
        <v>#DIV/0!</v>
      </c>
      <c r="G46" s="2">
        <v>15</v>
      </c>
    </row>
    <row r="51" spans="1:6" ht="31.5" customHeight="1" x14ac:dyDescent="0.25">
      <c r="A51" s="19">
        <v>3</v>
      </c>
      <c r="B51" s="36" t="s">
        <v>3</v>
      </c>
      <c r="C51" s="36" t="s">
        <v>4</v>
      </c>
      <c r="D51" s="36" t="s">
        <v>5</v>
      </c>
      <c r="E51" s="36" t="s">
        <v>6</v>
      </c>
      <c r="F51" s="37" t="s">
        <v>7</v>
      </c>
    </row>
    <row r="52" spans="1:6" x14ac:dyDescent="0.25">
      <c r="A52" s="10" t="s">
        <v>8</v>
      </c>
      <c r="B52" s="36"/>
      <c r="C52" s="36"/>
      <c r="D52" s="36"/>
      <c r="E52" s="36"/>
      <c r="F52" s="37"/>
    </row>
    <row r="53" spans="1:6" ht="15" customHeight="1" x14ac:dyDescent="0.25">
      <c r="A53" s="11">
        <v>1</v>
      </c>
      <c r="B53" s="12"/>
      <c r="C53" s="12"/>
      <c r="D53" s="12"/>
      <c r="E53" s="12"/>
      <c r="F53" s="13"/>
    </row>
    <row r="54" spans="1:6" x14ac:dyDescent="0.25">
      <c r="A54" s="14">
        <v>2</v>
      </c>
      <c r="B54" s="12"/>
      <c r="C54" s="12"/>
      <c r="D54" s="12"/>
      <c r="E54" s="12"/>
      <c r="F54" s="13"/>
    </row>
    <row r="55" spans="1:6" x14ac:dyDescent="0.25">
      <c r="A55" s="14">
        <v>3</v>
      </c>
      <c r="B55" s="12"/>
      <c r="C55" s="12"/>
      <c r="D55" s="12"/>
      <c r="E55" s="12"/>
      <c r="F55" s="13"/>
    </row>
    <row r="56" spans="1:6" x14ac:dyDescent="0.25">
      <c r="A56" s="14">
        <v>4</v>
      </c>
      <c r="B56" s="12"/>
      <c r="C56" s="12"/>
      <c r="D56" s="12"/>
      <c r="E56" s="12"/>
      <c r="F56" s="13"/>
    </row>
    <row r="57" spans="1:6" x14ac:dyDescent="0.25">
      <c r="A57" s="14">
        <v>5</v>
      </c>
      <c r="B57" s="12"/>
      <c r="C57" s="12"/>
      <c r="D57" s="12"/>
      <c r="E57" s="12"/>
      <c r="F57" s="13"/>
    </row>
    <row r="58" spans="1:6" x14ac:dyDescent="0.25">
      <c r="A58" s="14">
        <v>6</v>
      </c>
      <c r="B58" s="12"/>
      <c r="C58" s="12"/>
      <c r="D58" s="12"/>
      <c r="E58" s="12"/>
      <c r="F58" s="13"/>
    </row>
    <row r="59" spans="1:6" ht="15" customHeight="1" x14ac:dyDescent="0.25">
      <c r="A59" s="14">
        <v>7</v>
      </c>
      <c r="B59" s="12"/>
      <c r="C59" s="12"/>
      <c r="D59" s="12"/>
      <c r="E59" s="12"/>
      <c r="F59" s="13"/>
    </row>
    <row r="60" spans="1:6" x14ac:dyDescent="0.25">
      <c r="A60" s="14">
        <v>8</v>
      </c>
      <c r="B60" s="12"/>
      <c r="C60" s="12"/>
      <c r="D60" s="12"/>
      <c r="E60" s="12"/>
      <c r="F60" s="13"/>
    </row>
    <row r="61" spans="1:6" x14ac:dyDescent="0.25">
      <c r="A61" s="14">
        <v>9</v>
      </c>
      <c r="B61" s="12"/>
      <c r="C61" s="12"/>
      <c r="D61" s="12"/>
      <c r="E61" s="12"/>
      <c r="F61" s="13"/>
    </row>
    <row r="62" spans="1:6" x14ac:dyDescent="0.25">
      <c r="A62" s="14">
        <v>10</v>
      </c>
      <c r="B62" s="12"/>
      <c r="C62" s="12"/>
      <c r="D62" s="12"/>
      <c r="E62" s="12"/>
      <c r="F62" s="13"/>
    </row>
    <row r="63" spans="1:6" x14ac:dyDescent="0.25">
      <c r="A63" s="14">
        <v>11</v>
      </c>
      <c r="B63" s="12"/>
      <c r="C63" s="12"/>
      <c r="D63" s="12"/>
      <c r="E63" s="12"/>
      <c r="F63" s="13"/>
    </row>
    <row r="64" spans="1:6" x14ac:dyDescent="0.25">
      <c r="A64" s="14">
        <v>12</v>
      </c>
      <c r="B64" s="12"/>
      <c r="C64" s="12"/>
      <c r="D64" s="12"/>
      <c r="E64" s="12"/>
      <c r="F64" s="13"/>
    </row>
    <row r="65" spans="1:7" x14ac:dyDescent="0.25">
      <c r="A65" s="14">
        <v>13</v>
      </c>
      <c r="B65" s="12"/>
      <c r="C65" s="12"/>
      <c r="D65" s="12"/>
      <c r="E65" s="12"/>
      <c r="F65" s="13"/>
    </row>
    <row r="66" spans="1:7" x14ac:dyDescent="0.25">
      <c r="A66" s="14">
        <v>14</v>
      </c>
      <c r="B66" s="12"/>
      <c r="C66" s="12"/>
      <c r="D66" s="12"/>
      <c r="E66" s="12"/>
      <c r="F66" s="13"/>
    </row>
    <row r="67" spans="1:7" x14ac:dyDescent="0.25">
      <c r="A67" s="14">
        <v>15</v>
      </c>
      <c r="B67" s="12"/>
      <c r="C67" s="12"/>
      <c r="D67" s="12"/>
      <c r="E67" s="12"/>
      <c r="F67" s="13"/>
    </row>
    <row r="68" spans="1:7" x14ac:dyDescent="0.25">
      <c r="A68" s="16" t="s">
        <v>12</v>
      </c>
      <c r="B68" s="17" t="e">
        <f>AVERAGE(B53:B67)</f>
        <v>#DIV/0!</v>
      </c>
      <c r="C68" s="17" t="e">
        <f>AVERAGE(C53:C67)</f>
        <v>#DIV/0!</v>
      </c>
      <c r="D68" s="17" t="e">
        <f>AVERAGE(D53:D67)</f>
        <v>#DIV/0!</v>
      </c>
      <c r="E68" s="17" t="e">
        <f>AVERAGE(E53:E67)</f>
        <v>#DIV/0!</v>
      </c>
      <c r="F68" s="17" t="e">
        <f>AVERAGE(F53:F67)</f>
        <v>#DIV/0!</v>
      </c>
      <c r="G68" s="2" t="s">
        <v>13</v>
      </c>
    </row>
    <row r="69" spans="1:7" x14ac:dyDescent="0.25">
      <c r="A69" s="12" t="s">
        <v>14</v>
      </c>
      <c r="B69" s="18" t="e">
        <f>STDEV(B53:B67)</f>
        <v>#DIV/0!</v>
      </c>
      <c r="C69" s="18" t="e">
        <f>STDEV(C53:C67)</f>
        <v>#DIV/0!</v>
      </c>
      <c r="D69" s="18" t="e">
        <f>STDEV(D53:D67)</f>
        <v>#DIV/0!</v>
      </c>
      <c r="E69" s="18" t="e">
        <f>STDEV(E53:E67)</f>
        <v>#DIV/0!</v>
      </c>
      <c r="F69" s="18" t="e">
        <f>STDEV(F53:F67)</f>
        <v>#DIV/0!</v>
      </c>
      <c r="G69" s="2">
        <v>15</v>
      </c>
    </row>
    <row r="72" spans="1:7" ht="31.5" customHeight="1" x14ac:dyDescent="0.25">
      <c r="A72" s="19">
        <v>4</v>
      </c>
      <c r="B72" s="36" t="s">
        <v>3</v>
      </c>
      <c r="C72" s="36" t="s">
        <v>4</v>
      </c>
      <c r="D72" s="36" t="s">
        <v>5</v>
      </c>
      <c r="E72" s="36" t="s">
        <v>6</v>
      </c>
      <c r="F72" s="37" t="s">
        <v>7</v>
      </c>
    </row>
    <row r="73" spans="1:7" x14ac:dyDescent="0.25">
      <c r="A73" s="10" t="s">
        <v>8</v>
      </c>
      <c r="B73" s="36"/>
      <c r="C73" s="36"/>
      <c r="D73" s="36"/>
      <c r="E73" s="36"/>
      <c r="F73" s="37"/>
    </row>
    <row r="74" spans="1:7" ht="15" customHeight="1" x14ac:dyDescent="0.25">
      <c r="A74" s="11">
        <v>1</v>
      </c>
      <c r="B74" s="12"/>
      <c r="C74" s="12"/>
      <c r="D74" s="12"/>
      <c r="E74" s="12"/>
      <c r="F74" s="13"/>
    </row>
    <row r="75" spans="1:7" x14ac:dyDescent="0.25">
      <c r="A75" s="14">
        <v>2</v>
      </c>
      <c r="B75" s="12"/>
      <c r="C75" s="12"/>
      <c r="D75" s="12"/>
      <c r="E75" s="12"/>
      <c r="F75" s="13"/>
    </row>
    <row r="76" spans="1:7" x14ac:dyDescent="0.25">
      <c r="A76" s="14">
        <v>3</v>
      </c>
      <c r="B76" s="12"/>
      <c r="C76" s="12"/>
      <c r="D76" s="12"/>
      <c r="E76" s="12"/>
      <c r="F76" s="13"/>
    </row>
    <row r="77" spans="1:7" x14ac:dyDescent="0.25">
      <c r="A77" s="14">
        <v>4</v>
      </c>
      <c r="B77" s="12"/>
      <c r="C77" s="12"/>
      <c r="D77" s="12"/>
      <c r="E77" s="12"/>
      <c r="F77" s="13"/>
    </row>
    <row r="78" spans="1:7" x14ac:dyDescent="0.25">
      <c r="A78" s="14">
        <v>5</v>
      </c>
      <c r="B78" s="12"/>
      <c r="C78" s="12"/>
      <c r="D78" s="12"/>
      <c r="E78" s="12"/>
      <c r="F78" s="13"/>
    </row>
    <row r="79" spans="1:7" x14ac:dyDescent="0.25">
      <c r="A79" s="14">
        <v>6</v>
      </c>
      <c r="B79" s="12"/>
      <c r="C79" s="12"/>
      <c r="D79" s="12"/>
      <c r="E79" s="12"/>
      <c r="F79" s="13"/>
    </row>
    <row r="80" spans="1:7" ht="15" customHeight="1" x14ac:dyDescent="0.25">
      <c r="A80" s="14">
        <v>7</v>
      </c>
      <c r="B80" s="12"/>
      <c r="C80" s="12"/>
      <c r="D80" s="12"/>
      <c r="E80" s="12"/>
      <c r="F80" s="13"/>
    </row>
    <row r="81" spans="1:7" x14ac:dyDescent="0.25">
      <c r="A81" s="14">
        <v>8</v>
      </c>
      <c r="B81" s="12"/>
      <c r="C81" s="12"/>
      <c r="D81" s="12"/>
      <c r="E81" s="12"/>
      <c r="F81" s="13"/>
    </row>
    <row r="82" spans="1:7" x14ac:dyDescent="0.25">
      <c r="A82" s="14">
        <v>9</v>
      </c>
      <c r="B82" s="12"/>
      <c r="C82" s="12"/>
      <c r="D82" s="12"/>
      <c r="E82" s="12"/>
      <c r="F82" s="13"/>
    </row>
    <row r="83" spans="1:7" x14ac:dyDescent="0.25">
      <c r="A83" s="14">
        <v>10</v>
      </c>
      <c r="B83" s="12"/>
      <c r="C83" s="12"/>
      <c r="D83" s="12"/>
      <c r="E83" s="12"/>
      <c r="F83" s="13"/>
    </row>
    <row r="84" spans="1:7" x14ac:dyDescent="0.25">
      <c r="A84" s="14">
        <v>11</v>
      </c>
      <c r="B84" s="12"/>
      <c r="C84" s="12"/>
      <c r="D84" s="12"/>
      <c r="E84" s="12"/>
      <c r="F84" s="13"/>
    </row>
    <row r="85" spans="1:7" x14ac:dyDescent="0.25">
      <c r="A85" s="14">
        <v>12</v>
      </c>
      <c r="B85" s="12"/>
      <c r="C85" s="12"/>
      <c r="D85" s="12"/>
      <c r="E85" s="12"/>
      <c r="F85" s="13"/>
    </row>
    <row r="86" spans="1:7" x14ac:dyDescent="0.25">
      <c r="A86" s="14">
        <v>13</v>
      </c>
      <c r="B86" s="12"/>
      <c r="C86" s="12"/>
      <c r="D86" s="12"/>
      <c r="E86" s="12"/>
      <c r="F86" s="13"/>
    </row>
    <row r="87" spans="1:7" x14ac:dyDescent="0.25">
      <c r="A87" s="14">
        <v>14</v>
      </c>
      <c r="B87" s="12"/>
      <c r="C87" s="12"/>
      <c r="D87" s="12"/>
      <c r="E87" s="12"/>
      <c r="F87" s="13"/>
    </row>
    <row r="88" spans="1:7" x14ac:dyDescent="0.25">
      <c r="A88" s="14">
        <v>15</v>
      </c>
      <c r="B88" s="12"/>
      <c r="C88" s="12"/>
      <c r="D88" s="12"/>
      <c r="E88" s="12"/>
      <c r="F88" s="13"/>
    </row>
    <row r="89" spans="1:7" x14ac:dyDescent="0.25">
      <c r="A89" s="16" t="s">
        <v>12</v>
      </c>
      <c r="B89" s="17" t="e">
        <f>AVERAGE(B74:B88)</f>
        <v>#DIV/0!</v>
      </c>
      <c r="C89" s="17" t="e">
        <f>AVERAGE(C74:C88)</f>
        <v>#DIV/0!</v>
      </c>
      <c r="D89" s="17" t="e">
        <f>AVERAGE(D74:D88)</f>
        <v>#DIV/0!</v>
      </c>
      <c r="E89" s="17" t="e">
        <f>AVERAGE(E74:E88)</f>
        <v>#DIV/0!</v>
      </c>
      <c r="F89" s="17" t="e">
        <f>AVERAGE(F74:F88)</f>
        <v>#DIV/0!</v>
      </c>
      <c r="G89" s="2" t="s">
        <v>13</v>
      </c>
    </row>
    <row r="90" spans="1:7" x14ac:dyDescent="0.25">
      <c r="A90" s="12" t="s">
        <v>14</v>
      </c>
      <c r="B90" s="18" t="e">
        <f>STDEV(B74:B88)</f>
        <v>#DIV/0!</v>
      </c>
      <c r="C90" s="18" t="e">
        <f>STDEV(C74:C88)</f>
        <v>#DIV/0!</v>
      </c>
      <c r="D90" s="18" t="e">
        <f>STDEV(D74:D88)</f>
        <v>#DIV/0!</v>
      </c>
      <c r="E90" s="18" t="e">
        <f>STDEV(E74:E88)</f>
        <v>#DIV/0!</v>
      </c>
      <c r="F90" s="18" t="e">
        <f>STDEV(F74:F88)</f>
        <v>#DIV/0!</v>
      </c>
      <c r="G90" s="2">
        <v>15</v>
      </c>
    </row>
    <row r="93" spans="1:7" ht="31.5" customHeight="1" x14ac:dyDescent="0.25">
      <c r="A93" s="19">
        <v>5</v>
      </c>
      <c r="B93" s="36" t="s">
        <v>3</v>
      </c>
      <c r="C93" s="36" t="s">
        <v>4</v>
      </c>
      <c r="D93" s="36" t="s">
        <v>5</v>
      </c>
      <c r="E93" s="36" t="s">
        <v>6</v>
      </c>
      <c r="F93" s="37" t="s">
        <v>7</v>
      </c>
    </row>
    <row r="94" spans="1:7" x14ac:dyDescent="0.25">
      <c r="A94" s="10" t="s">
        <v>8</v>
      </c>
      <c r="B94" s="36"/>
      <c r="C94" s="36"/>
      <c r="D94" s="36"/>
      <c r="E94" s="36"/>
      <c r="F94" s="37"/>
    </row>
    <row r="95" spans="1:7" ht="15" customHeight="1" x14ac:dyDescent="0.25">
      <c r="A95" s="11">
        <v>1</v>
      </c>
      <c r="B95" s="12"/>
      <c r="C95" s="12"/>
      <c r="D95" s="12"/>
      <c r="E95" s="12"/>
      <c r="F95" s="13"/>
    </row>
    <row r="96" spans="1:7" x14ac:dyDescent="0.25">
      <c r="A96" s="14">
        <v>2</v>
      </c>
      <c r="B96" s="12"/>
      <c r="C96" s="12"/>
      <c r="D96" s="12"/>
      <c r="E96" s="12"/>
      <c r="F96" s="13"/>
    </row>
    <row r="97" spans="1:7" x14ac:dyDescent="0.25">
      <c r="A97" s="14">
        <v>3</v>
      </c>
      <c r="B97" s="12"/>
      <c r="C97" s="12"/>
      <c r="D97" s="12"/>
      <c r="E97" s="12"/>
      <c r="F97" s="13"/>
    </row>
    <row r="98" spans="1:7" x14ac:dyDescent="0.25">
      <c r="A98" s="14">
        <v>4</v>
      </c>
      <c r="B98" s="12"/>
      <c r="C98" s="12"/>
      <c r="D98" s="12"/>
      <c r="E98" s="12"/>
      <c r="F98" s="13"/>
    </row>
    <row r="99" spans="1:7" x14ac:dyDescent="0.25">
      <c r="A99" s="14">
        <v>5</v>
      </c>
      <c r="B99" s="12"/>
      <c r="C99" s="12"/>
      <c r="D99" s="12"/>
      <c r="E99" s="12"/>
      <c r="F99" s="13"/>
    </row>
    <row r="100" spans="1:7" x14ac:dyDescent="0.25">
      <c r="A100" s="14">
        <v>6</v>
      </c>
      <c r="B100" s="12"/>
      <c r="C100" s="12"/>
      <c r="D100" s="12"/>
      <c r="E100" s="12"/>
      <c r="F100" s="13"/>
    </row>
    <row r="101" spans="1:7" ht="15" customHeight="1" x14ac:dyDescent="0.25">
      <c r="A101" s="14">
        <v>7</v>
      </c>
      <c r="B101" s="12"/>
      <c r="C101" s="12"/>
      <c r="D101" s="12"/>
      <c r="E101" s="12"/>
      <c r="F101" s="13"/>
    </row>
    <row r="102" spans="1:7" x14ac:dyDescent="0.25">
      <c r="A102" s="14">
        <v>8</v>
      </c>
      <c r="B102" s="12"/>
      <c r="C102" s="12"/>
      <c r="D102" s="12"/>
      <c r="E102" s="12"/>
      <c r="F102" s="13"/>
    </row>
    <row r="103" spans="1:7" x14ac:dyDescent="0.25">
      <c r="A103" s="14">
        <v>9</v>
      </c>
      <c r="B103" s="12"/>
      <c r="C103" s="12"/>
      <c r="D103" s="12"/>
      <c r="E103" s="12"/>
      <c r="F103" s="13"/>
    </row>
    <row r="104" spans="1:7" x14ac:dyDescent="0.25">
      <c r="A104" s="14">
        <v>10</v>
      </c>
      <c r="B104" s="12"/>
      <c r="C104" s="12"/>
      <c r="D104" s="12"/>
      <c r="E104" s="12"/>
      <c r="F104" s="13"/>
    </row>
    <row r="105" spans="1:7" x14ac:dyDescent="0.25">
      <c r="A105" s="14">
        <v>11</v>
      </c>
      <c r="B105" s="12"/>
      <c r="C105" s="12"/>
      <c r="D105" s="12"/>
      <c r="E105" s="12"/>
      <c r="F105" s="13"/>
    </row>
    <row r="106" spans="1:7" x14ac:dyDescent="0.25">
      <c r="A106" s="14">
        <v>12</v>
      </c>
      <c r="B106" s="12"/>
      <c r="C106" s="12"/>
      <c r="D106" s="12"/>
      <c r="E106" s="12"/>
      <c r="F106" s="13"/>
    </row>
    <row r="107" spans="1:7" x14ac:dyDescent="0.25">
      <c r="A107" s="14">
        <v>13</v>
      </c>
      <c r="B107" s="12"/>
      <c r="C107" s="12"/>
      <c r="D107" s="12"/>
      <c r="E107" s="12"/>
      <c r="F107" s="13"/>
    </row>
    <row r="108" spans="1:7" x14ac:dyDescent="0.25">
      <c r="A108" s="14">
        <v>14</v>
      </c>
      <c r="B108" s="12"/>
      <c r="C108" s="12"/>
      <c r="D108" s="12"/>
      <c r="E108" s="12"/>
      <c r="F108" s="13"/>
    </row>
    <row r="109" spans="1:7" x14ac:dyDescent="0.25">
      <c r="A109" s="14">
        <v>15</v>
      </c>
      <c r="B109" s="12"/>
      <c r="C109" s="12"/>
      <c r="D109" s="12"/>
      <c r="E109" s="12"/>
      <c r="F109" s="13"/>
    </row>
    <row r="110" spans="1:7" x14ac:dyDescent="0.25">
      <c r="A110" s="16" t="s">
        <v>12</v>
      </c>
      <c r="B110" s="17" t="e">
        <f>AVERAGE(B95:B109)</f>
        <v>#DIV/0!</v>
      </c>
      <c r="C110" s="17" t="e">
        <f>AVERAGE(C95:C109)</f>
        <v>#DIV/0!</v>
      </c>
      <c r="D110" s="17" t="e">
        <f>AVERAGE(D95:D109)</f>
        <v>#DIV/0!</v>
      </c>
      <c r="E110" s="17" t="e">
        <f>AVERAGE(E95:E109)</f>
        <v>#DIV/0!</v>
      </c>
      <c r="F110" s="17" t="e">
        <f>AVERAGE(F95:F109)</f>
        <v>#DIV/0!</v>
      </c>
      <c r="G110" s="2" t="s">
        <v>13</v>
      </c>
    </row>
    <row r="111" spans="1:7" x14ac:dyDescent="0.25">
      <c r="A111" s="12" t="s">
        <v>14</v>
      </c>
      <c r="B111" s="18" t="e">
        <f>STDEV(B95:B109)</f>
        <v>#DIV/0!</v>
      </c>
      <c r="C111" s="18" t="e">
        <f>STDEV(C95:C109)</f>
        <v>#DIV/0!</v>
      </c>
      <c r="D111" s="18" t="e">
        <f>STDEV(D95:D109)</f>
        <v>#DIV/0!</v>
      </c>
      <c r="E111" s="18" t="e">
        <f>STDEV(E95:E109)</f>
        <v>#DIV/0!</v>
      </c>
      <c r="F111" s="18" t="e">
        <f>STDEV(F95:F109)</f>
        <v>#DIV/0!</v>
      </c>
      <c r="G111" s="2">
        <v>15</v>
      </c>
    </row>
    <row r="114" spans="1:7" ht="31.5" customHeight="1" x14ac:dyDescent="0.25">
      <c r="A114" s="19">
        <v>6</v>
      </c>
      <c r="B114" s="36" t="s">
        <v>3</v>
      </c>
      <c r="C114" s="36" t="s">
        <v>4</v>
      </c>
      <c r="D114" s="36" t="s">
        <v>5</v>
      </c>
      <c r="E114" s="36" t="s">
        <v>6</v>
      </c>
      <c r="F114" s="37" t="s">
        <v>7</v>
      </c>
    </row>
    <row r="115" spans="1:7" x14ac:dyDescent="0.25">
      <c r="A115" s="10" t="s">
        <v>8</v>
      </c>
      <c r="B115" s="36"/>
      <c r="C115" s="36"/>
      <c r="D115" s="36"/>
      <c r="E115" s="36"/>
      <c r="F115" s="37"/>
    </row>
    <row r="116" spans="1:7" ht="15" customHeight="1" x14ac:dyDescent="0.25">
      <c r="A116" s="11">
        <v>1</v>
      </c>
      <c r="B116" s="12"/>
      <c r="C116" s="12"/>
      <c r="D116" s="12"/>
      <c r="E116" s="12"/>
      <c r="F116" s="13"/>
    </row>
    <row r="117" spans="1:7" x14ac:dyDescent="0.25">
      <c r="A117" s="14">
        <v>2</v>
      </c>
      <c r="B117" s="12"/>
      <c r="C117" s="12"/>
      <c r="D117" s="12"/>
      <c r="E117" s="12"/>
      <c r="F117" s="13"/>
      <c r="G117" s="2" t="s">
        <v>17</v>
      </c>
    </row>
    <row r="118" spans="1:7" x14ac:dyDescent="0.25">
      <c r="A118" s="14">
        <v>3</v>
      </c>
      <c r="B118" s="12"/>
      <c r="C118" s="12"/>
      <c r="D118" s="12"/>
      <c r="E118" s="12"/>
      <c r="F118" s="13"/>
    </row>
    <row r="119" spans="1:7" x14ac:dyDescent="0.25">
      <c r="A119" s="14">
        <v>4</v>
      </c>
      <c r="B119" s="12"/>
      <c r="C119" s="12"/>
      <c r="D119" s="12"/>
      <c r="E119" s="12"/>
      <c r="F119" s="13"/>
    </row>
    <row r="120" spans="1:7" x14ac:dyDescent="0.25">
      <c r="A120" s="14">
        <v>5</v>
      </c>
      <c r="B120" s="12"/>
      <c r="C120" s="12"/>
      <c r="D120" s="12"/>
      <c r="E120" s="12"/>
      <c r="F120" s="13"/>
    </row>
    <row r="121" spans="1:7" x14ac:dyDescent="0.25">
      <c r="A121" s="14">
        <v>6</v>
      </c>
      <c r="B121" s="12"/>
      <c r="C121" s="12"/>
      <c r="D121" s="12"/>
      <c r="E121" s="12"/>
      <c r="F121" s="13"/>
    </row>
    <row r="122" spans="1:7" ht="15" customHeight="1" x14ac:dyDescent="0.25">
      <c r="A122" s="14">
        <v>7</v>
      </c>
      <c r="B122" s="12"/>
      <c r="C122" s="12"/>
      <c r="D122" s="12"/>
      <c r="E122" s="12"/>
      <c r="F122" s="13"/>
    </row>
    <row r="123" spans="1:7" x14ac:dyDescent="0.25">
      <c r="A123" s="14">
        <v>8</v>
      </c>
      <c r="B123" s="12"/>
      <c r="C123" s="12"/>
      <c r="D123" s="12"/>
      <c r="E123" s="12"/>
      <c r="F123" s="13"/>
    </row>
    <row r="124" spans="1:7" x14ac:dyDescent="0.25">
      <c r="A124" s="14">
        <v>9</v>
      </c>
      <c r="B124" s="12"/>
      <c r="C124" s="12"/>
      <c r="D124" s="12"/>
      <c r="E124" s="12"/>
      <c r="F124" s="13"/>
    </row>
    <row r="125" spans="1:7" x14ac:dyDescent="0.25">
      <c r="A125" s="14">
        <v>10</v>
      </c>
      <c r="B125" s="12"/>
      <c r="C125" s="12"/>
      <c r="D125" s="12"/>
      <c r="E125" s="12"/>
      <c r="F125" s="13"/>
    </row>
    <row r="126" spans="1:7" x14ac:dyDescent="0.25">
      <c r="A126" s="14">
        <v>11</v>
      </c>
      <c r="B126" s="12"/>
      <c r="C126" s="12"/>
      <c r="D126" s="12"/>
      <c r="E126" s="12"/>
      <c r="F126" s="13"/>
    </row>
    <row r="127" spans="1:7" x14ac:dyDescent="0.25">
      <c r="A127" s="14">
        <v>12</v>
      </c>
      <c r="B127" s="12"/>
      <c r="C127" s="12"/>
      <c r="D127" s="12"/>
      <c r="E127" s="12"/>
      <c r="F127" s="13"/>
      <c r="G127" s="2" t="s">
        <v>18</v>
      </c>
    </row>
    <row r="128" spans="1:7" x14ac:dyDescent="0.25">
      <c r="A128" s="14">
        <v>13</v>
      </c>
      <c r="B128" s="12"/>
      <c r="C128" s="12"/>
      <c r="D128" s="12"/>
      <c r="E128" s="12"/>
      <c r="F128" s="13"/>
    </row>
    <row r="129" spans="1:7" x14ac:dyDescent="0.25">
      <c r="A129" s="14">
        <v>14</v>
      </c>
      <c r="B129" s="12"/>
      <c r="C129" s="12"/>
      <c r="D129" s="12"/>
      <c r="E129" s="12"/>
      <c r="F129" s="13"/>
    </row>
    <row r="130" spans="1:7" x14ac:dyDescent="0.25">
      <c r="A130" s="14">
        <v>15</v>
      </c>
      <c r="B130" s="12"/>
      <c r="C130" s="12"/>
      <c r="D130" s="12"/>
      <c r="E130" s="12"/>
      <c r="F130" s="13"/>
    </row>
    <row r="131" spans="1:7" x14ac:dyDescent="0.25">
      <c r="A131" s="16" t="s">
        <v>12</v>
      </c>
      <c r="B131" s="17" t="e">
        <f>AVERAGE(B116:B130)</f>
        <v>#DIV/0!</v>
      </c>
      <c r="C131" s="17" t="e">
        <f>AVERAGE(C116:C130)</f>
        <v>#DIV/0!</v>
      </c>
      <c r="D131" s="17" t="e">
        <f>AVERAGE(D116:D130)</f>
        <v>#DIV/0!</v>
      </c>
      <c r="E131" s="17" t="e">
        <f>AVERAGE(E116:E130)</f>
        <v>#DIV/0!</v>
      </c>
      <c r="F131" s="17" t="e">
        <f>AVERAGE(F116:F130)</f>
        <v>#DIV/0!</v>
      </c>
      <c r="G131" s="2" t="s">
        <v>13</v>
      </c>
    </row>
    <row r="132" spans="1:7" x14ac:dyDescent="0.25">
      <c r="A132" s="12" t="s">
        <v>14</v>
      </c>
      <c r="B132" s="18" t="e">
        <f>STDEV(B116:B130)</f>
        <v>#DIV/0!</v>
      </c>
      <c r="C132" s="18" t="e">
        <f>STDEV(C116:C130)</f>
        <v>#DIV/0!</v>
      </c>
      <c r="D132" s="18" t="e">
        <f>STDEV(D116:D130)</f>
        <v>#DIV/0!</v>
      </c>
      <c r="E132" s="18" t="e">
        <f>STDEV(E116:E130)</f>
        <v>#DIV/0!</v>
      </c>
      <c r="F132" s="18" t="e">
        <f>STDEV(F116:F130)</f>
        <v>#DIV/0!</v>
      </c>
      <c r="G132" s="2">
        <v>15</v>
      </c>
    </row>
    <row r="135" spans="1:7" ht="31.5" customHeight="1" x14ac:dyDescent="0.25">
      <c r="A135" s="19">
        <v>7</v>
      </c>
      <c r="B135" s="36" t="s">
        <v>3</v>
      </c>
      <c r="C135" s="36" t="s">
        <v>4</v>
      </c>
      <c r="D135" s="36" t="s">
        <v>5</v>
      </c>
      <c r="E135" s="36" t="s">
        <v>6</v>
      </c>
      <c r="F135" s="37" t="s">
        <v>7</v>
      </c>
    </row>
    <row r="136" spans="1:7" x14ac:dyDescent="0.25">
      <c r="A136" s="10" t="s">
        <v>8</v>
      </c>
      <c r="B136" s="36"/>
      <c r="C136" s="36"/>
      <c r="D136" s="36"/>
      <c r="E136" s="36"/>
      <c r="F136" s="37"/>
    </row>
    <row r="137" spans="1:7" ht="15" customHeight="1" x14ac:dyDescent="0.25">
      <c r="A137" s="11">
        <v>1</v>
      </c>
      <c r="B137" s="12"/>
      <c r="C137" s="12"/>
      <c r="D137" s="12"/>
      <c r="E137" s="12"/>
      <c r="F137" s="13"/>
    </row>
    <row r="138" spans="1:7" x14ac:dyDescent="0.25">
      <c r="A138" s="14">
        <v>2</v>
      </c>
      <c r="B138" s="12"/>
      <c r="C138" s="12"/>
      <c r="D138" s="12"/>
      <c r="E138" s="12"/>
      <c r="F138" s="13"/>
    </row>
    <row r="139" spans="1:7" x14ac:dyDescent="0.25">
      <c r="A139" s="14">
        <v>3</v>
      </c>
      <c r="B139" s="12"/>
      <c r="C139" s="12"/>
      <c r="D139" s="12"/>
      <c r="E139" s="12"/>
      <c r="F139" s="13"/>
    </row>
    <row r="140" spans="1:7" x14ac:dyDescent="0.25">
      <c r="A140" s="14">
        <v>4</v>
      </c>
      <c r="B140" s="12"/>
      <c r="C140" s="12"/>
      <c r="D140" s="12"/>
      <c r="E140" s="12"/>
      <c r="F140" s="13"/>
    </row>
    <row r="141" spans="1:7" x14ac:dyDescent="0.25">
      <c r="A141" s="14">
        <v>5</v>
      </c>
      <c r="B141" s="12"/>
      <c r="C141" s="12"/>
      <c r="D141" s="12"/>
      <c r="E141" s="12"/>
      <c r="F141" s="13"/>
    </row>
    <row r="142" spans="1:7" x14ac:dyDescent="0.25">
      <c r="A142" s="14">
        <v>6</v>
      </c>
      <c r="B142" s="12"/>
      <c r="C142" s="12"/>
      <c r="D142" s="12"/>
      <c r="E142" s="12"/>
      <c r="F142" s="13"/>
    </row>
    <row r="143" spans="1:7" ht="15" customHeight="1" x14ac:dyDescent="0.25">
      <c r="A143" s="14">
        <v>7</v>
      </c>
      <c r="B143" s="12"/>
      <c r="C143" s="12"/>
      <c r="D143" s="12"/>
      <c r="E143" s="12"/>
      <c r="F143" s="13"/>
    </row>
    <row r="144" spans="1:7" x14ac:dyDescent="0.25">
      <c r="A144" s="14">
        <v>8</v>
      </c>
      <c r="B144" s="12"/>
      <c r="C144" s="12"/>
      <c r="D144" s="12"/>
      <c r="E144" s="12"/>
      <c r="F144" s="13"/>
    </row>
    <row r="145" spans="1:7" x14ac:dyDescent="0.25">
      <c r="A145" s="14">
        <v>9</v>
      </c>
      <c r="B145" s="12"/>
      <c r="C145" s="12"/>
      <c r="D145" s="12"/>
      <c r="E145" s="12"/>
      <c r="F145" s="13"/>
    </row>
    <row r="146" spans="1:7" x14ac:dyDescent="0.25">
      <c r="A146" s="14">
        <v>10</v>
      </c>
      <c r="B146" s="12"/>
      <c r="C146" s="12"/>
      <c r="D146" s="12"/>
      <c r="E146" s="12"/>
      <c r="F146" s="13"/>
    </row>
    <row r="147" spans="1:7" x14ac:dyDescent="0.25">
      <c r="A147" s="14">
        <v>11</v>
      </c>
      <c r="B147" s="12"/>
      <c r="C147" s="12"/>
      <c r="D147" s="12"/>
      <c r="E147" s="12"/>
      <c r="F147" s="13"/>
    </row>
    <row r="148" spans="1:7" x14ac:dyDescent="0.25">
      <c r="A148" s="14">
        <v>12</v>
      </c>
      <c r="B148" s="12"/>
      <c r="C148" s="12"/>
      <c r="D148" s="12"/>
      <c r="E148" s="12"/>
      <c r="F148" s="13"/>
    </row>
    <row r="149" spans="1:7" x14ac:dyDescent="0.25">
      <c r="A149" s="14">
        <v>13</v>
      </c>
      <c r="B149" s="12"/>
      <c r="C149" s="12"/>
      <c r="D149" s="12"/>
      <c r="E149" s="12"/>
      <c r="F149" s="13"/>
    </row>
    <row r="150" spans="1:7" x14ac:dyDescent="0.25">
      <c r="A150" s="14">
        <v>14</v>
      </c>
      <c r="B150" s="12"/>
      <c r="C150" s="12"/>
      <c r="D150" s="12"/>
      <c r="E150" s="12"/>
      <c r="F150" s="13"/>
    </row>
    <row r="151" spans="1:7" x14ac:dyDescent="0.25">
      <c r="A151" s="14">
        <v>15</v>
      </c>
      <c r="B151" s="12"/>
      <c r="C151" s="12"/>
      <c r="D151" s="12"/>
      <c r="E151" s="12"/>
      <c r="F151" s="13"/>
    </row>
    <row r="152" spans="1:7" x14ac:dyDescent="0.25">
      <c r="A152" s="16" t="s">
        <v>12</v>
      </c>
      <c r="B152" s="17" t="e">
        <f>AVERAGE(B137:B151)</f>
        <v>#DIV/0!</v>
      </c>
      <c r="C152" s="17" t="e">
        <f>AVERAGE(C137:C151)</f>
        <v>#DIV/0!</v>
      </c>
      <c r="D152" s="17" t="e">
        <f>AVERAGE(D137:D151)</f>
        <v>#DIV/0!</v>
      </c>
      <c r="E152" s="17" t="e">
        <f>AVERAGE(E137:E151)</f>
        <v>#DIV/0!</v>
      </c>
      <c r="F152" s="17" t="e">
        <f>AVERAGE(F137:F151)</f>
        <v>#DIV/0!</v>
      </c>
      <c r="G152" s="2" t="s">
        <v>13</v>
      </c>
    </row>
    <row r="153" spans="1:7" x14ac:dyDescent="0.25">
      <c r="A153" s="12" t="s">
        <v>14</v>
      </c>
      <c r="B153" s="18" t="e">
        <f>STDEV(B137:B151)</f>
        <v>#DIV/0!</v>
      </c>
      <c r="C153" s="18" t="e">
        <f>STDEV(C137:C151)</f>
        <v>#DIV/0!</v>
      </c>
      <c r="D153" s="18" t="e">
        <f>STDEV(D137:D151)</f>
        <v>#DIV/0!</v>
      </c>
      <c r="E153" s="18" t="e">
        <f>STDEV(E137:E151)</f>
        <v>#DIV/0!</v>
      </c>
      <c r="F153" s="18" t="e">
        <f>STDEV(F137:F151)</f>
        <v>#DIV/0!</v>
      </c>
      <c r="G153" s="2">
        <v>15</v>
      </c>
    </row>
    <row r="156" spans="1:7" ht="31.5" customHeight="1" x14ac:dyDescent="0.25">
      <c r="A156" s="19">
        <v>8</v>
      </c>
      <c r="B156" s="36" t="s">
        <v>3</v>
      </c>
      <c r="C156" s="36" t="s">
        <v>4</v>
      </c>
      <c r="D156" s="36" t="s">
        <v>5</v>
      </c>
      <c r="E156" s="36" t="s">
        <v>6</v>
      </c>
      <c r="F156" s="37" t="s">
        <v>7</v>
      </c>
    </row>
    <row r="157" spans="1:7" x14ac:dyDescent="0.25">
      <c r="A157" s="10" t="s">
        <v>8</v>
      </c>
      <c r="B157" s="36"/>
      <c r="C157" s="36"/>
      <c r="D157" s="36"/>
      <c r="E157" s="36"/>
      <c r="F157" s="37"/>
    </row>
    <row r="158" spans="1:7" ht="15" customHeight="1" x14ac:dyDescent="0.25">
      <c r="A158" s="11">
        <v>1</v>
      </c>
      <c r="B158" s="12"/>
      <c r="C158" s="12"/>
      <c r="D158" s="12"/>
      <c r="E158" s="12"/>
      <c r="F158" s="13"/>
    </row>
    <row r="159" spans="1:7" x14ac:dyDescent="0.25">
      <c r="A159" s="14">
        <v>2</v>
      </c>
      <c r="B159" s="12"/>
      <c r="C159" s="12"/>
      <c r="D159" s="12"/>
      <c r="E159" s="12"/>
      <c r="F159" s="13"/>
    </row>
    <row r="160" spans="1:7" x14ac:dyDescent="0.25">
      <c r="A160" s="14">
        <v>3</v>
      </c>
      <c r="B160" s="12"/>
      <c r="C160" s="12"/>
      <c r="D160" s="12"/>
      <c r="E160" s="12"/>
      <c r="F160" s="13"/>
    </row>
    <row r="161" spans="1:7" x14ac:dyDescent="0.25">
      <c r="A161" s="14">
        <v>4</v>
      </c>
      <c r="B161" s="12"/>
      <c r="C161" s="12"/>
      <c r="D161" s="12"/>
      <c r="E161" s="12"/>
      <c r="F161" s="13"/>
    </row>
    <row r="162" spans="1:7" x14ac:dyDescent="0.25">
      <c r="A162" s="14">
        <v>5</v>
      </c>
      <c r="B162" s="12"/>
      <c r="C162" s="12"/>
      <c r="D162" s="12"/>
      <c r="E162" s="12"/>
      <c r="F162" s="13"/>
    </row>
    <row r="163" spans="1:7" x14ac:dyDescent="0.25">
      <c r="A163" s="14">
        <v>6</v>
      </c>
      <c r="B163" s="12"/>
      <c r="C163" s="12"/>
      <c r="D163" s="12"/>
      <c r="E163" s="12"/>
      <c r="F163" s="13"/>
    </row>
    <row r="164" spans="1:7" ht="15" customHeight="1" x14ac:dyDescent="0.25">
      <c r="A164" s="14">
        <v>7</v>
      </c>
      <c r="B164" s="12"/>
      <c r="C164" s="12"/>
      <c r="D164" s="12"/>
      <c r="E164" s="12"/>
      <c r="F164" s="13"/>
    </row>
    <row r="165" spans="1:7" x14ac:dyDescent="0.25">
      <c r="A165" s="14">
        <v>8</v>
      </c>
      <c r="B165" s="12"/>
      <c r="C165" s="12"/>
      <c r="D165" s="12"/>
      <c r="E165" s="12"/>
      <c r="F165" s="13"/>
    </row>
    <row r="166" spans="1:7" x14ac:dyDescent="0.25">
      <c r="A166" s="14">
        <v>9</v>
      </c>
      <c r="B166" s="12"/>
      <c r="C166" s="12"/>
      <c r="D166" s="12"/>
      <c r="E166" s="12"/>
      <c r="F166" s="13"/>
    </row>
    <row r="167" spans="1:7" x14ac:dyDescent="0.25">
      <c r="A167" s="14">
        <v>10</v>
      </c>
      <c r="B167" s="12"/>
      <c r="C167" s="12"/>
      <c r="D167" s="12"/>
      <c r="E167" s="12"/>
      <c r="F167" s="13"/>
    </row>
    <row r="168" spans="1:7" x14ac:dyDescent="0.25">
      <c r="A168" s="14">
        <v>11</v>
      </c>
      <c r="B168" s="12"/>
      <c r="C168" s="12"/>
      <c r="D168" s="12"/>
      <c r="E168" s="12"/>
      <c r="F168" s="13"/>
    </row>
    <row r="169" spans="1:7" x14ac:dyDescent="0.25">
      <c r="A169" s="14">
        <v>12</v>
      </c>
      <c r="B169" s="12"/>
      <c r="C169" s="12"/>
      <c r="D169" s="12"/>
      <c r="E169" s="12"/>
      <c r="F169" s="13"/>
    </row>
    <row r="170" spans="1:7" x14ac:dyDescent="0.25">
      <c r="A170" s="14">
        <v>13</v>
      </c>
      <c r="B170" s="12"/>
      <c r="C170" s="12"/>
      <c r="D170" s="12"/>
      <c r="E170" s="12"/>
      <c r="F170" s="13"/>
    </row>
    <row r="171" spans="1:7" x14ac:dyDescent="0.25">
      <c r="A171" s="14">
        <v>14</v>
      </c>
      <c r="B171" s="12"/>
      <c r="C171" s="12"/>
      <c r="D171" s="12"/>
      <c r="E171" s="12"/>
      <c r="F171" s="13"/>
    </row>
    <row r="172" spans="1:7" x14ac:dyDescent="0.25">
      <c r="A172" s="14">
        <v>15</v>
      </c>
      <c r="B172" s="12"/>
      <c r="C172" s="12"/>
      <c r="D172" s="12"/>
      <c r="E172" s="12"/>
      <c r="F172" s="13"/>
    </row>
    <row r="173" spans="1:7" x14ac:dyDescent="0.25">
      <c r="A173" s="16" t="s">
        <v>12</v>
      </c>
      <c r="B173" s="17" t="e">
        <f>AVERAGE(B158:B172)</f>
        <v>#DIV/0!</v>
      </c>
      <c r="C173" s="17" t="e">
        <f>AVERAGE(C158:C172)</f>
        <v>#DIV/0!</v>
      </c>
      <c r="D173" s="17" t="e">
        <f>AVERAGE(D158:D172)</f>
        <v>#DIV/0!</v>
      </c>
      <c r="E173" s="17" t="e">
        <f>AVERAGE(E158:E172)</f>
        <v>#DIV/0!</v>
      </c>
      <c r="F173" s="17" t="e">
        <f>AVERAGE(F158:F172)</f>
        <v>#DIV/0!</v>
      </c>
      <c r="G173" s="2" t="s">
        <v>13</v>
      </c>
    </row>
    <row r="174" spans="1:7" x14ac:dyDescent="0.25">
      <c r="A174" s="12" t="s">
        <v>14</v>
      </c>
      <c r="B174" s="18" t="e">
        <f>STDEV(B158:B172)</f>
        <v>#DIV/0!</v>
      </c>
      <c r="C174" s="18" t="e">
        <f>STDEV(C158:C172)</f>
        <v>#DIV/0!</v>
      </c>
      <c r="D174" s="18" t="e">
        <f>STDEV(D158:D172)</f>
        <v>#DIV/0!</v>
      </c>
      <c r="E174" s="18" t="e">
        <f>STDEV(E158:E172)</f>
        <v>#DIV/0!</v>
      </c>
      <c r="F174" s="18" t="e">
        <f>STDEV(F158:F172)</f>
        <v>#DIV/0!</v>
      </c>
      <c r="G174" s="2">
        <v>15</v>
      </c>
    </row>
    <row r="177" spans="1:6" ht="31.5" customHeight="1" x14ac:dyDescent="0.25">
      <c r="A177" s="19">
        <v>9</v>
      </c>
      <c r="B177" s="36" t="s">
        <v>3</v>
      </c>
      <c r="C177" s="36" t="s">
        <v>4</v>
      </c>
      <c r="D177" s="36" t="s">
        <v>5</v>
      </c>
      <c r="E177" s="36" t="s">
        <v>6</v>
      </c>
      <c r="F177" s="37" t="s">
        <v>7</v>
      </c>
    </row>
    <row r="178" spans="1:6" x14ac:dyDescent="0.25">
      <c r="A178" s="10" t="s">
        <v>8</v>
      </c>
      <c r="B178" s="36"/>
      <c r="C178" s="36"/>
      <c r="D178" s="36"/>
      <c r="E178" s="36"/>
      <c r="F178" s="37"/>
    </row>
    <row r="179" spans="1:6" ht="15" customHeight="1" x14ac:dyDescent="0.25">
      <c r="A179" s="11">
        <v>1</v>
      </c>
      <c r="B179" s="12"/>
      <c r="C179" s="12"/>
      <c r="D179" s="12"/>
      <c r="E179" s="12"/>
      <c r="F179" s="13"/>
    </row>
    <row r="180" spans="1:6" x14ac:dyDescent="0.25">
      <c r="A180" s="14">
        <v>2</v>
      </c>
      <c r="B180" s="12"/>
      <c r="C180" s="12"/>
      <c r="D180" s="12"/>
      <c r="E180" s="12"/>
      <c r="F180" s="13"/>
    </row>
    <row r="181" spans="1:6" x14ac:dyDescent="0.25">
      <c r="A181" s="14">
        <v>3</v>
      </c>
      <c r="B181" s="12"/>
      <c r="C181" s="12"/>
      <c r="D181" s="12"/>
      <c r="E181" s="12"/>
      <c r="F181" s="13"/>
    </row>
    <row r="182" spans="1:6" x14ac:dyDescent="0.25">
      <c r="A182" s="14">
        <v>4</v>
      </c>
      <c r="B182" s="12"/>
      <c r="C182" s="12"/>
      <c r="D182" s="12"/>
      <c r="E182" s="12"/>
      <c r="F182" s="13"/>
    </row>
    <row r="183" spans="1:6" x14ac:dyDescent="0.25">
      <c r="A183" s="14">
        <v>5</v>
      </c>
      <c r="B183" s="12"/>
      <c r="C183" s="12"/>
      <c r="D183" s="12"/>
      <c r="E183" s="12"/>
      <c r="F183" s="13"/>
    </row>
    <row r="184" spans="1:6" x14ac:dyDescent="0.25">
      <c r="A184" s="14">
        <v>6</v>
      </c>
      <c r="B184" s="12"/>
      <c r="C184" s="12"/>
      <c r="D184" s="12"/>
      <c r="E184" s="12"/>
      <c r="F184" s="13"/>
    </row>
    <row r="185" spans="1:6" ht="15" customHeight="1" x14ac:dyDescent="0.25">
      <c r="A185" s="14">
        <v>7</v>
      </c>
      <c r="B185" s="12"/>
      <c r="C185" s="12"/>
      <c r="D185" s="12"/>
      <c r="E185" s="12"/>
      <c r="F185" s="13"/>
    </row>
    <row r="186" spans="1:6" x14ac:dyDescent="0.25">
      <c r="A186" s="14">
        <v>8</v>
      </c>
      <c r="B186" s="12"/>
      <c r="C186" s="12"/>
      <c r="D186" s="12"/>
      <c r="E186" s="12"/>
      <c r="F186" s="13"/>
    </row>
    <row r="187" spans="1:6" x14ac:dyDescent="0.25">
      <c r="A187" s="14">
        <v>9</v>
      </c>
      <c r="B187" s="12"/>
      <c r="C187" s="12"/>
      <c r="D187" s="12"/>
      <c r="E187" s="12"/>
      <c r="F187" s="13"/>
    </row>
    <row r="188" spans="1:6" x14ac:dyDescent="0.25">
      <c r="A188" s="14">
        <v>10</v>
      </c>
      <c r="B188" s="12"/>
      <c r="C188" s="12"/>
      <c r="D188" s="12"/>
      <c r="E188" s="12"/>
      <c r="F188" s="13"/>
    </row>
    <row r="189" spans="1:6" x14ac:dyDescent="0.25">
      <c r="A189" s="14">
        <v>11</v>
      </c>
      <c r="B189" s="12"/>
      <c r="C189" s="12"/>
      <c r="D189" s="12"/>
      <c r="E189" s="12"/>
      <c r="F189" s="13"/>
    </row>
    <row r="190" spans="1:6" x14ac:dyDescent="0.25">
      <c r="A190" s="14">
        <v>12</v>
      </c>
      <c r="B190" s="12"/>
      <c r="C190" s="12"/>
      <c r="D190" s="12"/>
      <c r="E190" s="12"/>
      <c r="F190" s="13"/>
    </row>
    <row r="191" spans="1:6" x14ac:dyDescent="0.25">
      <c r="A191" s="14">
        <v>13</v>
      </c>
      <c r="B191" s="12"/>
      <c r="C191" s="12"/>
      <c r="D191" s="12"/>
      <c r="E191" s="12"/>
      <c r="F191" s="13"/>
    </row>
    <row r="192" spans="1:6" x14ac:dyDescent="0.25">
      <c r="A192" s="14">
        <v>14</v>
      </c>
      <c r="B192" s="12"/>
      <c r="C192" s="12"/>
      <c r="D192" s="12"/>
      <c r="E192" s="12"/>
      <c r="F192" s="13"/>
    </row>
    <row r="193" spans="1:7" x14ac:dyDescent="0.25">
      <c r="A193" s="14">
        <v>15</v>
      </c>
      <c r="B193" s="12"/>
      <c r="C193" s="12"/>
      <c r="D193" s="12"/>
      <c r="E193" s="12"/>
      <c r="F193" s="13"/>
    </row>
    <row r="194" spans="1:7" x14ac:dyDescent="0.25">
      <c r="A194" s="16" t="s">
        <v>12</v>
      </c>
      <c r="B194" s="17" t="e">
        <f>AVERAGE(B179:B193)</f>
        <v>#DIV/0!</v>
      </c>
      <c r="C194" s="17" t="e">
        <f>AVERAGE(C179:C193)</f>
        <v>#DIV/0!</v>
      </c>
      <c r="D194" s="17" t="e">
        <f>AVERAGE(D179:D193)</f>
        <v>#DIV/0!</v>
      </c>
      <c r="E194" s="17" t="e">
        <f>AVERAGE(E179:E193)</f>
        <v>#DIV/0!</v>
      </c>
      <c r="F194" s="17" t="e">
        <f>AVERAGE(F179:F193)</f>
        <v>#DIV/0!</v>
      </c>
      <c r="G194" s="2" t="s">
        <v>13</v>
      </c>
    </row>
    <row r="195" spans="1:7" x14ac:dyDescent="0.25">
      <c r="A195" s="12" t="s">
        <v>14</v>
      </c>
      <c r="B195" s="18" t="e">
        <f>STDEV(B179:B193)</f>
        <v>#DIV/0!</v>
      </c>
      <c r="C195" s="18" t="e">
        <f>STDEV(C179:C193)</f>
        <v>#DIV/0!</v>
      </c>
      <c r="D195" s="18" t="e">
        <f>STDEV(D179:D193)</f>
        <v>#DIV/0!</v>
      </c>
      <c r="E195" s="18" t="e">
        <f>STDEV(E179:E193)</f>
        <v>#DIV/0!</v>
      </c>
      <c r="F195" s="18" t="e">
        <f>STDEV(F179:F193)</f>
        <v>#DIV/0!</v>
      </c>
      <c r="G195" s="2">
        <v>15</v>
      </c>
    </row>
    <row r="196" spans="1:7" x14ac:dyDescent="0.25">
      <c r="B196" s="15"/>
      <c r="C196" s="15"/>
      <c r="D196" s="15"/>
    </row>
    <row r="198" spans="1:7" ht="31.5" customHeight="1" x14ac:dyDescent="0.25">
      <c r="A198" s="19">
        <v>10</v>
      </c>
      <c r="B198" s="36" t="s">
        <v>3</v>
      </c>
      <c r="C198" s="36" t="s">
        <v>4</v>
      </c>
      <c r="D198" s="36" t="s">
        <v>5</v>
      </c>
      <c r="E198" s="36" t="s">
        <v>6</v>
      </c>
      <c r="F198" s="37" t="s">
        <v>7</v>
      </c>
    </row>
    <row r="199" spans="1:7" x14ac:dyDescent="0.25">
      <c r="A199" s="10" t="s">
        <v>8</v>
      </c>
      <c r="B199" s="36"/>
      <c r="C199" s="36"/>
      <c r="D199" s="36"/>
      <c r="E199" s="36"/>
      <c r="F199" s="37"/>
    </row>
    <row r="200" spans="1:7" ht="15" customHeight="1" x14ac:dyDescent="0.25">
      <c r="A200" s="11">
        <v>1</v>
      </c>
      <c r="B200" s="12"/>
      <c r="C200" s="12"/>
      <c r="D200" s="12"/>
      <c r="E200" s="12"/>
      <c r="F200" s="13"/>
    </row>
    <row r="201" spans="1:7" x14ac:dyDescent="0.25">
      <c r="A201" s="14">
        <v>2</v>
      </c>
      <c r="B201" s="12"/>
      <c r="C201" s="12"/>
      <c r="D201" s="12"/>
      <c r="E201" s="12"/>
      <c r="F201" s="13"/>
    </row>
    <row r="202" spans="1:7" x14ac:dyDescent="0.25">
      <c r="A202" s="14">
        <v>3</v>
      </c>
      <c r="B202" s="12"/>
      <c r="C202" s="12"/>
      <c r="D202" s="12"/>
      <c r="E202" s="12"/>
      <c r="F202" s="13"/>
    </row>
    <row r="203" spans="1:7" x14ac:dyDescent="0.25">
      <c r="A203" s="14">
        <v>4</v>
      </c>
      <c r="B203" s="12"/>
      <c r="C203" s="12"/>
      <c r="D203" s="12"/>
      <c r="E203" s="12"/>
      <c r="F203" s="13"/>
    </row>
    <row r="204" spans="1:7" x14ac:dyDescent="0.25">
      <c r="A204" s="14">
        <v>5</v>
      </c>
      <c r="B204" s="12"/>
      <c r="C204" s="12"/>
      <c r="D204" s="12"/>
      <c r="E204" s="12"/>
      <c r="F204" s="13"/>
    </row>
    <row r="205" spans="1:7" x14ac:dyDescent="0.25">
      <c r="A205" s="14">
        <v>6</v>
      </c>
      <c r="B205" s="12"/>
      <c r="C205" s="12"/>
      <c r="D205" s="12"/>
      <c r="E205" s="12"/>
      <c r="F205" s="13"/>
    </row>
    <row r="206" spans="1:7" ht="15" customHeight="1" x14ac:dyDescent="0.25">
      <c r="A206" s="14">
        <v>7</v>
      </c>
      <c r="B206" s="12"/>
      <c r="C206" s="12"/>
      <c r="D206" s="12"/>
      <c r="E206" s="12"/>
      <c r="F206" s="13"/>
    </row>
    <row r="207" spans="1:7" x14ac:dyDescent="0.25">
      <c r="A207" s="14">
        <v>8</v>
      </c>
      <c r="B207" s="12"/>
      <c r="C207" s="12"/>
      <c r="D207" s="12"/>
      <c r="E207" s="12"/>
      <c r="F207" s="13"/>
    </row>
    <row r="208" spans="1:7" x14ac:dyDescent="0.25">
      <c r="A208" s="14">
        <v>9</v>
      </c>
      <c r="B208" s="12"/>
      <c r="C208" s="12"/>
      <c r="D208" s="12"/>
      <c r="E208" s="12"/>
      <c r="F208" s="13"/>
    </row>
    <row r="209" spans="1:7" x14ac:dyDescent="0.25">
      <c r="A209" s="14">
        <v>10</v>
      </c>
      <c r="B209" s="12"/>
      <c r="C209" s="12"/>
      <c r="D209" s="12"/>
      <c r="E209" s="12"/>
      <c r="F209" s="13"/>
    </row>
    <row r="210" spans="1:7" x14ac:dyDescent="0.25">
      <c r="A210" s="14">
        <v>11</v>
      </c>
      <c r="B210" s="12"/>
      <c r="C210" s="12"/>
      <c r="D210" s="12"/>
      <c r="E210" s="12"/>
      <c r="F210" s="13"/>
    </row>
    <row r="211" spans="1:7" x14ac:dyDescent="0.25">
      <c r="A211" s="14">
        <v>12</v>
      </c>
      <c r="B211" s="12"/>
      <c r="C211" s="12"/>
      <c r="D211" s="12"/>
      <c r="E211" s="12"/>
      <c r="F211" s="13"/>
    </row>
    <row r="212" spans="1:7" x14ac:dyDescent="0.25">
      <c r="A212" s="14">
        <v>13</v>
      </c>
      <c r="B212" s="12"/>
      <c r="C212" s="12"/>
      <c r="D212" s="12"/>
      <c r="E212" s="12"/>
      <c r="F212" s="13"/>
    </row>
    <row r="213" spans="1:7" x14ac:dyDescent="0.25">
      <c r="A213" s="14">
        <v>14</v>
      </c>
      <c r="B213" s="12"/>
      <c r="C213" s="12"/>
      <c r="D213" s="12"/>
      <c r="E213" s="12"/>
      <c r="F213" s="13"/>
    </row>
    <row r="214" spans="1:7" x14ac:dyDescent="0.25">
      <c r="A214" s="14">
        <v>15</v>
      </c>
      <c r="B214" s="12"/>
      <c r="C214" s="12"/>
      <c r="D214" s="12"/>
      <c r="E214" s="12"/>
      <c r="F214" s="13"/>
    </row>
    <row r="215" spans="1:7" x14ac:dyDescent="0.25">
      <c r="A215" s="16" t="s">
        <v>12</v>
      </c>
      <c r="B215" s="17" t="e">
        <f>AVERAGE(B200:B214)</f>
        <v>#DIV/0!</v>
      </c>
      <c r="C215" s="17" t="e">
        <f>AVERAGE(C200:C214)</f>
        <v>#DIV/0!</v>
      </c>
      <c r="D215" s="17" t="e">
        <f>AVERAGE(D200:D214)</f>
        <v>#DIV/0!</v>
      </c>
      <c r="E215" s="17" t="e">
        <f>AVERAGE(E200:E214)</f>
        <v>#DIV/0!</v>
      </c>
      <c r="F215" s="17" t="e">
        <f>AVERAGE(F200:F214)</f>
        <v>#DIV/0!</v>
      </c>
      <c r="G215" s="2" t="s">
        <v>13</v>
      </c>
    </row>
    <row r="216" spans="1:7" x14ac:dyDescent="0.25">
      <c r="A216" s="12" t="s">
        <v>14</v>
      </c>
      <c r="B216" s="18" t="e">
        <f>STDEV(B200:B214)</f>
        <v>#DIV/0!</v>
      </c>
      <c r="C216" s="18" t="e">
        <f>STDEV(C200:C214)</f>
        <v>#DIV/0!</v>
      </c>
      <c r="D216" s="18" t="e">
        <f>STDEV(D200:D214)</f>
        <v>#DIV/0!</v>
      </c>
      <c r="E216" s="18" t="e">
        <f>STDEV(E200:E214)</f>
        <v>#DIV/0!</v>
      </c>
      <c r="F216" s="18" t="e">
        <f>STDEV(F200:F214)</f>
        <v>#DIV/0!</v>
      </c>
      <c r="G216" s="2">
        <v>15</v>
      </c>
    </row>
    <row r="219" spans="1:7" ht="31.5" customHeight="1" x14ac:dyDescent="0.25">
      <c r="A219" s="8">
        <v>11</v>
      </c>
      <c r="B219" s="36" t="s">
        <v>3</v>
      </c>
      <c r="C219" s="36" t="s">
        <v>4</v>
      </c>
      <c r="D219" s="36" t="s">
        <v>5</v>
      </c>
      <c r="E219" s="36" t="s">
        <v>6</v>
      </c>
      <c r="F219" s="37" t="s">
        <v>7</v>
      </c>
    </row>
    <row r="220" spans="1:7" x14ac:dyDescent="0.25">
      <c r="A220" s="10" t="s">
        <v>8</v>
      </c>
      <c r="B220" s="36"/>
      <c r="C220" s="36"/>
      <c r="D220" s="36"/>
      <c r="E220" s="36"/>
      <c r="F220" s="37"/>
    </row>
    <row r="221" spans="1:7" ht="15" customHeight="1" x14ac:dyDescent="0.25">
      <c r="A221" s="11">
        <v>1</v>
      </c>
      <c r="B221" s="12"/>
      <c r="C221" s="12"/>
      <c r="D221" s="12"/>
      <c r="E221" s="12"/>
      <c r="F221" s="13"/>
    </row>
    <row r="222" spans="1:7" x14ac:dyDescent="0.25">
      <c r="A222" s="14">
        <v>2</v>
      </c>
      <c r="B222" s="12"/>
      <c r="C222" s="12"/>
      <c r="D222" s="12"/>
      <c r="E222" s="12"/>
      <c r="F222" s="13"/>
    </row>
    <row r="223" spans="1:7" x14ac:dyDescent="0.25">
      <c r="A223" s="14">
        <v>3</v>
      </c>
      <c r="B223" s="12"/>
      <c r="C223" s="12"/>
      <c r="D223" s="12"/>
      <c r="E223" s="12"/>
      <c r="F223" s="13"/>
    </row>
    <row r="224" spans="1:7" x14ac:dyDescent="0.25">
      <c r="A224" s="14">
        <v>4</v>
      </c>
      <c r="B224" s="12"/>
      <c r="C224" s="12"/>
      <c r="D224" s="12"/>
      <c r="E224" s="12"/>
      <c r="F224" s="13"/>
    </row>
    <row r="225" spans="1:7" x14ac:dyDescent="0.25">
      <c r="A225" s="14">
        <v>5</v>
      </c>
      <c r="B225" s="12"/>
      <c r="C225" s="12"/>
      <c r="D225" s="12"/>
      <c r="E225" s="12"/>
      <c r="F225" s="13"/>
    </row>
    <row r="226" spans="1:7" x14ac:dyDescent="0.25">
      <c r="A226" s="14">
        <v>6</v>
      </c>
      <c r="B226" s="12"/>
      <c r="C226" s="12"/>
      <c r="D226" s="12"/>
      <c r="E226" s="12"/>
      <c r="F226" s="13"/>
    </row>
    <row r="227" spans="1:7" ht="15" customHeight="1" x14ac:dyDescent="0.25">
      <c r="A227" s="14">
        <v>7</v>
      </c>
      <c r="B227" s="12"/>
      <c r="C227" s="12"/>
      <c r="D227" s="12"/>
      <c r="E227" s="12"/>
      <c r="F227" s="13"/>
    </row>
    <row r="228" spans="1:7" x14ac:dyDescent="0.25">
      <c r="A228" s="14">
        <v>8</v>
      </c>
      <c r="B228" s="12"/>
      <c r="C228" s="12"/>
      <c r="D228" s="12"/>
      <c r="E228" s="12"/>
      <c r="F228" s="13"/>
    </row>
    <row r="229" spans="1:7" x14ac:dyDescent="0.25">
      <c r="A229" s="14">
        <v>9</v>
      </c>
      <c r="B229" s="12"/>
      <c r="C229" s="12"/>
      <c r="D229" s="12"/>
      <c r="E229" s="12"/>
      <c r="F229" s="13"/>
    </row>
    <row r="230" spans="1:7" x14ac:dyDescent="0.25">
      <c r="A230" s="14">
        <v>10</v>
      </c>
      <c r="B230" s="12"/>
      <c r="C230" s="12"/>
      <c r="D230" s="12"/>
      <c r="E230" s="12"/>
      <c r="F230" s="13"/>
    </row>
    <row r="231" spans="1:7" x14ac:dyDescent="0.25">
      <c r="A231" s="14">
        <v>11</v>
      </c>
      <c r="B231" s="12"/>
      <c r="C231" s="12"/>
      <c r="D231" s="12"/>
      <c r="E231" s="12"/>
      <c r="F231" s="13"/>
    </row>
    <row r="232" spans="1:7" x14ac:dyDescent="0.25">
      <c r="A232" s="14">
        <v>12</v>
      </c>
      <c r="B232" s="12"/>
      <c r="C232" s="12"/>
      <c r="D232" s="12"/>
      <c r="E232" s="12"/>
      <c r="F232" s="13"/>
    </row>
    <row r="233" spans="1:7" x14ac:dyDescent="0.25">
      <c r="A233" s="14">
        <v>13</v>
      </c>
      <c r="B233" s="12"/>
      <c r="C233" s="12"/>
      <c r="D233" s="12"/>
      <c r="E233" s="12"/>
      <c r="F233" s="13"/>
    </row>
    <row r="234" spans="1:7" x14ac:dyDescent="0.25">
      <c r="A234" s="14">
        <v>14</v>
      </c>
      <c r="B234" s="12"/>
      <c r="C234" s="12"/>
      <c r="D234" s="12"/>
      <c r="E234" s="12"/>
      <c r="F234" s="13"/>
    </row>
    <row r="235" spans="1:7" x14ac:dyDescent="0.25">
      <c r="A235" s="14">
        <v>15</v>
      </c>
      <c r="B235" s="12"/>
      <c r="C235" s="12"/>
      <c r="D235" s="12"/>
      <c r="E235" s="12"/>
      <c r="F235" s="13"/>
    </row>
    <row r="236" spans="1:7" x14ac:dyDescent="0.25">
      <c r="A236" s="16" t="s">
        <v>12</v>
      </c>
      <c r="B236" s="17" t="e">
        <f>AVERAGE(B221:B235)</f>
        <v>#DIV/0!</v>
      </c>
      <c r="C236" s="17" t="e">
        <f>AVERAGE(C221:C235)</f>
        <v>#DIV/0!</v>
      </c>
      <c r="D236" s="17" t="e">
        <f>AVERAGE(D221:D235)</f>
        <v>#DIV/0!</v>
      </c>
      <c r="E236" s="17" t="e">
        <f>AVERAGE(E221:E235)</f>
        <v>#DIV/0!</v>
      </c>
      <c r="F236" s="17" t="e">
        <f>AVERAGE(F221:F235)</f>
        <v>#DIV/0!</v>
      </c>
      <c r="G236" s="2" t="s">
        <v>13</v>
      </c>
    </row>
    <row r="237" spans="1:7" x14ac:dyDescent="0.25">
      <c r="A237" s="12" t="s">
        <v>14</v>
      </c>
      <c r="B237" s="18" t="e">
        <f>STDEV(B221:B235)</f>
        <v>#DIV/0!</v>
      </c>
      <c r="C237" s="18" t="e">
        <f>STDEV(C221:C235)</f>
        <v>#DIV/0!</v>
      </c>
      <c r="D237" s="18" t="e">
        <f>STDEV(D221:D235)</f>
        <v>#DIV/0!</v>
      </c>
      <c r="E237" s="18" t="e">
        <f>STDEV(E221:E235)</f>
        <v>#DIV/0!</v>
      </c>
      <c r="F237" s="18" t="e">
        <f>STDEV(F221:F235)</f>
        <v>#DIV/0!</v>
      </c>
      <c r="G237" s="2">
        <v>15</v>
      </c>
    </row>
    <row r="238" spans="1:7" x14ac:dyDescent="0.25">
      <c r="B238" s="15"/>
      <c r="C238" s="15"/>
      <c r="D238" s="15"/>
      <c r="E238" s="15"/>
    </row>
    <row r="240" spans="1:7" ht="31.5" customHeight="1" x14ac:dyDescent="0.25">
      <c r="A240" s="8">
        <v>12</v>
      </c>
      <c r="B240" s="36" t="s">
        <v>3</v>
      </c>
      <c r="C240" s="36" t="s">
        <v>4</v>
      </c>
      <c r="D240" s="36" t="s">
        <v>5</v>
      </c>
      <c r="E240" s="36" t="s">
        <v>6</v>
      </c>
      <c r="F240" s="37" t="s">
        <v>7</v>
      </c>
    </row>
    <row r="241" spans="1:6" x14ac:dyDescent="0.25">
      <c r="A241" s="10" t="s">
        <v>8</v>
      </c>
      <c r="B241" s="36"/>
      <c r="C241" s="36"/>
      <c r="D241" s="36"/>
      <c r="E241" s="36"/>
      <c r="F241" s="37"/>
    </row>
    <row r="242" spans="1:6" ht="15" customHeight="1" x14ac:dyDescent="0.25">
      <c r="A242" s="11">
        <v>1</v>
      </c>
      <c r="B242" s="12"/>
      <c r="C242" s="12"/>
      <c r="D242" s="12"/>
      <c r="E242" s="12"/>
      <c r="F242" s="13"/>
    </row>
    <row r="243" spans="1:6" x14ac:dyDescent="0.25">
      <c r="A243" s="14">
        <v>2</v>
      </c>
      <c r="B243" s="12"/>
      <c r="C243" s="12"/>
      <c r="D243" s="12"/>
      <c r="E243" s="12"/>
      <c r="F243" s="13"/>
    </row>
    <row r="244" spans="1:6" x14ac:dyDescent="0.25">
      <c r="A244" s="14">
        <v>3</v>
      </c>
      <c r="B244" s="12"/>
      <c r="C244" s="12"/>
      <c r="D244" s="12"/>
      <c r="E244" s="12"/>
      <c r="F244" s="13"/>
    </row>
    <row r="245" spans="1:6" x14ac:dyDescent="0.25">
      <c r="A245" s="14">
        <v>4</v>
      </c>
      <c r="B245" s="12"/>
      <c r="C245" s="12"/>
      <c r="D245" s="12"/>
      <c r="E245" s="12"/>
      <c r="F245" s="13"/>
    </row>
    <row r="246" spans="1:6" x14ac:dyDescent="0.25">
      <c r="A246" s="14">
        <v>5</v>
      </c>
      <c r="B246" s="12"/>
      <c r="C246" s="12"/>
      <c r="D246" s="12"/>
      <c r="E246" s="12"/>
      <c r="F246" s="13"/>
    </row>
    <row r="247" spans="1:6" x14ac:dyDescent="0.25">
      <c r="A247" s="14">
        <v>6</v>
      </c>
      <c r="B247" s="12"/>
      <c r="C247" s="12"/>
      <c r="D247" s="12"/>
      <c r="E247" s="12"/>
      <c r="F247" s="13"/>
    </row>
    <row r="248" spans="1:6" ht="15" customHeight="1" x14ac:dyDescent="0.25">
      <c r="A248" s="14">
        <v>7</v>
      </c>
      <c r="B248" s="12"/>
      <c r="C248" s="12"/>
      <c r="D248" s="12"/>
      <c r="E248" s="12"/>
      <c r="F248" s="13"/>
    </row>
    <row r="249" spans="1:6" x14ac:dyDescent="0.25">
      <c r="A249" s="14">
        <v>8</v>
      </c>
      <c r="B249" s="12"/>
      <c r="C249" s="12"/>
      <c r="D249" s="12"/>
      <c r="E249" s="12"/>
      <c r="F249" s="13"/>
    </row>
    <row r="250" spans="1:6" x14ac:dyDescent="0.25">
      <c r="A250" s="14">
        <v>9</v>
      </c>
      <c r="B250" s="12"/>
      <c r="C250" s="12"/>
      <c r="D250" s="12"/>
      <c r="E250" s="12"/>
      <c r="F250" s="13"/>
    </row>
    <row r="251" spans="1:6" x14ac:dyDescent="0.25">
      <c r="A251" s="14">
        <v>10</v>
      </c>
      <c r="B251" s="12"/>
      <c r="C251" s="12"/>
      <c r="D251" s="12"/>
      <c r="E251" s="12"/>
      <c r="F251" s="13"/>
    </row>
    <row r="252" spans="1:6" x14ac:dyDescent="0.25">
      <c r="A252" s="14">
        <v>11</v>
      </c>
      <c r="B252" s="12"/>
      <c r="C252" s="12"/>
      <c r="D252" s="12"/>
      <c r="E252" s="12"/>
      <c r="F252" s="13"/>
    </row>
    <row r="253" spans="1:6" x14ac:dyDescent="0.25">
      <c r="A253" s="14">
        <v>12</v>
      </c>
      <c r="B253" s="12"/>
      <c r="C253" s="12"/>
      <c r="D253" s="12"/>
      <c r="E253" s="12"/>
      <c r="F253" s="13"/>
    </row>
    <row r="254" spans="1:6" x14ac:dyDescent="0.25">
      <c r="A254" s="14">
        <v>13</v>
      </c>
      <c r="B254" s="12"/>
      <c r="C254" s="12"/>
      <c r="D254" s="12"/>
      <c r="E254" s="12"/>
      <c r="F254" s="13"/>
    </row>
    <row r="255" spans="1:6" x14ac:dyDescent="0.25">
      <c r="A255" s="14">
        <v>14</v>
      </c>
      <c r="B255" s="12"/>
      <c r="C255" s="12"/>
      <c r="D255" s="12"/>
      <c r="E255" s="12"/>
      <c r="F255" s="13"/>
    </row>
    <row r="256" spans="1:6" x14ac:dyDescent="0.25">
      <c r="A256" s="14">
        <v>15</v>
      </c>
      <c r="B256" s="12"/>
      <c r="C256" s="12"/>
      <c r="D256" s="12"/>
      <c r="E256" s="12"/>
      <c r="F256" s="13"/>
    </row>
    <row r="257" spans="1:7" x14ac:dyDescent="0.25">
      <c r="A257" s="16" t="s">
        <v>12</v>
      </c>
      <c r="B257" s="17" t="e">
        <f>AVERAGE(B242:B256)</f>
        <v>#DIV/0!</v>
      </c>
      <c r="C257" s="17" t="e">
        <f>AVERAGE(C242:C256)</f>
        <v>#DIV/0!</v>
      </c>
      <c r="D257" s="17" t="e">
        <f>AVERAGE(D242:D256)</f>
        <v>#DIV/0!</v>
      </c>
      <c r="E257" s="17" t="e">
        <f>AVERAGE(E242:E256)</f>
        <v>#DIV/0!</v>
      </c>
      <c r="F257" s="17" t="e">
        <f>AVERAGE(F242:F256)</f>
        <v>#DIV/0!</v>
      </c>
      <c r="G257" s="2" t="s">
        <v>13</v>
      </c>
    </row>
    <row r="258" spans="1:7" x14ac:dyDescent="0.25">
      <c r="A258" s="12" t="s">
        <v>14</v>
      </c>
      <c r="B258" s="18" t="e">
        <f>STDEV(B242:B256)</f>
        <v>#DIV/0!</v>
      </c>
      <c r="C258" s="18" t="e">
        <f>STDEV(C242:C256)</f>
        <v>#DIV/0!</v>
      </c>
      <c r="D258" s="18" t="e">
        <f>STDEV(D242:D256)</f>
        <v>#DIV/0!</v>
      </c>
      <c r="E258" s="18" t="e">
        <f>STDEV(E242:E256)</f>
        <v>#DIV/0!</v>
      </c>
      <c r="F258" s="18" t="e">
        <f>STDEV(F242:F256)</f>
        <v>#DIV/0!</v>
      </c>
      <c r="G258" s="2">
        <v>15</v>
      </c>
    </row>
  </sheetData>
  <sheetProtection selectLockedCells="1" selectUnlockedCells="1"/>
  <mergeCells count="64">
    <mergeCell ref="B219:B220"/>
    <mergeCell ref="C219:C220"/>
    <mergeCell ref="D219:D220"/>
    <mergeCell ref="E219:E220"/>
    <mergeCell ref="F219:F220"/>
    <mergeCell ref="B240:B241"/>
    <mergeCell ref="C240:C241"/>
    <mergeCell ref="D240:D241"/>
    <mergeCell ref="E240:E241"/>
    <mergeCell ref="F240:F241"/>
    <mergeCell ref="B177:B178"/>
    <mergeCell ref="C177:C178"/>
    <mergeCell ref="D177:D178"/>
    <mergeCell ref="E177:E178"/>
    <mergeCell ref="F177:F178"/>
    <mergeCell ref="B198:B199"/>
    <mergeCell ref="C198:C199"/>
    <mergeCell ref="D198:D199"/>
    <mergeCell ref="E198:E199"/>
    <mergeCell ref="F198:F199"/>
    <mergeCell ref="B135:B136"/>
    <mergeCell ref="C135:C136"/>
    <mergeCell ref="D135:D136"/>
    <mergeCell ref="E135:E136"/>
    <mergeCell ref="F135:F136"/>
    <mergeCell ref="B156:B157"/>
    <mergeCell ref="C156:C157"/>
    <mergeCell ref="D156:D157"/>
    <mergeCell ref="E156:E157"/>
    <mergeCell ref="F156:F157"/>
    <mergeCell ref="B93:B94"/>
    <mergeCell ref="C93:C94"/>
    <mergeCell ref="D93:D94"/>
    <mergeCell ref="E93:E94"/>
    <mergeCell ref="F93:F94"/>
    <mergeCell ref="B114:B115"/>
    <mergeCell ref="C114:C115"/>
    <mergeCell ref="D114:D115"/>
    <mergeCell ref="E114:E115"/>
    <mergeCell ref="F114:F115"/>
    <mergeCell ref="B51:B52"/>
    <mergeCell ref="C51:C52"/>
    <mergeCell ref="D51:D52"/>
    <mergeCell ref="E51:E52"/>
    <mergeCell ref="F51:F52"/>
    <mergeCell ref="B72:B73"/>
    <mergeCell ref="C72:C73"/>
    <mergeCell ref="D72:D73"/>
    <mergeCell ref="E72:E73"/>
    <mergeCell ref="F72:F73"/>
    <mergeCell ref="J9:J10"/>
    <mergeCell ref="K9:K10"/>
    <mergeCell ref="L9:L10"/>
    <mergeCell ref="B28:B29"/>
    <mergeCell ref="C28:C29"/>
    <mergeCell ref="D28:D29"/>
    <mergeCell ref="E28:E29"/>
    <mergeCell ref="F28:F29"/>
    <mergeCell ref="I9:I10"/>
    <mergeCell ref="B7:B8"/>
    <mergeCell ref="C7:C8"/>
    <mergeCell ref="D7:D8"/>
    <mergeCell ref="E7:E8"/>
    <mergeCell ref="F7:F8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zoomScale="80" zoomScaleNormal="80" workbookViewId="0">
      <selection activeCell="G31" sqref="G31"/>
    </sheetView>
  </sheetViews>
  <sheetFormatPr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str">
        <f>'Tabelle 1'!F1</f>
        <v>Date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 xml:space="preserve">date of measurement: </v>
      </c>
    </row>
    <row r="5" spans="1:13" ht="32.1" customHeight="1" x14ac:dyDescent="0.25">
      <c r="A5" s="12"/>
      <c r="B5" s="20" t="str">
        <f>'Tabelle 1'!A7</f>
        <v>Mock</v>
      </c>
      <c r="C5" s="9" t="str">
        <f>'Tabelle 1'!A28</f>
        <v>WT JR2</v>
      </c>
      <c r="D5" s="9">
        <f>'Tabelle 1'!A51</f>
        <v>3</v>
      </c>
      <c r="E5" s="9">
        <f>'Tabelle 1'!A72</f>
        <v>4</v>
      </c>
      <c r="F5" s="9">
        <f>'Tabelle 1'!A93</f>
        <v>5</v>
      </c>
      <c r="G5" s="9">
        <f>'Tabelle 1'!A114</f>
        <v>6</v>
      </c>
      <c r="H5" s="9">
        <f>'Tabelle 1'!A135</f>
        <v>7</v>
      </c>
      <c r="I5" s="9">
        <f>'Tabelle 1'!A156</f>
        <v>8</v>
      </c>
      <c r="J5" s="9">
        <f>'Tabelle 1'!A177</f>
        <v>9</v>
      </c>
      <c r="K5" s="9">
        <f>'Tabelle 1'!A198</f>
        <v>10</v>
      </c>
      <c r="L5" s="9">
        <f>'Tabelle 1'!A219</f>
        <v>11</v>
      </c>
      <c r="M5" s="9">
        <f>'Tabelle 1'!A240</f>
        <v>12</v>
      </c>
    </row>
    <row r="6" spans="1:13" ht="12.75" customHeight="1" x14ac:dyDescent="0.3">
      <c r="A6" s="38" t="s">
        <v>19</v>
      </c>
      <c r="B6" s="21" t="e">
        <f>'Tabelle 1'!B24</f>
        <v>#DIV/0!</v>
      </c>
      <c r="C6" s="17" t="e">
        <f>'Tabelle 1'!B45</f>
        <v>#DIV/0!</v>
      </c>
      <c r="D6" s="22" t="e">
        <f>'Tabelle 1'!B68</f>
        <v>#DIV/0!</v>
      </c>
      <c r="E6" s="22" t="e">
        <f>'Tabelle 1'!B89</f>
        <v>#DIV/0!</v>
      </c>
      <c r="F6" s="21" t="e">
        <f>'Tabelle 1'!B110</f>
        <v>#DIV/0!</v>
      </c>
      <c r="G6" s="21" t="e">
        <f>'Tabelle 1'!B131</f>
        <v>#DIV/0!</v>
      </c>
      <c r="H6" s="21" t="e">
        <f>'Tabelle 1'!B152</f>
        <v>#DIV/0!</v>
      </c>
      <c r="I6" s="21" t="e">
        <f>'Tabelle 1'!B173</f>
        <v>#DIV/0!</v>
      </c>
      <c r="J6" s="21" t="e">
        <f>'Tabelle 1'!B194</f>
        <v>#DIV/0!</v>
      </c>
      <c r="K6" s="21" t="e">
        <f>'Tabelle 1'!B215</f>
        <v>#DIV/0!</v>
      </c>
      <c r="L6" s="21" t="e">
        <f>'Tabelle 1'!B236</f>
        <v>#DIV/0!</v>
      </c>
      <c r="M6" s="21" t="e">
        <f>'Tabelle 1'!B257</f>
        <v>#DIV/0!</v>
      </c>
    </row>
    <row r="7" spans="1:13" ht="14.4" x14ac:dyDescent="0.3">
      <c r="A7" s="38"/>
      <c r="B7" s="18" t="e">
        <f>'Tabelle 1'!B25</f>
        <v>#DIV/0!</v>
      </c>
      <c r="C7" s="23" t="e">
        <f>'Tabelle 1'!B46</f>
        <v>#DIV/0!</v>
      </c>
      <c r="D7" s="24" t="e">
        <f>'Tabelle 1'!B69</f>
        <v>#DIV/0!</v>
      </c>
      <c r="E7" s="24" t="e">
        <f>'Tabelle 1'!B90</f>
        <v>#DIV/0!</v>
      </c>
      <c r="F7" s="18" t="e">
        <f>'Tabelle 1'!B111</f>
        <v>#DIV/0!</v>
      </c>
      <c r="G7" s="18" t="e">
        <f>'Tabelle 1'!B132</f>
        <v>#DIV/0!</v>
      </c>
      <c r="H7" s="18" t="e">
        <f>'Tabelle 1'!B153</f>
        <v>#DIV/0!</v>
      </c>
      <c r="I7" s="18" t="e">
        <f>'Tabelle 1'!B174</f>
        <v>#DIV/0!</v>
      </c>
      <c r="J7" s="18" t="e">
        <f>'Tabelle 1'!B195</f>
        <v>#DIV/0!</v>
      </c>
      <c r="K7" s="18" t="e">
        <f>'Tabelle 1'!B216</f>
        <v>#DIV/0!</v>
      </c>
      <c r="L7" s="18" t="e">
        <f>'Tabelle 1'!B237</f>
        <v>#DIV/0!</v>
      </c>
      <c r="M7" s="18" t="e">
        <f>'Tabelle 1'!B258</f>
        <v>#DIV/0!</v>
      </c>
    </row>
    <row r="8" spans="1:13" ht="12.75" customHeight="1" x14ac:dyDescent="0.3">
      <c r="A8" s="38" t="s">
        <v>20</v>
      </c>
      <c r="B8" s="21" t="e">
        <f>'Tabelle 1'!C24</f>
        <v>#DIV/0!</v>
      </c>
      <c r="C8" s="17" t="e">
        <f>'Tabelle 1'!C45</f>
        <v>#DIV/0!</v>
      </c>
      <c r="D8" s="22" t="e">
        <f>'Tabelle 1'!C68</f>
        <v>#DIV/0!</v>
      </c>
      <c r="E8" s="22" t="e">
        <f>'Tabelle 1'!C89</f>
        <v>#DIV/0!</v>
      </c>
      <c r="F8" s="21" t="e">
        <f>'Tabelle 1'!C110</f>
        <v>#DIV/0!</v>
      </c>
      <c r="G8" s="21" t="e">
        <f>'Tabelle 1'!C131</f>
        <v>#DIV/0!</v>
      </c>
      <c r="H8" s="21" t="e">
        <f>'Tabelle 1'!C152</f>
        <v>#DIV/0!</v>
      </c>
      <c r="I8" s="21" t="e">
        <f>'Tabelle 1'!C173</f>
        <v>#DIV/0!</v>
      </c>
      <c r="J8" s="21" t="e">
        <f>'Tabelle 1'!C194</f>
        <v>#DIV/0!</v>
      </c>
      <c r="K8" s="21" t="e">
        <f>'Tabelle 1'!C215</f>
        <v>#DIV/0!</v>
      </c>
      <c r="L8" s="21" t="e">
        <f>'Tabelle 1'!C236</f>
        <v>#DIV/0!</v>
      </c>
      <c r="M8" s="21" t="e">
        <f>'Tabelle 1'!C257</f>
        <v>#DIV/0!</v>
      </c>
    </row>
    <row r="9" spans="1:13" ht="14.4" x14ac:dyDescent="0.3">
      <c r="A9" s="38"/>
      <c r="B9" s="18" t="e">
        <f>'Tabelle 1'!C25</f>
        <v>#DIV/0!</v>
      </c>
      <c r="C9" s="23" t="e">
        <f>'Tabelle 1'!C46</f>
        <v>#DIV/0!</v>
      </c>
      <c r="D9" s="24" t="e">
        <f>'Tabelle 1'!C69</f>
        <v>#DIV/0!</v>
      </c>
      <c r="E9" s="24" t="e">
        <f>'Tabelle 1'!C90</f>
        <v>#DIV/0!</v>
      </c>
      <c r="F9" s="18" t="e">
        <f>'Tabelle 1'!C111</f>
        <v>#DIV/0!</v>
      </c>
      <c r="G9" s="18" t="e">
        <f>'Tabelle 1'!C132</f>
        <v>#DIV/0!</v>
      </c>
      <c r="H9" s="18" t="e">
        <f>'Tabelle 1'!C153</f>
        <v>#DIV/0!</v>
      </c>
      <c r="I9" s="18" t="e">
        <f>'Tabelle 1'!C174</f>
        <v>#DIV/0!</v>
      </c>
      <c r="J9" s="18" t="e">
        <f>'Tabelle 1'!C195</f>
        <v>#DIV/0!</v>
      </c>
      <c r="K9" s="18" t="e">
        <f>'Tabelle 1'!C216</f>
        <v>#DIV/0!</v>
      </c>
      <c r="L9" s="18" t="e">
        <f>'Tabelle 1'!C237</f>
        <v>#DIV/0!</v>
      </c>
      <c r="M9" s="18" t="e">
        <f>'Tabelle 1'!C258</f>
        <v>#DIV/0!</v>
      </c>
    </row>
    <row r="10" spans="1:13" ht="12.75" customHeight="1" x14ac:dyDescent="0.3">
      <c r="A10" s="38" t="s">
        <v>5</v>
      </c>
      <c r="B10" s="21" t="e">
        <f>'Tabelle 1'!D24</f>
        <v>#DIV/0!</v>
      </c>
      <c r="C10" s="17" t="e">
        <f>'Tabelle 1'!D45</f>
        <v>#DIV/0!</v>
      </c>
      <c r="D10" s="22" t="e">
        <f>'Tabelle 1'!D68</f>
        <v>#DIV/0!</v>
      </c>
      <c r="E10" s="22" t="e">
        <f>'Tabelle 1'!D89</f>
        <v>#DIV/0!</v>
      </c>
      <c r="F10" s="21" t="e">
        <f>'Tabelle 1'!D110</f>
        <v>#DIV/0!</v>
      </c>
      <c r="G10" s="21" t="e">
        <f>'Tabelle 1'!D131</f>
        <v>#DIV/0!</v>
      </c>
      <c r="H10" s="21" t="e">
        <f>'Tabelle 1'!D152</f>
        <v>#DIV/0!</v>
      </c>
      <c r="I10" s="21" t="e">
        <f>'Tabelle 1'!D173</f>
        <v>#DIV/0!</v>
      </c>
      <c r="J10" s="21" t="e">
        <f>'Tabelle 1'!D194</f>
        <v>#DIV/0!</v>
      </c>
      <c r="K10" s="21" t="e">
        <f>'Tabelle 1'!D215</f>
        <v>#DIV/0!</v>
      </c>
      <c r="L10" s="21" t="e">
        <f>'Tabelle 1'!D236</f>
        <v>#DIV/0!</v>
      </c>
      <c r="M10" s="21" t="e">
        <f>'Tabelle 1'!D257</f>
        <v>#DIV/0!</v>
      </c>
    </row>
    <row r="11" spans="1:13" ht="14.4" x14ac:dyDescent="0.3">
      <c r="A11" s="38"/>
      <c r="B11" s="18" t="e">
        <f>'Tabelle 1'!D25</f>
        <v>#DIV/0!</v>
      </c>
      <c r="C11" s="23" t="e">
        <f>'Tabelle 1'!D46</f>
        <v>#DIV/0!</v>
      </c>
      <c r="D11" s="24" t="e">
        <f>'Tabelle 1'!D69</f>
        <v>#DIV/0!</v>
      </c>
      <c r="E11" s="24" t="e">
        <f>'Tabelle 1'!D90</f>
        <v>#DIV/0!</v>
      </c>
      <c r="F11" s="18" t="e">
        <f>'Tabelle 1'!D111</f>
        <v>#DIV/0!</v>
      </c>
      <c r="G11" s="18" t="e">
        <f>'Tabelle 1'!D132</f>
        <v>#DIV/0!</v>
      </c>
      <c r="H11" s="18" t="e">
        <f>'Tabelle 1'!D153</f>
        <v>#DIV/0!</v>
      </c>
      <c r="I11" s="18" t="e">
        <f>'Tabelle 1'!D174</f>
        <v>#DIV/0!</v>
      </c>
      <c r="J11" s="18" t="e">
        <f>'Tabelle 1'!D195</f>
        <v>#DIV/0!</v>
      </c>
      <c r="K11" s="18" t="e">
        <f>'Tabelle 1'!D216</f>
        <v>#DIV/0!</v>
      </c>
      <c r="L11" s="18" t="e">
        <f>'Tabelle 1'!D237</f>
        <v>#DIV/0!</v>
      </c>
      <c r="M11" s="18" t="e">
        <f>'Tabelle 1'!D258</f>
        <v>#DIV/0!</v>
      </c>
    </row>
    <row r="12" spans="1:13" ht="12.75" customHeight="1" x14ac:dyDescent="0.3">
      <c r="A12" s="38" t="s">
        <v>21</v>
      </c>
      <c r="B12" s="21" t="e">
        <f>'Tabelle 1'!E24</f>
        <v>#DIV/0!</v>
      </c>
      <c r="C12" s="17" t="e">
        <f>'Tabelle 1'!E45</f>
        <v>#DIV/0!</v>
      </c>
      <c r="D12" s="22" t="e">
        <f>'Tabelle 1'!E68</f>
        <v>#DIV/0!</v>
      </c>
      <c r="E12" s="22" t="e">
        <f>'Tabelle 1'!E89</f>
        <v>#DIV/0!</v>
      </c>
      <c r="F12" s="21" t="e">
        <f>'Tabelle 1'!E110</f>
        <v>#DIV/0!</v>
      </c>
      <c r="G12" s="21" t="e">
        <f>'Tabelle 1'!E131</f>
        <v>#DIV/0!</v>
      </c>
      <c r="H12" s="21" t="e">
        <f>'Tabelle 1'!E152</f>
        <v>#DIV/0!</v>
      </c>
      <c r="I12" s="21" t="e">
        <f>'Tabelle 1'!E173</f>
        <v>#DIV/0!</v>
      </c>
      <c r="J12" s="21" t="e">
        <f>'Tabelle 1'!E194</f>
        <v>#DIV/0!</v>
      </c>
      <c r="K12" s="21" t="e">
        <f>'Tabelle 1'!E215</f>
        <v>#DIV/0!</v>
      </c>
      <c r="L12" s="21" t="e">
        <f>'Tabelle 1'!E236</f>
        <v>#DIV/0!</v>
      </c>
      <c r="M12" s="21" t="e">
        <f>'Tabelle 1'!E257</f>
        <v>#DIV/0!</v>
      </c>
    </row>
    <row r="13" spans="1:13" ht="14.4" x14ac:dyDescent="0.3">
      <c r="A13" s="38"/>
      <c r="B13" s="18" t="e">
        <f>'Tabelle 1'!E25</f>
        <v>#DIV/0!</v>
      </c>
      <c r="C13" s="23" t="e">
        <f>'Tabelle 1'!E46</f>
        <v>#DIV/0!</v>
      </c>
      <c r="D13" s="24" t="e">
        <f>'Tabelle 1'!E69</f>
        <v>#DIV/0!</v>
      </c>
      <c r="E13" s="24" t="e">
        <f>'Tabelle 1'!E90</f>
        <v>#DIV/0!</v>
      </c>
      <c r="F13" s="18" t="e">
        <f>'Tabelle 1'!E111</f>
        <v>#DIV/0!</v>
      </c>
      <c r="G13" s="18" t="e">
        <f>'Tabelle 1'!E132</f>
        <v>#DIV/0!</v>
      </c>
      <c r="H13" s="18" t="e">
        <f>'Tabelle 1'!E153</f>
        <v>#DIV/0!</v>
      </c>
      <c r="I13" s="18" t="e">
        <f>'Tabelle 1'!E174</f>
        <v>#DIV/0!</v>
      </c>
      <c r="J13" s="18" t="e">
        <f>'Tabelle 1'!E195</f>
        <v>#DIV/0!</v>
      </c>
      <c r="K13" s="18" t="e">
        <f>'Tabelle 1'!E216</f>
        <v>#DIV/0!</v>
      </c>
      <c r="L13" s="18" t="e">
        <f>'Tabelle 1'!E237</f>
        <v>#DIV/0!</v>
      </c>
      <c r="M13" s="18" t="e">
        <f>'Tabelle 1'!E258</f>
        <v>#DIV/0!</v>
      </c>
    </row>
    <row r="14" spans="1:13" x14ac:dyDescent="0.25">
      <c r="A14" s="1" t="s">
        <v>13</v>
      </c>
      <c r="B14" s="1">
        <f>'Tabelle 1'!G25</f>
        <v>15</v>
      </c>
      <c r="C14" s="1">
        <f>'Tabelle 1'!G46</f>
        <v>15</v>
      </c>
      <c r="D14" s="1">
        <f>'Tabelle 1'!G69</f>
        <v>15</v>
      </c>
      <c r="E14" s="1">
        <f>'Tabelle 1'!G90</f>
        <v>15</v>
      </c>
      <c r="F14" s="1">
        <f>'Tabelle 1'!G111</f>
        <v>15</v>
      </c>
      <c r="G14" s="1">
        <f>'Tabelle 1'!G132</f>
        <v>15</v>
      </c>
      <c r="H14" s="1">
        <f>'Tabelle 1'!G153</f>
        <v>15</v>
      </c>
      <c r="I14" s="1">
        <f>'Tabelle 1'!G174</f>
        <v>15</v>
      </c>
      <c r="J14" s="1">
        <f>'Tabelle 1'!G195</f>
        <v>15</v>
      </c>
      <c r="K14" s="1">
        <f>'Tabelle 1'!G216</f>
        <v>15</v>
      </c>
      <c r="L14" s="1">
        <f>'Tabelle 1'!G237</f>
        <v>15</v>
      </c>
      <c r="M14" s="1">
        <f>'Tabelle 1'!G258</f>
        <v>15</v>
      </c>
    </row>
    <row r="15" spans="1:13" ht="14.4" x14ac:dyDescent="0.3">
      <c r="A15" s="25"/>
      <c r="B15" s="25"/>
      <c r="C15" s="25"/>
      <c r="D15" s="25"/>
      <c r="E15" s="25"/>
      <c r="F15" s="25"/>
      <c r="G15" s="25"/>
      <c r="H15" s="25"/>
    </row>
    <row r="16" spans="1:13" ht="14.4" x14ac:dyDescent="0.3">
      <c r="A16" s="25"/>
      <c r="B16" s="25"/>
      <c r="C16" s="25"/>
      <c r="D16" s="25"/>
      <c r="E16" s="25"/>
      <c r="F16" s="25"/>
      <c r="G16" s="25"/>
      <c r="H16" s="25"/>
      <c r="I16" s="26" t="s">
        <v>22</v>
      </c>
      <c r="J16" s="25"/>
    </row>
    <row r="17" spans="1:10" ht="14.4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0" ht="14.4" x14ac:dyDescent="0.3">
      <c r="I18" s="26" t="s">
        <v>23</v>
      </c>
      <c r="J18" s="25"/>
    </row>
    <row r="19" spans="1:10" x14ac:dyDescent="0.25">
      <c r="I19" s="9"/>
    </row>
    <row r="20" spans="1:10" x14ac:dyDescent="0.25">
      <c r="I20" s="9"/>
    </row>
    <row r="21" spans="1:10" ht="21" x14ac:dyDescent="0.4">
      <c r="A21" s="27"/>
      <c r="I21" s="9"/>
    </row>
    <row r="22" spans="1:10" x14ac:dyDescent="0.25">
      <c r="I22" s="9"/>
    </row>
    <row r="25" spans="1:10" ht="14.4" x14ac:dyDescent="0.3">
      <c r="I25" s="26" t="s">
        <v>9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6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5"/>
      <c r="H44" s="25"/>
    </row>
    <row r="45" spans="7:9" ht="14.4" x14ac:dyDescent="0.3">
      <c r="G45" s="25"/>
      <c r="H45" s="25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5"/>
      <c r="H53" s="25"/>
    </row>
    <row r="54" spans="7:8" ht="14.4" x14ac:dyDescent="0.3">
      <c r="G54" s="25"/>
      <c r="H54" s="25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C2" zoomScale="98" workbookViewId="0">
      <selection activeCell="G13" sqref="G13"/>
    </sheetView>
  </sheetViews>
  <sheetFormatPr defaultColWidth="10.88671875" defaultRowHeight="15.6" x14ac:dyDescent="0.3"/>
  <cols>
    <col min="1" max="2" width="10.88671875" style="28"/>
    <col min="3" max="3" width="9.44140625" style="28" customWidth="1"/>
    <col min="4" max="4" width="4" style="28" customWidth="1"/>
    <col min="5" max="5" width="9.44140625" style="28" customWidth="1"/>
    <col min="6" max="6" width="11.88671875" style="28" customWidth="1"/>
    <col min="7" max="16384" width="10.88671875" style="28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str">
        <f>'Tabelle 1'!F1</f>
        <v>Date</v>
      </c>
    </row>
    <row r="2" spans="1:12" x14ac:dyDescent="0.3">
      <c r="A2" s="29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9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9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30" t="s">
        <v>27</v>
      </c>
      <c r="B8" s="31" t="s">
        <v>28</v>
      </c>
      <c r="C8" s="31" t="s">
        <v>24</v>
      </c>
      <c r="D8" s="31"/>
      <c r="E8" s="30" t="s">
        <v>29</v>
      </c>
      <c r="F8" s="31"/>
      <c r="G8" s="31"/>
      <c r="H8" s="31" t="s">
        <v>30</v>
      </c>
    </row>
    <row r="9" spans="1:12" x14ac:dyDescent="0.3">
      <c r="B9" s="31" t="s">
        <v>35</v>
      </c>
      <c r="C9" s="28">
        <v>0</v>
      </c>
      <c r="F9" s="31">
        <f>C9</f>
        <v>0</v>
      </c>
      <c r="G9" s="31">
        <v>0</v>
      </c>
      <c r="H9" s="31">
        <v>5</v>
      </c>
      <c r="J9" s="33">
        <v>0</v>
      </c>
      <c r="K9" s="33">
        <v>5</v>
      </c>
      <c r="L9" s="33" t="s">
        <v>36</v>
      </c>
    </row>
    <row r="10" spans="1:12" x14ac:dyDescent="0.3">
      <c r="B10" s="31" t="s">
        <v>34</v>
      </c>
      <c r="C10" s="28">
        <v>0.1</v>
      </c>
      <c r="E10" s="30">
        <v>39</v>
      </c>
      <c r="F10" s="31" t="e">
        <f>0.001*G13</f>
        <v>#DIV/0!</v>
      </c>
      <c r="G10" s="31" t="e">
        <f>0.39*G13</f>
        <v>#DIV/0!</v>
      </c>
      <c r="H10" s="31">
        <v>4</v>
      </c>
      <c r="J10" s="33" t="e">
        <f>F10</f>
        <v>#DIV/0!</v>
      </c>
      <c r="K10" s="33">
        <v>4</v>
      </c>
      <c r="L10" s="28" t="s">
        <v>38</v>
      </c>
    </row>
    <row r="11" spans="1:12" x14ac:dyDescent="0.3">
      <c r="B11" s="31" t="s">
        <v>33</v>
      </c>
      <c r="C11" s="31">
        <v>40</v>
      </c>
      <c r="D11" s="31" t="s">
        <v>25</v>
      </c>
      <c r="E11" s="30">
        <v>59</v>
      </c>
      <c r="F11" s="31" t="e">
        <f>0.4*G13</f>
        <v>#DIV/0!</v>
      </c>
      <c r="G11" s="31" t="e">
        <f>0.59*G13</f>
        <v>#DIV/0!</v>
      </c>
      <c r="H11" s="31">
        <v>3</v>
      </c>
      <c r="J11" s="33" t="e">
        <f>F11</f>
        <v>#DIV/0!</v>
      </c>
      <c r="K11" s="33">
        <v>3</v>
      </c>
    </row>
    <row r="12" spans="1:12" x14ac:dyDescent="0.3">
      <c r="B12" s="31" t="s">
        <v>32</v>
      </c>
      <c r="C12" s="31">
        <v>60</v>
      </c>
      <c r="D12" s="31" t="s">
        <v>25</v>
      </c>
      <c r="E12" s="30">
        <v>79</v>
      </c>
      <c r="F12" s="31" t="e">
        <f>0.6*G13</f>
        <v>#DIV/0!</v>
      </c>
      <c r="G12" s="31" t="e">
        <f>0.79*G13</f>
        <v>#DIV/0!</v>
      </c>
      <c r="H12" s="31">
        <v>2</v>
      </c>
      <c r="J12" s="33" t="e">
        <f>F12</f>
        <v>#DIV/0!</v>
      </c>
      <c r="K12" s="33">
        <v>2</v>
      </c>
    </row>
    <row r="13" spans="1:12" x14ac:dyDescent="0.3">
      <c r="B13" s="30" t="s">
        <v>31</v>
      </c>
      <c r="C13" s="30">
        <v>80</v>
      </c>
      <c r="D13" s="30" t="s">
        <v>25</v>
      </c>
      <c r="E13" s="30">
        <v>100</v>
      </c>
      <c r="F13" s="31" t="e">
        <f>0.8*G13</f>
        <v>#DIV/0!</v>
      </c>
      <c r="G13" s="32" t="e">
        <f>'Tabelle 1'!B24</f>
        <v>#DIV/0!</v>
      </c>
      <c r="H13" s="31">
        <v>1</v>
      </c>
      <c r="J13" s="33" t="e">
        <f>F13</f>
        <v>#DIV/0!</v>
      </c>
      <c r="K13" s="33">
        <v>1</v>
      </c>
    </row>
    <row r="14" spans="1:12" x14ac:dyDescent="0.3">
      <c r="A14" s="31"/>
      <c r="B14" s="31"/>
      <c r="C14" s="31"/>
      <c r="D14" s="31"/>
      <c r="E14" s="31"/>
      <c r="F14" s="31"/>
      <c r="G14" s="31"/>
      <c r="H14" s="31"/>
    </row>
    <row r="15" spans="1:12" x14ac:dyDescent="0.3">
      <c r="A15" s="31"/>
      <c r="B15" s="31"/>
      <c r="C15" s="31"/>
      <c r="D15" s="31"/>
      <c r="E15" s="31"/>
      <c r="F15" s="31"/>
      <c r="G15" s="31"/>
      <c r="H15" s="31"/>
    </row>
    <row r="17" spans="1:11" x14ac:dyDescent="0.3">
      <c r="A17" s="30" t="s">
        <v>37</v>
      </c>
      <c r="B17" s="31" t="s">
        <v>28</v>
      </c>
      <c r="C17" s="31" t="s">
        <v>24</v>
      </c>
      <c r="E17" s="30" t="s">
        <v>29</v>
      </c>
      <c r="F17" s="31"/>
      <c r="G17" s="31"/>
      <c r="H17" s="31" t="s">
        <v>30</v>
      </c>
    </row>
    <row r="18" spans="1:11" x14ac:dyDescent="0.3">
      <c r="B18" s="31" t="s">
        <v>35</v>
      </c>
      <c r="C18" s="28">
        <v>0</v>
      </c>
      <c r="F18" s="28">
        <f>C18</f>
        <v>0</v>
      </c>
      <c r="H18" s="28">
        <v>5</v>
      </c>
      <c r="J18" s="28">
        <f>F18</f>
        <v>0</v>
      </c>
      <c r="K18" s="28">
        <f>H18</f>
        <v>5</v>
      </c>
    </row>
    <row r="19" spans="1:11" x14ac:dyDescent="0.3">
      <c r="B19" s="31" t="s">
        <v>34</v>
      </c>
      <c r="C19" s="28">
        <v>0.1</v>
      </c>
      <c r="E19" s="30">
        <v>39</v>
      </c>
      <c r="F19" s="31" t="e">
        <f>0.001*G22</f>
        <v>#DIV/0!</v>
      </c>
      <c r="G19" s="31" t="e">
        <f>0.39*G22</f>
        <v>#DIV/0!</v>
      </c>
      <c r="H19" s="31">
        <v>4</v>
      </c>
      <c r="J19" s="28" t="e">
        <f>F19</f>
        <v>#DIV/0!</v>
      </c>
      <c r="K19" s="28">
        <f>H19</f>
        <v>4</v>
      </c>
    </row>
    <row r="20" spans="1:11" x14ac:dyDescent="0.3">
      <c r="B20" s="31" t="s">
        <v>33</v>
      </c>
      <c r="C20" s="31">
        <v>40</v>
      </c>
      <c r="D20" s="31" t="s">
        <v>25</v>
      </c>
      <c r="E20" s="30">
        <v>59</v>
      </c>
      <c r="F20" s="31" t="e">
        <f>0.4*G22</f>
        <v>#DIV/0!</v>
      </c>
      <c r="G20" s="31" t="e">
        <f>0.59*G22</f>
        <v>#DIV/0!</v>
      </c>
      <c r="H20" s="31">
        <v>3</v>
      </c>
      <c r="J20" s="28" t="e">
        <f>F20</f>
        <v>#DIV/0!</v>
      </c>
      <c r="K20" s="28">
        <f>H20</f>
        <v>3</v>
      </c>
    </row>
    <row r="21" spans="1:11" x14ac:dyDescent="0.3">
      <c r="B21" s="31" t="s">
        <v>32</v>
      </c>
      <c r="C21" s="31">
        <v>60</v>
      </c>
      <c r="D21" s="31" t="s">
        <v>25</v>
      </c>
      <c r="E21" s="30">
        <v>79</v>
      </c>
      <c r="F21" s="31" t="e">
        <f>0.6*G22</f>
        <v>#DIV/0!</v>
      </c>
      <c r="G21" s="31" t="e">
        <f>0.79*G22</f>
        <v>#DIV/0!</v>
      </c>
      <c r="H21" s="31">
        <v>2</v>
      </c>
      <c r="J21" s="28" t="e">
        <f>F21</f>
        <v>#DIV/0!</v>
      </c>
      <c r="K21" s="28">
        <f>H21</f>
        <v>2</v>
      </c>
    </row>
    <row r="22" spans="1:11" x14ac:dyDescent="0.3">
      <c r="B22" s="30" t="s">
        <v>31</v>
      </c>
      <c r="C22" s="30">
        <v>80</v>
      </c>
      <c r="D22" s="30" t="s">
        <v>25</v>
      </c>
      <c r="E22" s="30">
        <v>100</v>
      </c>
      <c r="F22" s="31" t="e">
        <f>0.8*G22</f>
        <v>#DIV/0!</v>
      </c>
      <c r="G22" s="32" t="e">
        <f>'Tabelle 1'!C24</f>
        <v>#DIV/0!</v>
      </c>
      <c r="H22" s="31">
        <v>1</v>
      </c>
      <c r="J22" s="28" t="e">
        <f>F22</f>
        <v>#DIV/0!</v>
      </c>
      <c r="K22" s="28">
        <f>H22</f>
        <v>1</v>
      </c>
    </row>
    <row r="25" spans="1:11" x14ac:dyDescent="0.3">
      <c r="A25" s="31" t="s">
        <v>26</v>
      </c>
      <c r="B25" s="31" t="s">
        <v>28</v>
      </c>
      <c r="C25" s="31" t="s">
        <v>24</v>
      </c>
      <c r="E25" s="30" t="s">
        <v>29</v>
      </c>
      <c r="F25" s="31"/>
      <c r="G25" s="31"/>
      <c r="H25" s="31" t="s">
        <v>30</v>
      </c>
    </row>
    <row r="26" spans="1:11" x14ac:dyDescent="0.3">
      <c r="B26" s="31" t="s">
        <v>35</v>
      </c>
      <c r="C26" s="28">
        <v>0</v>
      </c>
      <c r="F26" s="28">
        <f>C26</f>
        <v>0</v>
      </c>
      <c r="H26" s="28">
        <v>5</v>
      </c>
      <c r="J26" s="28">
        <f>F26</f>
        <v>0</v>
      </c>
      <c r="K26" s="28">
        <f>H26</f>
        <v>5</v>
      </c>
    </row>
    <row r="27" spans="1:11" x14ac:dyDescent="0.3">
      <c r="B27" s="31" t="s">
        <v>34</v>
      </c>
      <c r="C27" s="28">
        <v>0.1</v>
      </c>
      <c r="E27" s="30">
        <v>39</v>
      </c>
      <c r="F27" s="31" t="e">
        <f>0.01*$G$30</f>
        <v>#DIV/0!</v>
      </c>
      <c r="G27" s="31" t="e">
        <f>0.39*$G$30</f>
        <v>#DIV/0!</v>
      </c>
      <c r="H27" s="31">
        <v>4</v>
      </c>
      <c r="J27" s="28" t="e">
        <f>F27</f>
        <v>#DIV/0!</v>
      </c>
      <c r="K27" s="28">
        <f>H27</f>
        <v>4</v>
      </c>
    </row>
    <row r="28" spans="1:11" x14ac:dyDescent="0.3">
      <c r="B28" s="31" t="s">
        <v>33</v>
      </c>
      <c r="C28" s="31">
        <v>40</v>
      </c>
      <c r="D28" s="31" t="s">
        <v>25</v>
      </c>
      <c r="E28" s="30">
        <v>59</v>
      </c>
      <c r="F28" s="31" t="e">
        <f>0.4*$G$30</f>
        <v>#DIV/0!</v>
      </c>
      <c r="G28" s="31" t="e">
        <f>0.59*$G$30</f>
        <v>#DIV/0!</v>
      </c>
      <c r="H28" s="31">
        <v>3</v>
      </c>
      <c r="J28" s="28" t="e">
        <f>F28</f>
        <v>#DIV/0!</v>
      </c>
      <c r="K28" s="28">
        <f>H28</f>
        <v>3</v>
      </c>
    </row>
    <row r="29" spans="1:11" x14ac:dyDescent="0.3">
      <c r="B29" s="31" t="s">
        <v>32</v>
      </c>
      <c r="C29" s="31">
        <v>60</v>
      </c>
      <c r="D29" s="31" t="s">
        <v>25</v>
      </c>
      <c r="E29" s="30">
        <v>79</v>
      </c>
      <c r="F29" s="31" t="e">
        <f>0.6*$G$30</f>
        <v>#DIV/0!</v>
      </c>
      <c r="G29" s="31" t="e">
        <f>0.79*$G$30</f>
        <v>#DIV/0!</v>
      </c>
      <c r="H29" s="31">
        <v>2</v>
      </c>
      <c r="J29" s="28" t="e">
        <f>F29</f>
        <v>#DIV/0!</v>
      </c>
      <c r="K29" s="28">
        <f>H29</f>
        <v>2</v>
      </c>
    </row>
    <row r="30" spans="1:11" x14ac:dyDescent="0.3">
      <c r="B30" s="30" t="s">
        <v>31</v>
      </c>
      <c r="C30" s="30">
        <v>80</v>
      </c>
      <c r="D30" s="30" t="s">
        <v>25</v>
      </c>
      <c r="E30" s="30">
        <v>100</v>
      </c>
      <c r="F30" s="31" t="e">
        <f>0.8*$G$30</f>
        <v>#DIV/0!</v>
      </c>
      <c r="G30" s="32" t="e">
        <f>'Tabelle 1'!D24</f>
        <v>#DIV/0!</v>
      </c>
      <c r="H30" s="31">
        <v>1</v>
      </c>
      <c r="J30" s="28" t="e">
        <f>F30</f>
        <v>#DIV/0!</v>
      </c>
      <c r="K30" s="28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69"/>
  <sheetViews>
    <sheetView tabSelected="1" topLeftCell="I1" zoomScale="99" workbookViewId="0">
      <selection activeCell="O20" sqref="O20"/>
    </sheetView>
  </sheetViews>
  <sheetFormatPr defaultColWidth="10.88671875" defaultRowHeight="13.8" x14ac:dyDescent="0.25"/>
  <cols>
    <col min="1" max="11" width="10.88671875" style="1"/>
    <col min="12" max="12" width="20.21875" style="1" customWidth="1"/>
    <col min="13" max="16384" width="10.88671875" style="1"/>
  </cols>
  <sheetData>
    <row r="1" spans="1:25" x14ac:dyDescent="0.25">
      <c r="A1" s="20" t="str">
        <f>'Tabelle 1'!A7</f>
        <v>Mock</v>
      </c>
      <c r="B1" s="20" t="s">
        <v>39</v>
      </c>
      <c r="C1" s="20" t="s">
        <v>40</v>
      </c>
      <c r="D1" s="20" t="s">
        <v>41</v>
      </c>
      <c r="E1" s="20" t="s">
        <v>42</v>
      </c>
      <c r="H1" s="34" t="s">
        <v>43</v>
      </c>
      <c r="M1" s="1" t="s">
        <v>60</v>
      </c>
      <c r="N1" s="1" t="s">
        <v>58</v>
      </c>
      <c r="O1" s="1" t="s">
        <v>59</v>
      </c>
      <c r="R1" s="1" t="s">
        <v>2</v>
      </c>
      <c r="S1" s="1" t="s">
        <v>58</v>
      </c>
      <c r="T1" s="1" t="s">
        <v>59</v>
      </c>
      <c r="W1" s="1" t="s">
        <v>2</v>
      </c>
      <c r="X1" s="1" t="s">
        <v>58</v>
      </c>
      <c r="Y1" s="1" t="s">
        <v>59</v>
      </c>
    </row>
    <row r="2" spans="1:25" x14ac:dyDescent="0.25">
      <c r="A2" s="12">
        <v>1</v>
      </c>
      <c r="B2" s="12">
        <f>VLOOKUP('Tabelle 1'!B9,'Degree of Symptoms'!$J$9:$K$13,2)</f>
        <v>5</v>
      </c>
      <c r="C2" s="12">
        <f>VLOOKUP('Tabelle 1'!C9,'Degree of Symptoms'!$J$13:$K$22,2)</f>
        <v>5</v>
      </c>
      <c r="D2" s="12">
        <f>VLOOKUP('Tabelle 1'!D9,'Degree of Symptoms'!$J$26:$K$30,2)</f>
        <v>5</v>
      </c>
      <c r="E2" s="18">
        <f t="shared" ref="E2:E16" si="0">AVERAGE(B2:D2)</f>
        <v>5</v>
      </c>
      <c r="G2" s="35" t="s">
        <v>44</v>
      </c>
      <c r="H2" s="1">
        <f>COUNTIFS($E$2:$E$16,"&lt;1,99",$E$2:$E$16,"&gt;=1")</f>
        <v>0</v>
      </c>
      <c r="J2" s="35" t="s">
        <v>44</v>
      </c>
      <c r="K2" s="35"/>
      <c r="L2" s="1" t="s">
        <v>31</v>
      </c>
      <c r="M2" s="1">
        <f>SUM(R2,R9,R17)</f>
        <v>87</v>
      </c>
      <c r="N2" s="1">
        <f>SUM(S2,S9,S17)</f>
        <v>14</v>
      </c>
      <c r="O2" s="1">
        <f>SUM(T2,T9,T17)</f>
        <v>29</v>
      </c>
      <c r="R2" s="1">
        <v>29</v>
      </c>
      <c r="S2" s="1">
        <v>4</v>
      </c>
      <c r="T2" s="1">
        <v>1</v>
      </c>
      <c r="W2" s="1">
        <v>1</v>
      </c>
      <c r="X2" s="1">
        <v>1</v>
      </c>
      <c r="Y2" s="1">
        <v>1</v>
      </c>
    </row>
    <row r="3" spans="1:25" x14ac:dyDescent="0.25">
      <c r="A3" s="12">
        <v>2</v>
      </c>
      <c r="B3" s="12">
        <f>VLOOKUP('Tabelle 1'!B10,'Degree of Symptoms'!$J$9:$K$13,2)</f>
        <v>5</v>
      </c>
      <c r="C3" s="12">
        <f>VLOOKUP('Tabelle 1'!C10,'Degree of Symptoms'!$J$13:$K$22,2)</f>
        <v>5</v>
      </c>
      <c r="D3" s="12">
        <f>VLOOKUP('Tabelle 1'!D10,'Degree of Symptoms'!$J$26:$K$30,2)</f>
        <v>5</v>
      </c>
      <c r="E3" s="18">
        <f t="shared" si="0"/>
        <v>5</v>
      </c>
      <c r="G3" s="35" t="s">
        <v>45</v>
      </c>
      <c r="H3" s="1">
        <f>COUNTIFS($E$2:$E$16,"&lt;2,99",$E$2:$E$16,"&gt;=2")</f>
        <v>0</v>
      </c>
      <c r="J3" s="35" t="s">
        <v>45</v>
      </c>
      <c r="K3" s="35"/>
      <c r="L3" s="1" t="s">
        <v>46</v>
      </c>
      <c r="M3" s="1">
        <v>3</v>
      </c>
      <c r="N3" s="1">
        <f>SUM(S3,S10,S18)</f>
        <v>36</v>
      </c>
      <c r="O3" s="1">
        <f>SUM(T3,T10,T18)</f>
        <v>49</v>
      </c>
      <c r="R3" s="1">
        <v>1</v>
      </c>
      <c r="S3" s="1">
        <v>15</v>
      </c>
      <c r="T3" s="1">
        <v>15</v>
      </c>
      <c r="W3" s="1">
        <v>1</v>
      </c>
      <c r="X3" s="1">
        <v>1</v>
      </c>
      <c r="Y3" s="1">
        <v>1</v>
      </c>
    </row>
    <row r="4" spans="1:25" x14ac:dyDescent="0.25">
      <c r="A4" s="12">
        <v>3</v>
      </c>
      <c r="B4" s="12">
        <f>VLOOKUP('Tabelle 1'!B11,'Degree of Symptoms'!$J$9:$K$13,2)</f>
        <v>5</v>
      </c>
      <c r="C4" s="12">
        <f>VLOOKUP('Tabelle 1'!C11,'Degree of Symptoms'!$J$13:$K$22,2)</f>
        <v>5</v>
      </c>
      <c r="D4" s="12">
        <f>VLOOKUP('Tabelle 1'!D11,'Degree of Symptoms'!$J$26:$K$30,2)</f>
        <v>5</v>
      </c>
      <c r="E4" s="18">
        <f t="shared" si="0"/>
        <v>5</v>
      </c>
      <c r="G4" s="35" t="s">
        <v>47</v>
      </c>
      <c r="H4" s="1">
        <f>COUNTIFS($E$2:$E$16,"&lt;3,99",$E$2:$E$16,"&gt;=3")</f>
        <v>0</v>
      </c>
      <c r="J4" s="35" t="s">
        <v>47</v>
      </c>
      <c r="K4" s="35"/>
      <c r="L4" s="1" t="s">
        <v>48</v>
      </c>
      <c r="M4" s="1">
        <f>H4</f>
        <v>0</v>
      </c>
      <c r="N4" s="1">
        <f>SUM(S4,S11,S19)</f>
        <v>30</v>
      </c>
      <c r="O4" s="1">
        <f>SUM(T4,T11,T19)</f>
        <v>34</v>
      </c>
      <c r="S4" s="1">
        <v>8</v>
      </c>
      <c r="T4" s="1">
        <v>13</v>
      </c>
      <c r="W4" s="1">
        <v>1</v>
      </c>
      <c r="X4" s="1">
        <v>1</v>
      </c>
      <c r="Y4" s="1">
        <v>1</v>
      </c>
    </row>
    <row r="5" spans="1:25" x14ac:dyDescent="0.25">
      <c r="A5" s="12">
        <v>4</v>
      </c>
      <c r="B5" s="12">
        <f>VLOOKUP('Tabelle 1'!B12,'Degree of Symptoms'!$J$9:$K$13,2)</f>
        <v>5</v>
      </c>
      <c r="C5" s="12">
        <f>VLOOKUP('Tabelle 1'!C12,'Degree of Symptoms'!$J$13:$K$22,2)</f>
        <v>5</v>
      </c>
      <c r="D5" s="12">
        <f>VLOOKUP('Tabelle 1'!D12,'Degree of Symptoms'!$J$26:$K$30,2)</f>
        <v>5</v>
      </c>
      <c r="E5" s="18">
        <f t="shared" si="0"/>
        <v>5</v>
      </c>
      <c r="G5" s="35" t="s">
        <v>49</v>
      </c>
      <c r="H5" s="1">
        <f>COUNTIFS($E$2:$E$16,"&lt;4,99",$E$2:$E$16,"&gt;=4")</f>
        <v>0</v>
      </c>
      <c r="J5" s="35" t="s">
        <v>49</v>
      </c>
      <c r="K5" s="35"/>
      <c r="L5" s="1" t="s">
        <v>50</v>
      </c>
      <c r="M5" s="1">
        <f>H5</f>
        <v>0</v>
      </c>
      <c r="N5" s="1">
        <f>SUM(S5,S12,S20)</f>
        <v>10</v>
      </c>
      <c r="O5" s="1">
        <f>SUM(T5,T20)</f>
        <v>8</v>
      </c>
      <c r="S5" s="1">
        <v>3</v>
      </c>
      <c r="T5" s="1">
        <v>1</v>
      </c>
      <c r="W5" s="1">
        <v>1</v>
      </c>
      <c r="X5" s="1">
        <v>1</v>
      </c>
      <c r="Y5" s="1">
        <v>1</v>
      </c>
    </row>
    <row r="6" spans="1:25" x14ac:dyDescent="0.25">
      <c r="A6" s="12">
        <v>5</v>
      </c>
      <c r="B6" s="12">
        <f>VLOOKUP('Tabelle 1'!B13,'Degree of Symptoms'!$J$9:$K$13,2)</f>
        <v>5</v>
      </c>
      <c r="C6" s="12">
        <f>VLOOKUP('Tabelle 1'!C13,'Degree of Symptoms'!$J$13:$K$22,2)</f>
        <v>5</v>
      </c>
      <c r="D6" s="12">
        <f>VLOOKUP('Tabelle 1'!D13,'Degree of Symptoms'!$J$26:$K$30,2)</f>
        <v>5</v>
      </c>
      <c r="E6" s="18">
        <f t="shared" si="0"/>
        <v>5</v>
      </c>
      <c r="G6" s="35">
        <v>5</v>
      </c>
      <c r="H6" s="1">
        <f>COUNTIF($E$2:$E$16,"&gt;=5")</f>
        <v>15</v>
      </c>
      <c r="J6" s="35">
        <v>5</v>
      </c>
      <c r="K6" s="35"/>
      <c r="L6" s="1" t="s">
        <v>35</v>
      </c>
      <c r="M6" s="1">
        <v>0</v>
      </c>
      <c r="N6" s="1">
        <v>0</v>
      </c>
      <c r="O6" s="1">
        <v>0</v>
      </c>
      <c r="W6" s="1">
        <v>1</v>
      </c>
      <c r="X6" s="1">
        <v>1</v>
      </c>
      <c r="Y6" s="1">
        <v>1</v>
      </c>
    </row>
    <row r="7" spans="1:25" x14ac:dyDescent="0.25">
      <c r="A7" s="12">
        <v>6</v>
      </c>
      <c r="B7" s="12">
        <f>VLOOKUP('Tabelle 1'!B14,'Degree of Symptoms'!$J$9:$K$13,2)</f>
        <v>5</v>
      </c>
      <c r="C7" s="12">
        <f>VLOOKUP('Tabelle 1'!C14,'Degree of Symptoms'!$J$13:$K$22,2)</f>
        <v>5</v>
      </c>
      <c r="D7" s="12">
        <f>VLOOKUP('Tabelle 1'!D14,'Degree of Symptoms'!$J$26:$K$30,2)</f>
        <v>5</v>
      </c>
      <c r="E7" s="18">
        <f t="shared" si="0"/>
        <v>5</v>
      </c>
      <c r="H7" s="1">
        <f>SUM(H2:H6)</f>
        <v>15</v>
      </c>
      <c r="W7" s="1">
        <v>1</v>
      </c>
      <c r="X7" s="1">
        <v>1</v>
      </c>
      <c r="Y7" s="1">
        <v>1</v>
      </c>
    </row>
    <row r="8" spans="1:25" x14ac:dyDescent="0.25">
      <c r="A8" s="12">
        <v>7</v>
      </c>
      <c r="B8" s="12">
        <f>VLOOKUP('Tabelle 1'!B15,'Degree of Symptoms'!$J$9:$K$13,2)</f>
        <v>5</v>
      </c>
      <c r="C8" s="12">
        <f>VLOOKUP('Tabelle 1'!C15,'Degree of Symptoms'!$J$13:$K$22,2)</f>
        <v>5</v>
      </c>
      <c r="D8" s="12">
        <f>VLOOKUP('Tabelle 1'!D15,'Degree of Symptoms'!$J$26:$K$30,2)</f>
        <v>5</v>
      </c>
      <c r="E8" s="18">
        <f t="shared" si="0"/>
        <v>5</v>
      </c>
      <c r="L8" s="1" t="s">
        <v>13</v>
      </c>
      <c r="M8" s="1">
        <f>SUM(M2:M7)</f>
        <v>90</v>
      </c>
      <c r="N8" s="1">
        <f t="shared" ref="N8:O8" si="1">SUM(N2:N7)</f>
        <v>90</v>
      </c>
      <c r="O8" s="1">
        <f t="shared" si="1"/>
        <v>120</v>
      </c>
      <c r="R8" s="1" t="s">
        <v>2</v>
      </c>
      <c r="S8" s="1" t="s">
        <v>58</v>
      </c>
      <c r="T8" s="1" t="s">
        <v>59</v>
      </c>
      <c r="W8" s="1">
        <v>1</v>
      </c>
      <c r="X8" s="1">
        <v>1</v>
      </c>
      <c r="Y8" s="1">
        <v>1</v>
      </c>
    </row>
    <row r="9" spans="1:25" x14ac:dyDescent="0.25">
      <c r="A9" s="12">
        <v>8</v>
      </c>
      <c r="B9" s="12">
        <f>VLOOKUP('Tabelle 1'!B16,'Degree of Symptoms'!$J$9:$K$13,2)</f>
        <v>5</v>
      </c>
      <c r="C9" s="12">
        <f>VLOOKUP('Tabelle 1'!C16,'Degree of Symptoms'!$J$13:$K$22,2)</f>
        <v>5</v>
      </c>
      <c r="D9" s="12">
        <f>VLOOKUP('Tabelle 1'!D16,'Degree of Symptoms'!$J$26:$K$30,2)</f>
        <v>5</v>
      </c>
      <c r="E9" s="18">
        <f t="shared" si="0"/>
        <v>5</v>
      </c>
      <c r="R9" s="1">
        <v>28</v>
      </c>
      <c r="S9" s="1">
        <v>7</v>
      </c>
      <c r="T9" s="1">
        <v>18</v>
      </c>
      <c r="W9" s="1">
        <v>1</v>
      </c>
      <c r="X9" s="1">
        <v>1</v>
      </c>
      <c r="Y9" s="1">
        <v>1</v>
      </c>
    </row>
    <row r="10" spans="1:25" x14ac:dyDescent="0.25">
      <c r="A10" s="12">
        <v>9</v>
      </c>
      <c r="B10" s="12">
        <f>VLOOKUP('Tabelle 1'!B17,'Degree of Symptoms'!$J$9:$K$13,2)</f>
        <v>5</v>
      </c>
      <c r="C10" s="12">
        <f>VLOOKUP('Tabelle 1'!C17,'Degree of Symptoms'!$J$13:$K$22,2)</f>
        <v>5</v>
      </c>
      <c r="D10" s="12">
        <f>VLOOKUP('Tabelle 1'!D17,'Degree of Symptoms'!$J$26:$K$30,2)</f>
        <v>5</v>
      </c>
      <c r="E10" s="18">
        <f t="shared" si="0"/>
        <v>5</v>
      </c>
      <c r="R10" s="1">
        <v>2</v>
      </c>
      <c r="S10" s="1">
        <v>18</v>
      </c>
      <c r="T10" s="1">
        <v>9</v>
      </c>
      <c r="W10" s="1">
        <v>1</v>
      </c>
      <c r="X10" s="1">
        <v>1</v>
      </c>
      <c r="Y10" s="1">
        <v>1</v>
      </c>
    </row>
    <row r="11" spans="1:25" x14ac:dyDescent="0.25">
      <c r="A11" s="12">
        <v>10</v>
      </c>
      <c r="B11" s="12">
        <f>VLOOKUP('Tabelle 1'!B18,'Degree of Symptoms'!$J$9:$K$13,2)</f>
        <v>5</v>
      </c>
      <c r="C11" s="12">
        <f>VLOOKUP('Tabelle 1'!C18,'Degree of Symptoms'!$J$13:$K$22,2)</f>
        <v>5</v>
      </c>
      <c r="D11" s="12">
        <f>VLOOKUP('Tabelle 1'!D18,'Degree of Symptoms'!$J$26:$K$30,2)</f>
        <v>5</v>
      </c>
      <c r="E11" s="18">
        <f t="shared" si="0"/>
        <v>5</v>
      </c>
      <c r="R11" s="1">
        <v>0</v>
      </c>
      <c r="S11" s="1">
        <v>4</v>
      </c>
      <c r="T11" s="1">
        <v>3</v>
      </c>
      <c r="W11" s="1">
        <v>1</v>
      </c>
      <c r="X11" s="1">
        <v>1</v>
      </c>
      <c r="Y11" s="1">
        <v>1</v>
      </c>
    </row>
    <row r="12" spans="1:25" x14ac:dyDescent="0.25">
      <c r="A12" s="12">
        <v>11</v>
      </c>
      <c r="B12" s="12">
        <f>VLOOKUP('Tabelle 1'!B19,'Degree of Symptoms'!$J$9:$K$13,2)</f>
        <v>5</v>
      </c>
      <c r="C12" s="12">
        <f>VLOOKUP('Tabelle 1'!C19,'Degree of Symptoms'!$J$13:$K$22,2)</f>
        <v>5</v>
      </c>
      <c r="D12" s="12">
        <f>VLOOKUP('Tabelle 1'!D19,'Degree of Symptoms'!$J$26:$K$30,2)</f>
        <v>5</v>
      </c>
      <c r="E12" s="18">
        <f t="shared" si="0"/>
        <v>5</v>
      </c>
      <c r="R12" s="1">
        <v>0</v>
      </c>
      <c r="S12" s="1">
        <v>1</v>
      </c>
      <c r="T12" s="1">
        <v>0</v>
      </c>
      <c r="W12" s="1">
        <v>1</v>
      </c>
      <c r="X12" s="1">
        <v>1</v>
      </c>
      <c r="Y12" s="1">
        <v>1</v>
      </c>
    </row>
    <row r="13" spans="1:25" x14ac:dyDescent="0.25">
      <c r="A13" s="12">
        <v>12</v>
      </c>
      <c r="B13" s="12">
        <f>VLOOKUP('Tabelle 1'!B20,'Degree of Symptoms'!$J$9:$K$13,2)</f>
        <v>5</v>
      </c>
      <c r="C13" s="12">
        <f>VLOOKUP('Tabelle 1'!C20,'Degree of Symptoms'!$J$13:$K$22,2)</f>
        <v>5</v>
      </c>
      <c r="D13" s="12">
        <f>VLOOKUP('Tabelle 1'!D20,'Degree of Symptoms'!$J$26:$K$30,2)</f>
        <v>5</v>
      </c>
      <c r="E13" s="18">
        <f t="shared" si="0"/>
        <v>5</v>
      </c>
      <c r="R13" s="1">
        <v>0</v>
      </c>
      <c r="S13" s="1">
        <v>0</v>
      </c>
      <c r="T13" s="1">
        <v>0</v>
      </c>
      <c r="W13" s="1">
        <v>1</v>
      </c>
      <c r="X13" s="1">
        <v>1</v>
      </c>
      <c r="Y13" s="1">
        <v>1</v>
      </c>
    </row>
    <row r="14" spans="1:25" x14ac:dyDescent="0.25">
      <c r="A14" s="12">
        <v>13</v>
      </c>
      <c r="B14" s="12">
        <f>VLOOKUP('Tabelle 1'!B21,'Degree of Symptoms'!$J$9:$K$13,2)</f>
        <v>5</v>
      </c>
      <c r="C14" s="12">
        <f>VLOOKUP('Tabelle 1'!C21,'Degree of Symptoms'!$J$13:$K$22,2)</f>
        <v>5</v>
      </c>
      <c r="D14" s="12">
        <f>VLOOKUP('Tabelle 1'!D21,'Degree of Symptoms'!$J$26:$K$30,2)</f>
        <v>5</v>
      </c>
      <c r="E14" s="18">
        <f t="shared" si="0"/>
        <v>5</v>
      </c>
      <c r="W14" s="1">
        <v>1</v>
      </c>
      <c r="X14" s="1">
        <v>1</v>
      </c>
      <c r="Y14" s="1">
        <v>1</v>
      </c>
    </row>
    <row r="15" spans="1:25" x14ac:dyDescent="0.25">
      <c r="A15" s="12">
        <v>14</v>
      </c>
      <c r="B15" s="12">
        <f>VLOOKUP('Tabelle 1'!B22,'Degree of Symptoms'!$J$9:$K$13,2)</f>
        <v>5</v>
      </c>
      <c r="C15" s="12">
        <f>VLOOKUP('Tabelle 1'!C22,'Degree of Symptoms'!$J$13:$K$22,2)</f>
        <v>5</v>
      </c>
      <c r="D15" s="12">
        <f>VLOOKUP('Tabelle 1'!D22,'Degree of Symptoms'!$J$26:$K$30,2)</f>
        <v>5</v>
      </c>
      <c r="E15" s="18">
        <f t="shared" si="0"/>
        <v>5</v>
      </c>
      <c r="W15" s="1">
        <v>1</v>
      </c>
      <c r="X15" s="1">
        <v>1</v>
      </c>
      <c r="Y15" s="1">
        <v>1</v>
      </c>
    </row>
    <row r="16" spans="1:25" x14ac:dyDescent="0.25">
      <c r="A16" s="12">
        <v>15</v>
      </c>
      <c r="B16" s="12">
        <f>VLOOKUP('Tabelle 1'!B23,'Degree of Symptoms'!$J$9:$K$13,2)</f>
        <v>5</v>
      </c>
      <c r="C16" s="12">
        <f>VLOOKUP('Tabelle 1'!C23,'Degree of Symptoms'!$J$13:$K$22,2)</f>
        <v>5</v>
      </c>
      <c r="D16" s="12">
        <f>VLOOKUP('Tabelle 1'!D23,'Degree of Symptoms'!$J$26:$K$30,2)</f>
        <v>5</v>
      </c>
      <c r="E16" s="18">
        <f t="shared" si="0"/>
        <v>5</v>
      </c>
      <c r="R16" s="1" t="s">
        <v>2</v>
      </c>
      <c r="S16" s="1" t="s">
        <v>58</v>
      </c>
      <c r="T16" s="1" t="s">
        <v>59</v>
      </c>
      <c r="W16" s="1">
        <v>1</v>
      </c>
      <c r="X16" s="1">
        <v>2</v>
      </c>
      <c r="Y16" s="1">
        <v>1</v>
      </c>
    </row>
    <row r="17" spans="1:25" x14ac:dyDescent="0.25">
      <c r="A17" s="12"/>
      <c r="B17" s="12"/>
      <c r="C17" s="12"/>
      <c r="D17" s="12"/>
      <c r="E17" s="18"/>
      <c r="F17" s="2" t="s">
        <v>13</v>
      </c>
      <c r="R17" s="1">
        <v>30</v>
      </c>
      <c r="S17" s="1">
        <v>3</v>
      </c>
      <c r="T17" s="1">
        <v>10</v>
      </c>
      <c r="W17" s="1">
        <v>1</v>
      </c>
      <c r="X17" s="1">
        <v>2</v>
      </c>
      <c r="Y17" s="1">
        <v>1</v>
      </c>
    </row>
    <row r="18" spans="1:25" x14ac:dyDescent="0.25">
      <c r="A18" s="20" t="s">
        <v>51</v>
      </c>
      <c r="B18" s="12">
        <f>AVERAGE(B2:B16)</f>
        <v>5</v>
      </c>
      <c r="C18" s="12">
        <f>AVERAGE(C2:C16)</f>
        <v>5</v>
      </c>
      <c r="D18" s="12">
        <f>AVERAGE(D2:D16)</f>
        <v>5</v>
      </c>
      <c r="E18" s="18">
        <f>AVERAGE(E2:E16)</f>
        <v>5</v>
      </c>
      <c r="F18" s="2">
        <f>'Tabelle 1'!G25</f>
        <v>15</v>
      </c>
      <c r="L18"/>
      <c r="M18"/>
      <c r="N18"/>
      <c r="O18"/>
      <c r="R18" s="1">
        <v>0</v>
      </c>
      <c r="S18" s="1">
        <v>3</v>
      </c>
      <c r="T18" s="1">
        <v>25</v>
      </c>
      <c r="W18" s="1">
        <v>1</v>
      </c>
      <c r="X18" s="1">
        <v>2</v>
      </c>
      <c r="Y18" s="1">
        <v>1</v>
      </c>
    </row>
    <row r="19" spans="1:25" x14ac:dyDescent="0.25">
      <c r="A19" s="20" t="s">
        <v>52</v>
      </c>
      <c r="B19" s="12">
        <f>STDEV(B2:B16)</f>
        <v>0</v>
      </c>
      <c r="C19" s="12">
        <f>STDEV(C2:C16)</f>
        <v>0</v>
      </c>
      <c r="D19" s="12">
        <f>STDEV(D2:D16)</f>
        <v>0</v>
      </c>
      <c r="E19" s="18">
        <f>STDEV(E2:E16)</f>
        <v>0</v>
      </c>
      <c r="L19"/>
      <c r="M19"/>
      <c r="N19"/>
      <c r="O19"/>
      <c r="R19" s="1">
        <v>0</v>
      </c>
      <c r="S19" s="1">
        <v>18</v>
      </c>
      <c r="T19" s="1">
        <v>18</v>
      </c>
      <c r="W19" s="1">
        <v>1</v>
      </c>
      <c r="X19" s="1">
        <v>2</v>
      </c>
      <c r="Y19" s="1">
        <v>1</v>
      </c>
    </row>
    <row r="20" spans="1:25" x14ac:dyDescent="0.25">
      <c r="L20"/>
      <c r="M20"/>
      <c r="N20"/>
      <c r="O20"/>
      <c r="R20" s="1">
        <v>0</v>
      </c>
      <c r="S20" s="1">
        <v>6</v>
      </c>
      <c r="T20" s="1">
        <v>7</v>
      </c>
      <c r="W20" s="1">
        <v>1</v>
      </c>
      <c r="X20" s="1">
        <v>2</v>
      </c>
      <c r="Y20" s="1">
        <v>1</v>
      </c>
    </row>
    <row r="21" spans="1:25" x14ac:dyDescent="0.25">
      <c r="L21"/>
      <c r="M21"/>
      <c r="N21"/>
      <c r="O21"/>
      <c r="R21" s="1">
        <v>0</v>
      </c>
      <c r="S21" s="1">
        <v>0</v>
      </c>
      <c r="T21" s="1">
        <v>0</v>
      </c>
      <c r="W21" s="1">
        <v>1</v>
      </c>
      <c r="X21" s="1">
        <v>2</v>
      </c>
      <c r="Y21" s="1">
        <v>1</v>
      </c>
    </row>
    <row r="22" spans="1:25" x14ac:dyDescent="0.25">
      <c r="A22" s="20" t="str">
        <f>'Tabelle 1'!A28</f>
        <v>WT JR2</v>
      </c>
      <c r="B22" s="20" t="s">
        <v>39</v>
      </c>
      <c r="C22" s="20" t="s">
        <v>40</v>
      </c>
      <c r="D22" s="20" t="s">
        <v>41</v>
      </c>
      <c r="E22" s="20" t="s">
        <v>42</v>
      </c>
      <c r="H22" s="34" t="s">
        <v>43</v>
      </c>
      <c r="L22"/>
      <c r="M22"/>
      <c r="N22"/>
      <c r="O22"/>
      <c r="W22" s="1">
        <v>1</v>
      </c>
      <c r="X22" s="1">
        <v>2</v>
      </c>
      <c r="Y22" s="1">
        <v>1</v>
      </c>
    </row>
    <row r="23" spans="1:25" x14ac:dyDescent="0.25">
      <c r="A23" s="12">
        <v>1</v>
      </c>
      <c r="B23" s="12">
        <f>VLOOKUP('Tabelle 1'!B30,'Degree of Symptoms'!$J$9:$K$13,2)</f>
        <v>5</v>
      </c>
      <c r="C23" s="12">
        <f>VLOOKUP('Tabelle 1'!C30,'Degree of Symptoms'!$J$13:$K$22,2)</f>
        <v>5</v>
      </c>
      <c r="D23" s="12">
        <f>VLOOKUP('Tabelle 1'!D30,'Degree of Symptoms'!$J$26:$K$30,2)</f>
        <v>5</v>
      </c>
      <c r="E23" s="18">
        <f t="shared" ref="E23:E37" si="2">AVERAGE(B23:D23)</f>
        <v>5</v>
      </c>
      <c r="G23" s="35" t="s">
        <v>44</v>
      </c>
      <c r="H23" s="1">
        <f>COUNTIFS($E$23:$E$37,"&lt;1,99",$E$23:$E$37,"&gt;=1")</f>
        <v>0</v>
      </c>
      <c r="L23"/>
      <c r="M23"/>
      <c r="N23"/>
      <c r="O23"/>
      <c r="W23" s="1">
        <v>1</v>
      </c>
      <c r="X23" s="1">
        <v>2</v>
      </c>
      <c r="Y23" s="1">
        <v>1</v>
      </c>
    </row>
    <row r="24" spans="1:25" x14ac:dyDescent="0.25">
      <c r="A24" s="12">
        <v>2</v>
      </c>
      <c r="B24" s="12">
        <f>VLOOKUP('Tabelle 1'!B31,'Degree of Symptoms'!$J$9:$K$13,2)</f>
        <v>5</v>
      </c>
      <c r="C24" s="12">
        <f>VLOOKUP('Tabelle 1'!C31,'Degree of Symptoms'!$J$13:$K$22,2)</f>
        <v>5</v>
      </c>
      <c r="D24" s="12">
        <f>VLOOKUP('Tabelle 1'!D31,'Degree of Symptoms'!$J$26:$K$30,2)</f>
        <v>5</v>
      </c>
      <c r="E24" s="18">
        <f t="shared" si="2"/>
        <v>5</v>
      </c>
      <c r="G24" s="35" t="s">
        <v>45</v>
      </c>
      <c r="H24" s="1">
        <f>COUNTIFS($E$23:$E$37,"&lt;2,99",$E$23:$E$37,"&gt;=2")</f>
        <v>0</v>
      </c>
      <c r="L24"/>
      <c r="M24"/>
      <c r="N24"/>
      <c r="O24"/>
      <c r="W24" s="1">
        <v>1</v>
      </c>
      <c r="X24" s="1">
        <v>2</v>
      </c>
      <c r="Y24" s="1">
        <v>1</v>
      </c>
    </row>
    <row r="25" spans="1:25" x14ac:dyDescent="0.25">
      <c r="A25" s="12">
        <v>3</v>
      </c>
      <c r="B25" s="12">
        <f>VLOOKUP('Tabelle 1'!B32,'Degree of Symptoms'!$J$9:$K$13,2)</f>
        <v>5</v>
      </c>
      <c r="C25" s="12">
        <f>VLOOKUP('Tabelle 1'!C32,'Degree of Symptoms'!$J$13:$K$22,2)</f>
        <v>5</v>
      </c>
      <c r="D25" s="12">
        <f>VLOOKUP('Tabelle 1'!D32,'Degree of Symptoms'!$J$26:$K$30,2)</f>
        <v>5</v>
      </c>
      <c r="E25" s="18">
        <f t="shared" si="2"/>
        <v>5</v>
      </c>
      <c r="G25" s="35" t="s">
        <v>47</v>
      </c>
      <c r="H25" s="1">
        <f>COUNTIFS($E$23:$E$37,"&lt;3,99",$E$23:$E$37,"&gt;=3")</f>
        <v>0</v>
      </c>
      <c r="L25"/>
      <c r="M25"/>
      <c r="N25"/>
      <c r="O25"/>
      <c r="W25" s="1">
        <v>1</v>
      </c>
      <c r="X25" s="1">
        <v>2</v>
      </c>
      <c r="Y25" s="1">
        <v>1</v>
      </c>
    </row>
    <row r="26" spans="1:25" x14ac:dyDescent="0.25">
      <c r="A26" s="12">
        <v>4</v>
      </c>
      <c r="B26" s="12">
        <f>VLOOKUP('Tabelle 1'!B33,'Degree of Symptoms'!$J$9:$K$13,2)</f>
        <v>5</v>
      </c>
      <c r="C26" s="12">
        <f>VLOOKUP('Tabelle 1'!C33,'Degree of Symptoms'!$J$13:$K$22,2)</f>
        <v>5</v>
      </c>
      <c r="D26" s="12">
        <f>VLOOKUP('Tabelle 1'!D33,'Degree of Symptoms'!$J$26:$K$30,2)</f>
        <v>5</v>
      </c>
      <c r="E26" s="18">
        <f t="shared" si="2"/>
        <v>5</v>
      </c>
      <c r="G26" s="35" t="s">
        <v>49</v>
      </c>
      <c r="H26" s="1">
        <f>COUNTIFS($E$23:$E$37,"&lt;4,99",$E$23:$E$37,"&gt;=4")</f>
        <v>0</v>
      </c>
      <c r="W26" s="1">
        <v>1</v>
      </c>
      <c r="X26" s="1">
        <v>2</v>
      </c>
      <c r="Y26" s="1">
        <v>1</v>
      </c>
    </row>
    <row r="27" spans="1:25" x14ac:dyDescent="0.25">
      <c r="A27" s="12">
        <v>5</v>
      </c>
      <c r="B27" s="12">
        <f>VLOOKUP('Tabelle 1'!B34,'Degree of Symptoms'!$J$9:$K$13,2)</f>
        <v>5</v>
      </c>
      <c r="C27" s="12">
        <f>VLOOKUP('Tabelle 1'!C34,'Degree of Symptoms'!$J$13:$K$22,2)</f>
        <v>5</v>
      </c>
      <c r="D27" s="12">
        <f>VLOOKUP('Tabelle 1'!D34,'Degree of Symptoms'!$J$26:$K$30,2)</f>
        <v>5</v>
      </c>
      <c r="E27" s="18">
        <f t="shared" si="2"/>
        <v>5</v>
      </c>
      <c r="G27" s="35">
        <v>5</v>
      </c>
      <c r="H27" s="1">
        <f>COUNTIF($E$23:$E$37,"&gt;=5")</f>
        <v>15</v>
      </c>
      <c r="W27" s="1">
        <v>1</v>
      </c>
      <c r="X27" s="1">
        <v>2</v>
      </c>
      <c r="Y27" s="1">
        <v>1</v>
      </c>
    </row>
    <row r="28" spans="1:25" x14ac:dyDescent="0.25">
      <c r="A28" s="12">
        <v>6</v>
      </c>
      <c r="B28" s="12">
        <f>VLOOKUP('Tabelle 1'!B35,'Degree of Symptoms'!$J$9:$K$13,2)</f>
        <v>5</v>
      </c>
      <c r="C28" s="12">
        <f>VLOOKUP('Tabelle 1'!C35,'Degree of Symptoms'!$J$13:$K$22,2)</f>
        <v>5</v>
      </c>
      <c r="D28" s="12">
        <f>VLOOKUP('Tabelle 1'!D35,'Degree of Symptoms'!$J$26:$K$30,2)</f>
        <v>5</v>
      </c>
      <c r="E28" s="18">
        <f t="shared" si="2"/>
        <v>5</v>
      </c>
      <c r="H28" s="1">
        <f>SUM(H23:H27)</f>
        <v>15</v>
      </c>
      <c r="W28" s="1">
        <v>1</v>
      </c>
      <c r="X28" s="1">
        <v>2</v>
      </c>
      <c r="Y28" s="1">
        <v>1</v>
      </c>
    </row>
    <row r="29" spans="1:25" x14ac:dyDescent="0.25">
      <c r="A29" s="12">
        <v>7</v>
      </c>
      <c r="B29" s="12">
        <f>VLOOKUP('Tabelle 1'!B36,'Degree of Symptoms'!$J$9:$K$13,2)</f>
        <v>5</v>
      </c>
      <c r="C29" s="12">
        <f>VLOOKUP('Tabelle 1'!C36,'Degree of Symptoms'!$J$13:$K$22,2)</f>
        <v>5</v>
      </c>
      <c r="D29" s="12">
        <f>VLOOKUP('Tabelle 1'!D36,'Degree of Symptoms'!$J$26:$K$30,2)</f>
        <v>5</v>
      </c>
      <c r="E29" s="18">
        <f t="shared" si="2"/>
        <v>5</v>
      </c>
      <c r="W29" s="1">
        <v>1</v>
      </c>
      <c r="X29" s="1">
        <v>2</v>
      </c>
      <c r="Y29" s="1">
        <v>1</v>
      </c>
    </row>
    <row r="30" spans="1:25" x14ac:dyDescent="0.25">
      <c r="A30" s="12">
        <v>8</v>
      </c>
      <c r="B30" s="12">
        <f>VLOOKUP('Tabelle 1'!B37,'Degree of Symptoms'!$J$9:$K$13,2)</f>
        <v>5</v>
      </c>
      <c r="C30" s="12">
        <f>VLOOKUP('Tabelle 1'!C37,'Degree of Symptoms'!$J$13:$K$22,2)</f>
        <v>5</v>
      </c>
      <c r="D30" s="12">
        <f>VLOOKUP('Tabelle 1'!D37,'Degree of Symptoms'!$J$26:$K$30,2)</f>
        <v>5</v>
      </c>
      <c r="E30" s="18">
        <f t="shared" si="2"/>
        <v>5</v>
      </c>
      <c r="F30" s="1" t="s">
        <v>53</v>
      </c>
      <c r="W30" s="1">
        <v>1</v>
      </c>
      <c r="X30" s="1">
        <v>2</v>
      </c>
      <c r="Y30" s="1">
        <v>1</v>
      </c>
    </row>
    <row r="31" spans="1:25" x14ac:dyDescent="0.25">
      <c r="A31" s="12">
        <v>9</v>
      </c>
      <c r="B31" s="12">
        <f>VLOOKUP('Tabelle 1'!B38,'Degree of Symptoms'!$J$9:$K$13,2)</f>
        <v>5</v>
      </c>
      <c r="C31" s="12">
        <f>VLOOKUP('Tabelle 1'!C38,'Degree of Symptoms'!$J$13:$K$22,2)</f>
        <v>5</v>
      </c>
      <c r="D31" s="12">
        <f>VLOOKUP('Tabelle 1'!D38,'Degree of Symptoms'!$J$26:$K$30,2)</f>
        <v>5</v>
      </c>
      <c r="E31" s="18">
        <f t="shared" si="2"/>
        <v>5</v>
      </c>
      <c r="G31" s="34"/>
      <c r="H31" s="34"/>
      <c r="I31" s="34"/>
      <c r="W31" s="1">
        <v>1</v>
      </c>
      <c r="X31" s="1">
        <v>2</v>
      </c>
      <c r="Y31" s="1">
        <v>2</v>
      </c>
    </row>
    <row r="32" spans="1:25" x14ac:dyDescent="0.25">
      <c r="A32" s="12">
        <v>10</v>
      </c>
      <c r="B32" s="12">
        <f>VLOOKUP('Tabelle 1'!B39,'Degree of Symptoms'!$J$9:$K$13,2)</f>
        <v>5</v>
      </c>
      <c r="C32" s="12">
        <f>VLOOKUP('Tabelle 1'!C39,'Degree of Symptoms'!$J$13:$K$22,2)</f>
        <v>5</v>
      </c>
      <c r="D32" s="12">
        <f>VLOOKUP('Tabelle 1'!D39,'Degree of Symptoms'!$J$26:$K$30,2)</f>
        <v>5</v>
      </c>
      <c r="E32" s="18">
        <f t="shared" si="2"/>
        <v>5</v>
      </c>
      <c r="G32" s="34"/>
      <c r="H32" s="2"/>
      <c r="I32" s="2"/>
      <c r="W32" s="1">
        <v>1</v>
      </c>
      <c r="X32" s="1">
        <v>2</v>
      </c>
      <c r="Y32" s="1">
        <v>2</v>
      </c>
    </row>
    <row r="33" spans="1:25" x14ac:dyDescent="0.25">
      <c r="A33" s="12">
        <v>11</v>
      </c>
      <c r="B33" s="12">
        <f>VLOOKUP('Tabelle 1'!B40,'Degree of Symptoms'!$J$9:$K$13,2)</f>
        <v>5</v>
      </c>
      <c r="C33" s="12">
        <f>VLOOKUP('Tabelle 1'!C40,'Degree of Symptoms'!$J$13:$K$22,2)</f>
        <v>5</v>
      </c>
      <c r="D33" s="12">
        <f>VLOOKUP('Tabelle 1'!D40,'Degree of Symptoms'!$J$26:$K$30,2)</f>
        <v>5</v>
      </c>
      <c r="E33" s="18">
        <f t="shared" si="2"/>
        <v>5</v>
      </c>
      <c r="G33" s="34"/>
      <c r="H33" s="2"/>
      <c r="I33" s="2"/>
      <c r="W33" s="1">
        <v>1</v>
      </c>
      <c r="X33" s="1">
        <v>2</v>
      </c>
      <c r="Y33" s="1">
        <v>2</v>
      </c>
    </row>
    <row r="34" spans="1:25" x14ac:dyDescent="0.25">
      <c r="A34" s="12">
        <v>12</v>
      </c>
      <c r="B34" s="12">
        <f>VLOOKUP('Tabelle 1'!B41,'Degree of Symptoms'!$J$9:$K$13,2)</f>
        <v>5</v>
      </c>
      <c r="C34" s="12">
        <f>VLOOKUP('Tabelle 1'!C41,'Degree of Symptoms'!$J$13:$K$22,2)</f>
        <v>5</v>
      </c>
      <c r="D34" s="12">
        <f>VLOOKUP('Tabelle 1'!D41,'Degree of Symptoms'!$J$26:$K$30,2)</f>
        <v>5</v>
      </c>
      <c r="E34" s="18">
        <f t="shared" si="2"/>
        <v>5</v>
      </c>
      <c r="G34" s="34"/>
      <c r="H34" s="2"/>
      <c r="I34" s="2"/>
      <c r="W34" s="1">
        <v>1</v>
      </c>
      <c r="X34" s="1">
        <v>2</v>
      </c>
      <c r="Y34" s="1">
        <v>2</v>
      </c>
    </row>
    <row r="35" spans="1:25" x14ac:dyDescent="0.25">
      <c r="A35" s="12">
        <v>13</v>
      </c>
      <c r="B35" s="12">
        <f>VLOOKUP('Tabelle 1'!B42,'Degree of Symptoms'!$J$9:$K$13,2)</f>
        <v>5</v>
      </c>
      <c r="C35" s="12">
        <f>VLOOKUP('Tabelle 1'!C42,'Degree of Symptoms'!$J$13:$K$22,2)</f>
        <v>5</v>
      </c>
      <c r="D35" s="12">
        <f>VLOOKUP('Tabelle 1'!D42,'Degree of Symptoms'!$J$26:$K$30,2)</f>
        <v>5</v>
      </c>
      <c r="E35" s="18">
        <f t="shared" si="2"/>
        <v>5</v>
      </c>
      <c r="G35" s="34"/>
      <c r="H35" s="2"/>
      <c r="I35" s="2"/>
      <c r="W35" s="1">
        <v>1</v>
      </c>
      <c r="X35" s="1">
        <v>2</v>
      </c>
      <c r="Y35" s="1">
        <v>2</v>
      </c>
    </row>
    <row r="36" spans="1:25" x14ac:dyDescent="0.25">
      <c r="A36" s="12">
        <v>14</v>
      </c>
      <c r="B36" s="12">
        <f>VLOOKUP('Tabelle 1'!B43,'Degree of Symptoms'!$J$9:$K$13,2)</f>
        <v>5</v>
      </c>
      <c r="C36" s="12">
        <f>VLOOKUP('Tabelle 1'!C43,'Degree of Symptoms'!$J$13:$K$22,2)</f>
        <v>5</v>
      </c>
      <c r="D36" s="12">
        <f>VLOOKUP('Tabelle 1'!D43,'Degree of Symptoms'!$J$26:$K$30,2)</f>
        <v>5</v>
      </c>
      <c r="E36" s="18">
        <f t="shared" si="2"/>
        <v>5</v>
      </c>
      <c r="G36" s="34"/>
      <c r="H36" s="2"/>
      <c r="I36" s="2"/>
      <c r="W36" s="1">
        <v>1</v>
      </c>
      <c r="X36" s="1">
        <v>2</v>
      </c>
      <c r="Y36" s="1">
        <v>2</v>
      </c>
    </row>
    <row r="37" spans="1:25" x14ac:dyDescent="0.25">
      <c r="A37" s="12">
        <v>15</v>
      </c>
      <c r="B37" s="12">
        <f>VLOOKUP('Tabelle 1'!B44,'Degree of Symptoms'!$J$9:$K$13,2)</f>
        <v>5</v>
      </c>
      <c r="C37" s="12">
        <f>VLOOKUP('Tabelle 1'!C44,'Degree of Symptoms'!$J$13:$K$22,2)</f>
        <v>5</v>
      </c>
      <c r="D37" s="12">
        <f>VLOOKUP('Tabelle 1'!D44,'Degree of Symptoms'!$J$26:$K$30,2)</f>
        <v>5</v>
      </c>
      <c r="E37" s="18">
        <f t="shared" si="2"/>
        <v>5</v>
      </c>
      <c r="W37" s="1">
        <v>1</v>
      </c>
      <c r="X37" s="1">
        <v>2</v>
      </c>
      <c r="Y37" s="1">
        <v>2</v>
      </c>
    </row>
    <row r="38" spans="1:25" x14ac:dyDescent="0.25">
      <c r="A38" s="12"/>
      <c r="B38" s="12"/>
      <c r="C38" s="12"/>
      <c r="D38" s="12"/>
      <c r="E38" s="18"/>
      <c r="F38" s="2" t="s">
        <v>13</v>
      </c>
      <c r="W38" s="1">
        <v>1</v>
      </c>
      <c r="X38" s="1">
        <v>2</v>
      </c>
      <c r="Y38" s="1">
        <v>2</v>
      </c>
    </row>
    <row r="39" spans="1:25" x14ac:dyDescent="0.25">
      <c r="A39" s="20" t="s">
        <v>51</v>
      </c>
      <c r="B39" s="12">
        <f>AVERAGE(B23:B37)</f>
        <v>5</v>
      </c>
      <c r="C39" s="12">
        <f>AVERAGE(C23:C37)</f>
        <v>5</v>
      </c>
      <c r="D39" s="12">
        <f>AVERAGE(D23:D37)</f>
        <v>5</v>
      </c>
      <c r="E39" s="18">
        <f>AVERAGE(E23:E37)</f>
        <v>5</v>
      </c>
      <c r="F39" s="2">
        <f>'Tabelle 1'!G46</f>
        <v>15</v>
      </c>
      <c r="W39" s="1">
        <v>1</v>
      </c>
      <c r="X39" s="1">
        <v>2</v>
      </c>
      <c r="Y39" s="1">
        <v>2</v>
      </c>
    </row>
    <row r="40" spans="1:25" x14ac:dyDescent="0.25">
      <c r="A40" s="20" t="s">
        <v>52</v>
      </c>
      <c r="B40" s="12">
        <f>STDEV(B23:B37)</f>
        <v>0</v>
      </c>
      <c r="C40" s="12">
        <f>STDEV(C23:C37)</f>
        <v>0</v>
      </c>
      <c r="D40" s="12">
        <f>STDEV(D23:D37)</f>
        <v>0</v>
      </c>
      <c r="E40" s="18">
        <f>STDEV(E23:E37)</f>
        <v>0</v>
      </c>
      <c r="W40" s="1">
        <v>1</v>
      </c>
      <c r="X40" s="1">
        <v>2</v>
      </c>
      <c r="Y40" s="1">
        <v>2</v>
      </c>
    </row>
    <row r="41" spans="1:25" x14ac:dyDescent="0.25">
      <c r="W41" s="1">
        <v>1</v>
      </c>
      <c r="X41" s="1">
        <v>2</v>
      </c>
      <c r="Y41" s="1">
        <v>2</v>
      </c>
    </row>
    <row r="42" spans="1:25" x14ac:dyDescent="0.25">
      <c r="W42" s="1">
        <v>1</v>
      </c>
      <c r="X42" s="1">
        <v>2</v>
      </c>
      <c r="Y42" s="1">
        <v>2</v>
      </c>
    </row>
    <row r="43" spans="1:25" x14ac:dyDescent="0.25">
      <c r="A43" s="9">
        <f>'Tabelle 1'!A51</f>
        <v>3</v>
      </c>
      <c r="B43" s="20" t="s">
        <v>39</v>
      </c>
      <c r="C43" s="20" t="s">
        <v>40</v>
      </c>
      <c r="D43" s="20" t="s">
        <v>41</v>
      </c>
      <c r="E43" s="20" t="s">
        <v>42</v>
      </c>
      <c r="H43" s="34" t="s">
        <v>43</v>
      </c>
      <c r="W43" s="1">
        <v>1</v>
      </c>
      <c r="X43" s="1">
        <v>2</v>
      </c>
      <c r="Y43" s="1">
        <v>2</v>
      </c>
    </row>
    <row r="44" spans="1:25" x14ac:dyDescent="0.25">
      <c r="A44" s="12">
        <v>1</v>
      </c>
      <c r="B44" s="12">
        <f>VLOOKUP('Tabelle 1'!B53,'Degree of Symptoms'!$J$9:$K$13,2)</f>
        <v>5</v>
      </c>
      <c r="C44" s="12">
        <f>VLOOKUP('Tabelle 1'!C53,'Degree of Symptoms'!$J$13:$K$22,2)</f>
        <v>5</v>
      </c>
      <c r="D44" s="12">
        <f>VLOOKUP('Tabelle 1'!D53,'Degree of Symptoms'!$J$26:$K$30,2)</f>
        <v>5</v>
      </c>
      <c r="E44" s="18">
        <f t="shared" ref="E44:E58" si="3">AVERAGE(B44:D44)</f>
        <v>5</v>
      </c>
      <c r="G44" s="35" t="s">
        <v>44</v>
      </c>
      <c r="H44" s="1">
        <f>COUNTIFS($E$44:$E$58,"&lt;1,99",$E$44:$E$58,"&gt;=1")</f>
        <v>0</v>
      </c>
      <c r="W44" s="1">
        <v>1</v>
      </c>
      <c r="X44" s="1">
        <v>2</v>
      </c>
      <c r="Y44" s="1">
        <v>2</v>
      </c>
    </row>
    <row r="45" spans="1:25" x14ac:dyDescent="0.25">
      <c r="A45" s="12">
        <v>2</v>
      </c>
      <c r="B45" s="12">
        <f>VLOOKUP('Tabelle 1'!B54,'Degree of Symptoms'!$J$9:$K$13,2)</f>
        <v>5</v>
      </c>
      <c r="C45" s="12">
        <f>VLOOKUP('Tabelle 1'!C54,'Degree of Symptoms'!$J$13:$K$22,2)</f>
        <v>5</v>
      </c>
      <c r="D45" s="12">
        <f>VLOOKUP('Tabelle 1'!D54,'Degree of Symptoms'!$J$26:$K$30,2)</f>
        <v>5</v>
      </c>
      <c r="E45" s="18">
        <f t="shared" si="3"/>
        <v>5</v>
      </c>
      <c r="G45" s="35" t="s">
        <v>45</v>
      </c>
      <c r="H45" s="1">
        <f>COUNTIFS($E$44:$E$58,"&lt;2,99",$E$44:$E$58,"&gt;=2")</f>
        <v>0</v>
      </c>
      <c r="W45" s="1">
        <v>1</v>
      </c>
      <c r="X45" s="1">
        <v>2</v>
      </c>
      <c r="Y45" s="1">
        <v>2</v>
      </c>
    </row>
    <row r="46" spans="1:25" x14ac:dyDescent="0.25">
      <c r="A46" s="12">
        <v>3</v>
      </c>
      <c r="B46" s="12">
        <f>VLOOKUP('Tabelle 1'!B55,'Degree of Symptoms'!$J$9:$K$13,2)</f>
        <v>5</v>
      </c>
      <c r="C46" s="12">
        <f>VLOOKUP('Tabelle 1'!C55,'Degree of Symptoms'!$J$13:$K$22,2)</f>
        <v>5</v>
      </c>
      <c r="D46" s="12">
        <f>VLOOKUP('Tabelle 1'!D55,'Degree of Symptoms'!$J$26:$K$30,2)</f>
        <v>5</v>
      </c>
      <c r="E46" s="18">
        <f t="shared" si="3"/>
        <v>5</v>
      </c>
      <c r="G46" s="35" t="s">
        <v>47</v>
      </c>
      <c r="H46" s="1">
        <f>COUNTIFS($E$44:$E$58,"&lt;3,99",$E$44:$E$58,"&gt;=3")</f>
        <v>0</v>
      </c>
      <c r="W46" s="1">
        <v>1</v>
      </c>
      <c r="X46" s="1">
        <v>2</v>
      </c>
      <c r="Y46" s="1">
        <v>2</v>
      </c>
    </row>
    <row r="47" spans="1:25" x14ac:dyDescent="0.25">
      <c r="A47" s="12">
        <v>4</v>
      </c>
      <c r="B47" s="12">
        <f>VLOOKUP('Tabelle 1'!B56,'Degree of Symptoms'!$J$9:$K$13,2)</f>
        <v>5</v>
      </c>
      <c r="C47" s="12">
        <f>VLOOKUP('Tabelle 1'!C56,'Degree of Symptoms'!$J$13:$K$22,2)</f>
        <v>5</v>
      </c>
      <c r="D47" s="12">
        <f>VLOOKUP('Tabelle 1'!D56,'Degree of Symptoms'!$J$26:$K$30,2)</f>
        <v>5</v>
      </c>
      <c r="E47" s="18">
        <f t="shared" si="3"/>
        <v>5</v>
      </c>
      <c r="G47" s="35" t="s">
        <v>49</v>
      </c>
      <c r="H47" s="1">
        <f>COUNTIFS($E$44:$E$58,"&lt;4,99",$E$44:$E$58,"&gt;=4")</f>
        <v>0</v>
      </c>
      <c r="W47" s="1">
        <v>1</v>
      </c>
      <c r="X47" s="1">
        <v>2</v>
      </c>
      <c r="Y47" s="1">
        <v>2</v>
      </c>
    </row>
    <row r="48" spans="1:25" x14ac:dyDescent="0.25">
      <c r="A48" s="12">
        <v>5</v>
      </c>
      <c r="B48" s="12">
        <f>VLOOKUP('Tabelle 1'!B57,'Degree of Symptoms'!$J$9:$K$13,2)</f>
        <v>5</v>
      </c>
      <c r="C48" s="12">
        <f>VLOOKUP('Tabelle 1'!C57,'Degree of Symptoms'!$J$13:$K$22,2)</f>
        <v>5</v>
      </c>
      <c r="D48" s="12">
        <f>VLOOKUP('Tabelle 1'!D57,'Degree of Symptoms'!$J$26:$K$30,2)</f>
        <v>5</v>
      </c>
      <c r="E48" s="18">
        <f t="shared" si="3"/>
        <v>5</v>
      </c>
      <c r="G48" s="35">
        <v>5</v>
      </c>
      <c r="H48" s="1">
        <f>COUNTIF($E$44:$E$58,"&gt;=5")</f>
        <v>15</v>
      </c>
      <c r="W48" s="1">
        <v>1</v>
      </c>
      <c r="X48" s="1">
        <v>2</v>
      </c>
      <c r="Y48" s="1">
        <v>2</v>
      </c>
    </row>
    <row r="49" spans="1:25" x14ac:dyDescent="0.25">
      <c r="A49" s="12">
        <v>6</v>
      </c>
      <c r="B49" s="12">
        <f>VLOOKUP('Tabelle 1'!B58,'Degree of Symptoms'!$J$9:$K$13,2)</f>
        <v>5</v>
      </c>
      <c r="C49" s="12">
        <f>VLOOKUP('Tabelle 1'!C58,'Degree of Symptoms'!$J$13:$K$22,2)</f>
        <v>5</v>
      </c>
      <c r="D49" s="12">
        <f>VLOOKUP('Tabelle 1'!D58,'Degree of Symptoms'!$J$26:$K$30,2)</f>
        <v>5</v>
      </c>
      <c r="E49" s="18">
        <f t="shared" si="3"/>
        <v>5</v>
      </c>
      <c r="H49" s="1">
        <f>SUM(H44:H48)</f>
        <v>15</v>
      </c>
      <c r="W49" s="1">
        <v>1</v>
      </c>
      <c r="X49" s="1">
        <v>2</v>
      </c>
      <c r="Y49" s="1">
        <v>2</v>
      </c>
    </row>
    <row r="50" spans="1:25" x14ac:dyDescent="0.25">
      <c r="A50" s="12">
        <v>7</v>
      </c>
      <c r="B50" s="12">
        <f>VLOOKUP('Tabelle 1'!B59,'Degree of Symptoms'!$J$9:$K$13,2)</f>
        <v>5</v>
      </c>
      <c r="C50" s="12">
        <f>VLOOKUP('Tabelle 1'!C59,'Degree of Symptoms'!$J$13:$K$22,2)</f>
        <v>5</v>
      </c>
      <c r="D50" s="12">
        <f>VLOOKUP('Tabelle 1'!D59,'Degree of Symptoms'!$J$26:$K$30,2)</f>
        <v>5</v>
      </c>
      <c r="E50" s="18">
        <f t="shared" si="3"/>
        <v>5</v>
      </c>
      <c r="W50" s="1">
        <v>1</v>
      </c>
      <c r="X50" s="1">
        <v>2</v>
      </c>
      <c r="Y50" s="1">
        <v>2</v>
      </c>
    </row>
    <row r="51" spans="1:25" x14ac:dyDescent="0.25">
      <c r="A51" s="12">
        <v>8</v>
      </c>
      <c r="B51" s="12">
        <f>VLOOKUP('Tabelle 1'!B60,'Degree of Symptoms'!$J$9:$K$13,2)</f>
        <v>5</v>
      </c>
      <c r="C51" s="12">
        <f>VLOOKUP('Tabelle 1'!C60,'Degree of Symptoms'!$J$13:$K$22,2)</f>
        <v>5</v>
      </c>
      <c r="D51" s="12">
        <f>VLOOKUP('Tabelle 1'!D60,'Degree of Symptoms'!$J$26:$K$30,2)</f>
        <v>5</v>
      </c>
      <c r="E51" s="18">
        <f t="shared" si="3"/>
        <v>5</v>
      </c>
      <c r="W51" s="1">
        <v>1</v>
      </c>
      <c r="X51" s="1">
        <v>2</v>
      </c>
      <c r="Y51" s="1">
        <v>2</v>
      </c>
    </row>
    <row r="52" spans="1:25" x14ac:dyDescent="0.25">
      <c r="A52" s="12">
        <v>9</v>
      </c>
      <c r="B52" s="12">
        <f>VLOOKUP('Tabelle 1'!B61,'Degree of Symptoms'!$J$9:$K$13,2)</f>
        <v>5</v>
      </c>
      <c r="C52" s="12">
        <f>VLOOKUP('Tabelle 1'!C61,'Degree of Symptoms'!$J$13:$K$22,2)</f>
        <v>5</v>
      </c>
      <c r="D52" s="12">
        <f>VLOOKUP('Tabelle 1'!D61,'Degree of Symptoms'!$J$26:$K$30,2)</f>
        <v>5</v>
      </c>
      <c r="E52" s="18">
        <f t="shared" si="3"/>
        <v>5</v>
      </c>
      <c r="G52" s="34"/>
      <c r="H52" s="34"/>
      <c r="I52" s="34"/>
      <c r="W52" s="1">
        <v>1</v>
      </c>
      <c r="X52" s="1">
        <v>3</v>
      </c>
      <c r="Y52" s="1">
        <v>2</v>
      </c>
    </row>
    <row r="53" spans="1:25" x14ac:dyDescent="0.25">
      <c r="A53" s="12">
        <v>10</v>
      </c>
      <c r="B53" s="12">
        <f>VLOOKUP('Tabelle 1'!B62,'Degree of Symptoms'!$J$9:$K$13,2)</f>
        <v>5</v>
      </c>
      <c r="C53" s="12">
        <f>VLOOKUP('Tabelle 1'!C62,'Degree of Symptoms'!$J$13:$K$22,2)</f>
        <v>5</v>
      </c>
      <c r="D53" s="12">
        <f>VLOOKUP('Tabelle 1'!D62,'Degree of Symptoms'!$J$26:$K$30,2)</f>
        <v>5</v>
      </c>
      <c r="E53" s="18">
        <f t="shared" si="3"/>
        <v>5</v>
      </c>
      <c r="G53" s="34"/>
      <c r="H53" s="2"/>
      <c r="I53" s="2"/>
      <c r="W53" s="1">
        <v>1</v>
      </c>
      <c r="X53" s="1">
        <v>3</v>
      </c>
      <c r="Y53" s="1">
        <v>2</v>
      </c>
    </row>
    <row r="54" spans="1:25" x14ac:dyDescent="0.25">
      <c r="A54" s="12">
        <v>11</v>
      </c>
      <c r="B54" s="12">
        <f>VLOOKUP('Tabelle 1'!B63,'Degree of Symptoms'!$J$9:$K$13,2)</f>
        <v>5</v>
      </c>
      <c r="C54" s="12">
        <f>VLOOKUP('Tabelle 1'!C63,'Degree of Symptoms'!$J$13:$K$22,2)</f>
        <v>5</v>
      </c>
      <c r="D54" s="12">
        <f>VLOOKUP('Tabelle 1'!D63,'Degree of Symptoms'!$J$26:$K$30,2)</f>
        <v>5</v>
      </c>
      <c r="E54" s="18">
        <f t="shared" si="3"/>
        <v>5</v>
      </c>
      <c r="G54" s="34"/>
      <c r="H54" s="2"/>
      <c r="I54" s="2"/>
      <c r="W54" s="1">
        <v>1</v>
      </c>
      <c r="X54" s="1">
        <v>3</v>
      </c>
      <c r="Y54" s="1">
        <v>2</v>
      </c>
    </row>
    <row r="55" spans="1:25" x14ac:dyDescent="0.25">
      <c r="A55" s="12">
        <v>12</v>
      </c>
      <c r="B55" s="12">
        <f>VLOOKUP('Tabelle 1'!B64,'Degree of Symptoms'!$J$9:$K$13,2)</f>
        <v>5</v>
      </c>
      <c r="C55" s="12">
        <f>VLOOKUP('Tabelle 1'!C64,'Degree of Symptoms'!$J$13:$K$22,2)</f>
        <v>5</v>
      </c>
      <c r="D55" s="12">
        <f>VLOOKUP('Tabelle 1'!D64,'Degree of Symptoms'!$J$26:$K$30,2)</f>
        <v>5</v>
      </c>
      <c r="E55" s="18">
        <f t="shared" si="3"/>
        <v>5</v>
      </c>
      <c r="G55" s="34"/>
      <c r="H55" s="2"/>
      <c r="I55" s="2"/>
      <c r="W55" s="1">
        <v>1</v>
      </c>
      <c r="X55" s="1">
        <v>3</v>
      </c>
      <c r="Y55" s="1">
        <v>2</v>
      </c>
    </row>
    <row r="56" spans="1:25" x14ac:dyDescent="0.25">
      <c r="A56" s="12">
        <v>13</v>
      </c>
      <c r="B56" s="12">
        <f>VLOOKUP('Tabelle 1'!B65,'Degree of Symptoms'!$J$9:$K$13,2)</f>
        <v>5</v>
      </c>
      <c r="C56" s="12">
        <f>VLOOKUP('Tabelle 1'!C65,'Degree of Symptoms'!$J$13:$K$22,2)</f>
        <v>5</v>
      </c>
      <c r="D56" s="12">
        <f>VLOOKUP('Tabelle 1'!D65,'Degree of Symptoms'!$J$26:$K$30,2)</f>
        <v>5</v>
      </c>
      <c r="E56" s="18">
        <f t="shared" si="3"/>
        <v>5</v>
      </c>
      <c r="G56" s="34"/>
      <c r="H56" s="2"/>
      <c r="I56" s="2"/>
      <c r="W56" s="1">
        <v>1</v>
      </c>
      <c r="X56" s="1">
        <v>3</v>
      </c>
      <c r="Y56" s="1">
        <v>2</v>
      </c>
    </row>
    <row r="57" spans="1:25" x14ac:dyDescent="0.25">
      <c r="A57" s="12">
        <v>14</v>
      </c>
      <c r="B57" s="12">
        <f>VLOOKUP('Tabelle 1'!B66,'Degree of Symptoms'!$J$9:$K$13,2)</f>
        <v>5</v>
      </c>
      <c r="C57" s="12">
        <f>VLOOKUP('Tabelle 1'!C66,'Degree of Symptoms'!$J$13:$K$22,2)</f>
        <v>5</v>
      </c>
      <c r="D57" s="12">
        <f>VLOOKUP('Tabelle 1'!D66,'Degree of Symptoms'!$J$26:$K$30,2)</f>
        <v>5</v>
      </c>
      <c r="E57" s="18">
        <f t="shared" si="3"/>
        <v>5</v>
      </c>
      <c r="G57" s="34"/>
      <c r="H57" s="2"/>
      <c r="I57" s="2"/>
      <c r="W57" s="1">
        <v>1</v>
      </c>
      <c r="X57" s="1">
        <v>3</v>
      </c>
      <c r="Y57" s="1">
        <v>2</v>
      </c>
    </row>
    <row r="58" spans="1:25" x14ac:dyDescent="0.25">
      <c r="A58" s="12">
        <v>15</v>
      </c>
      <c r="B58" s="12">
        <f>VLOOKUP('Tabelle 1'!B67,'Degree of Symptoms'!$J$9:$K$13,2)</f>
        <v>5</v>
      </c>
      <c r="C58" s="12">
        <f>VLOOKUP('Tabelle 1'!C67,'Degree of Symptoms'!$J$13:$K$22,2)</f>
        <v>5</v>
      </c>
      <c r="D58" s="12">
        <f>VLOOKUP('Tabelle 1'!D67,'Degree of Symptoms'!$J$26:$K$30,2)</f>
        <v>5</v>
      </c>
      <c r="E58" s="18">
        <f t="shared" si="3"/>
        <v>5</v>
      </c>
      <c r="W58" s="1">
        <v>1</v>
      </c>
      <c r="X58" s="1">
        <v>3</v>
      </c>
      <c r="Y58" s="1">
        <v>2</v>
      </c>
    </row>
    <row r="59" spans="1:25" x14ac:dyDescent="0.25">
      <c r="A59" s="12"/>
      <c r="B59" s="12"/>
      <c r="C59" s="12"/>
      <c r="D59" s="12"/>
      <c r="E59" s="18"/>
      <c r="F59" s="2" t="s">
        <v>13</v>
      </c>
      <c r="W59" s="1">
        <v>1</v>
      </c>
      <c r="X59" s="1">
        <v>3</v>
      </c>
      <c r="Y59" s="1">
        <v>2</v>
      </c>
    </row>
    <row r="60" spans="1:25" x14ac:dyDescent="0.25">
      <c r="A60" s="20" t="s">
        <v>51</v>
      </c>
      <c r="B60" s="12">
        <f>AVERAGE(B44:B58)</f>
        <v>5</v>
      </c>
      <c r="C60" s="12">
        <f>AVERAGE(C44:C58)</f>
        <v>5</v>
      </c>
      <c r="D60" s="12">
        <f>AVERAGE(D44:D58)</f>
        <v>5</v>
      </c>
      <c r="E60" s="18">
        <f>AVERAGE(E44:E58)</f>
        <v>5</v>
      </c>
      <c r="F60" s="2">
        <f>'Tabelle 1'!G69</f>
        <v>15</v>
      </c>
      <c r="W60" s="1">
        <v>1</v>
      </c>
      <c r="X60" s="1">
        <v>3</v>
      </c>
      <c r="Y60" s="1">
        <v>2</v>
      </c>
    </row>
    <row r="61" spans="1:25" x14ac:dyDescent="0.25">
      <c r="A61" s="20" t="s">
        <v>52</v>
      </c>
      <c r="B61" s="12">
        <f>STDEV(B44:B58)</f>
        <v>0</v>
      </c>
      <c r="C61" s="12">
        <f>STDEV(C44:C58)</f>
        <v>0</v>
      </c>
      <c r="D61" s="12">
        <f>STDEV(D44:D58)</f>
        <v>0</v>
      </c>
      <c r="E61" s="18">
        <f>STDEV(E44:E58)</f>
        <v>0</v>
      </c>
      <c r="W61" s="1">
        <v>1</v>
      </c>
      <c r="X61" s="1">
        <v>3</v>
      </c>
      <c r="Y61" s="1">
        <v>2</v>
      </c>
    </row>
    <row r="62" spans="1:25" x14ac:dyDescent="0.25">
      <c r="W62" s="1">
        <v>1</v>
      </c>
      <c r="X62" s="1">
        <v>3</v>
      </c>
      <c r="Y62" s="1">
        <v>2</v>
      </c>
    </row>
    <row r="63" spans="1:25" x14ac:dyDescent="0.25">
      <c r="W63" s="1">
        <v>1</v>
      </c>
      <c r="X63" s="1">
        <v>3</v>
      </c>
      <c r="Y63" s="1">
        <v>2</v>
      </c>
    </row>
    <row r="64" spans="1:25" x14ac:dyDescent="0.25">
      <c r="A64" s="9">
        <f>'Tabelle 1'!A72</f>
        <v>4</v>
      </c>
      <c r="B64" s="20" t="s">
        <v>39</v>
      </c>
      <c r="C64" s="20" t="s">
        <v>40</v>
      </c>
      <c r="D64" s="20" t="s">
        <v>41</v>
      </c>
      <c r="E64" s="20" t="s">
        <v>42</v>
      </c>
      <c r="H64" s="34" t="s">
        <v>43</v>
      </c>
      <c r="W64" s="1">
        <v>1</v>
      </c>
      <c r="X64" s="1">
        <v>3</v>
      </c>
      <c r="Y64" s="1">
        <v>2</v>
      </c>
    </row>
    <row r="65" spans="1:25" x14ac:dyDescent="0.25">
      <c r="A65" s="12">
        <v>1</v>
      </c>
      <c r="B65" s="12">
        <f>VLOOKUP('Tabelle 1'!B74,'Degree of Symptoms'!$J$9:$K$13,2)</f>
        <v>5</v>
      </c>
      <c r="C65" s="12">
        <f>VLOOKUP('Tabelle 1'!C74,'Degree of Symptoms'!$J$13:$K$22,2)</f>
        <v>5</v>
      </c>
      <c r="D65" s="12">
        <f>VLOOKUP('Tabelle 1'!D74,'Degree of Symptoms'!$J$26:$K$30,2)</f>
        <v>5</v>
      </c>
      <c r="E65" s="18">
        <f t="shared" ref="E65:E79" si="4">AVERAGE(B65:D65)</f>
        <v>5</v>
      </c>
      <c r="G65" s="35" t="s">
        <v>44</v>
      </c>
      <c r="H65" s="1">
        <f>COUNTIFS($E$65:$E$79,"&lt;1,99",$E$65:$E$79,"&gt;=1")</f>
        <v>0</v>
      </c>
      <c r="W65" s="1">
        <v>1</v>
      </c>
      <c r="X65" s="1">
        <v>3</v>
      </c>
      <c r="Y65" s="1">
        <v>2</v>
      </c>
    </row>
    <row r="66" spans="1:25" x14ac:dyDescent="0.25">
      <c r="A66" s="12">
        <v>2</v>
      </c>
      <c r="B66" s="12">
        <f>VLOOKUP('Tabelle 1'!B75,'Degree of Symptoms'!$J$9:$K$13,2)</f>
        <v>5</v>
      </c>
      <c r="C66" s="12">
        <f>VLOOKUP('Tabelle 1'!C75,'Degree of Symptoms'!$J$13:$K$22,2)</f>
        <v>5</v>
      </c>
      <c r="D66" s="12">
        <f>VLOOKUP('Tabelle 1'!D75,'Degree of Symptoms'!$J$26:$K$30,2)</f>
        <v>5</v>
      </c>
      <c r="E66" s="18">
        <f t="shared" si="4"/>
        <v>5</v>
      </c>
      <c r="G66" s="35" t="s">
        <v>45</v>
      </c>
      <c r="H66" s="1">
        <f>COUNTIFS($E$65:$E$79,"&lt;2,99",$E$65:$E$79,"&gt;=2")</f>
        <v>0</v>
      </c>
      <c r="W66" s="1">
        <v>1</v>
      </c>
      <c r="X66" s="1">
        <v>3</v>
      </c>
      <c r="Y66" s="1">
        <v>2</v>
      </c>
    </row>
    <row r="67" spans="1:25" x14ac:dyDescent="0.25">
      <c r="A67" s="12">
        <v>3</v>
      </c>
      <c r="B67" s="12">
        <f>VLOOKUP('Tabelle 1'!B76,'Degree of Symptoms'!$J$9:$K$13,2)</f>
        <v>5</v>
      </c>
      <c r="C67" s="12">
        <f>VLOOKUP('Tabelle 1'!C76,'Degree of Symptoms'!$J$13:$K$22,2)</f>
        <v>5</v>
      </c>
      <c r="D67" s="12">
        <f>VLOOKUP('Tabelle 1'!D76,'Degree of Symptoms'!$J$26:$K$30,2)</f>
        <v>5</v>
      </c>
      <c r="E67" s="18">
        <f t="shared" si="4"/>
        <v>5</v>
      </c>
      <c r="G67" s="35" t="s">
        <v>47</v>
      </c>
      <c r="H67" s="1">
        <f>COUNTIFS($E$65:$E$79,"&lt;3,99",$E$65:$E$79,"&gt;=3")</f>
        <v>0</v>
      </c>
      <c r="W67" s="1">
        <v>1</v>
      </c>
      <c r="X67" s="1">
        <v>3</v>
      </c>
      <c r="Y67" s="1">
        <v>2</v>
      </c>
    </row>
    <row r="68" spans="1:25" x14ac:dyDescent="0.25">
      <c r="A68" s="12">
        <v>4</v>
      </c>
      <c r="B68" s="12">
        <f>VLOOKUP('Tabelle 1'!B77,'Degree of Symptoms'!$J$9:$K$13,2)</f>
        <v>5</v>
      </c>
      <c r="C68" s="12">
        <f>VLOOKUP('Tabelle 1'!C77,'Degree of Symptoms'!$J$13:$K$22,2)</f>
        <v>5</v>
      </c>
      <c r="D68" s="12">
        <f>VLOOKUP('Tabelle 1'!D77,'Degree of Symptoms'!$J$26:$K$30,2)</f>
        <v>5</v>
      </c>
      <c r="E68" s="18">
        <f t="shared" si="4"/>
        <v>5</v>
      </c>
      <c r="G68" s="35" t="s">
        <v>49</v>
      </c>
      <c r="H68" s="1">
        <f>COUNTIFS($E$65:$E$79,"&lt;4,99",$E$65:$E$79,"&gt;=4")</f>
        <v>0</v>
      </c>
      <c r="W68" s="1">
        <v>1</v>
      </c>
      <c r="X68" s="1">
        <v>3</v>
      </c>
      <c r="Y68" s="1">
        <v>2</v>
      </c>
    </row>
    <row r="69" spans="1:25" x14ac:dyDescent="0.25">
      <c r="A69" s="12">
        <v>5</v>
      </c>
      <c r="B69" s="12">
        <f>VLOOKUP('Tabelle 1'!B78,'Degree of Symptoms'!$J$9:$K$13,2)</f>
        <v>5</v>
      </c>
      <c r="C69" s="12">
        <f>VLOOKUP('Tabelle 1'!C78,'Degree of Symptoms'!$J$13:$K$22,2)</f>
        <v>5</v>
      </c>
      <c r="D69" s="12">
        <f>VLOOKUP('Tabelle 1'!D78,'Degree of Symptoms'!$J$26:$K$30,2)</f>
        <v>5</v>
      </c>
      <c r="E69" s="18">
        <f t="shared" si="4"/>
        <v>5</v>
      </c>
      <c r="G69" s="35">
        <v>5</v>
      </c>
      <c r="H69" s="1">
        <f>COUNTIF($E$65:$E$79,"&gt;=5")</f>
        <v>15</v>
      </c>
      <c r="W69" s="1">
        <v>1</v>
      </c>
      <c r="X69" s="1">
        <v>3</v>
      </c>
      <c r="Y69" s="1">
        <v>2</v>
      </c>
    </row>
    <row r="70" spans="1:25" x14ac:dyDescent="0.25">
      <c r="A70" s="12">
        <v>6</v>
      </c>
      <c r="B70" s="12">
        <f>VLOOKUP('Tabelle 1'!B79,'Degree of Symptoms'!$J$9:$K$13,2)</f>
        <v>5</v>
      </c>
      <c r="C70" s="12">
        <f>VLOOKUP('Tabelle 1'!C79,'Degree of Symptoms'!$J$13:$K$22,2)</f>
        <v>5</v>
      </c>
      <c r="D70" s="12">
        <f>VLOOKUP('Tabelle 1'!D79,'Degree of Symptoms'!$J$26:$K$30,2)</f>
        <v>5</v>
      </c>
      <c r="E70" s="18">
        <f t="shared" si="4"/>
        <v>5</v>
      </c>
      <c r="H70" s="1">
        <f>SUM(H65:H69)</f>
        <v>15</v>
      </c>
      <c r="W70" s="1">
        <v>1</v>
      </c>
      <c r="X70" s="1">
        <v>3</v>
      </c>
      <c r="Y70" s="1">
        <v>2</v>
      </c>
    </row>
    <row r="71" spans="1:25" x14ac:dyDescent="0.25">
      <c r="A71" s="12">
        <v>7</v>
      </c>
      <c r="B71" s="12">
        <f>VLOOKUP('Tabelle 1'!B80,'Degree of Symptoms'!$J$9:$K$13,2)</f>
        <v>5</v>
      </c>
      <c r="C71" s="12">
        <f>VLOOKUP('Tabelle 1'!C80,'Degree of Symptoms'!$J$13:$K$22,2)</f>
        <v>5</v>
      </c>
      <c r="D71" s="12">
        <f>VLOOKUP('Tabelle 1'!D80,'Degree of Symptoms'!$J$26:$K$30,2)</f>
        <v>5</v>
      </c>
      <c r="E71" s="18">
        <f t="shared" si="4"/>
        <v>5</v>
      </c>
      <c r="W71" s="1">
        <v>1</v>
      </c>
      <c r="X71" s="1">
        <v>3</v>
      </c>
      <c r="Y71" s="1">
        <v>2</v>
      </c>
    </row>
    <row r="72" spans="1:25" x14ac:dyDescent="0.25">
      <c r="A72" s="12">
        <v>8</v>
      </c>
      <c r="B72" s="12">
        <f>VLOOKUP('Tabelle 1'!B81,'Degree of Symptoms'!$J$9:$K$13,2)</f>
        <v>5</v>
      </c>
      <c r="C72" s="12">
        <f>VLOOKUP('Tabelle 1'!C81,'Degree of Symptoms'!$J$13:$K$22,2)</f>
        <v>5</v>
      </c>
      <c r="D72" s="12">
        <f>VLOOKUP('Tabelle 1'!D81,'Degree of Symptoms'!$J$26:$K$30,2)</f>
        <v>5</v>
      </c>
      <c r="E72" s="18">
        <f t="shared" si="4"/>
        <v>5</v>
      </c>
      <c r="W72" s="1">
        <v>1</v>
      </c>
      <c r="X72" s="1">
        <v>3</v>
      </c>
      <c r="Y72" s="1">
        <v>2</v>
      </c>
    </row>
    <row r="73" spans="1:25" x14ac:dyDescent="0.25">
      <c r="A73" s="12">
        <v>9</v>
      </c>
      <c r="B73" s="12">
        <f>VLOOKUP('Tabelle 1'!B82,'Degree of Symptoms'!$J$9:$K$13,2)</f>
        <v>5</v>
      </c>
      <c r="C73" s="12">
        <f>VLOOKUP('Tabelle 1'!C82,'Degree of Symptoms'!$J$13:$K$22,2)</f>
        <v>5</v>
      </c>
      <c r="D73" s="12">
        <f>VLOOKUP('Tabelle 1'!D82,'Degree of Symptoms'!$J$26:$K$30,2)</f>
        <v>5</v>
      </c>
      <c r="E73" s="18">
        <f t="shared" si="4"/>
        <v>5</v>
      </c>
      <c r="G73" s="34"/>
      <c r="H73" s="34"/>
      <c r="I73" s="34"/>
      <c r="W73" s="1">
        <v>1</v>
      </c>
      <c r="X73" s="1">
        <v>3</v>
      </c>
      <c r="Y73" s="1">
        <v>2</v>
      </c>
    </row>
    <row r="74" spans="1:25" x14ac:dyDescent="0.25">
      <c r="A74" s="12">
        <v>10</v>
      </c>
      <c r="B74" s="12">
        <f>VLOOKUP('Tabelle 1'!B83,'Degree of Symptoms'!$J$9:$K$13,2)</f>
        <v>5</v>
      </c>
      <c r="C74" s="12">
        <f>VLOOKUP('Tabelle 1'!C83,'Degree of Symptoms'!$J$13:$K$22,2)</f>
        <v>5</v>
      </c>
      <c r="D74" s="12">
        <f>VLOOKUP('Tabelle 1'!D83,'Degree of Symptoms'!$J$26:$K$30,2)</f>
        <v>5</v>
      </c>
      <c r="E74" s="18">
        <f t="shared" si="4"/>
        <v>5</v>
      </c>
      <c r="G74" s="34"/>
      <c r="H74" s="2"/>
      <c r="I74" s="2"/>
      <c r="W74" s="1">
        <v>1</v>
      </c>
      <c r="X74" s="1">
        <v>3</v>
      </c>
      <c r="Y74" s="1">
        <v>2</v>
      </c>
    </row>
    <row r="75" spans="1:25" x14ac:dyDescent="0.25">
      <c r="A75" s="12">
        <v>11</v>
      </c>
      <c r="B75" s="12">
        <f>VLOOKUP('Tabelle 1'!B84,'Degree of Symptoms'!$J$9:$K$13,2)</f>
        <v>5</v>
      </c>
      <c r="C75" s="12">
        <f>VLOOKUP('Tabelle 1'!C84,'Degree of Symptoms'!$J$13:$K$22,2)</f>
        <v>5</v>
      </c>
      <c r="D75" s="12">
        <f>VLOOKUP('Tabelle 1'!D84,'Degree of Symptoms'!$J$26:$K$30,2)</f>
        <v>5</v>
      </c>
      <c r="E75" s="18">
        <f t="shared" si="4"/>
        <v>5</v>
      </c>
      <c r="G75" s="34"/>
      <c r="H75" s="2"/>
      <c r="I75" s="2"/>
      <c r="W75" s="1">
        <v>1</v>
      </c>
      <c r="X75" s="1">
        <v>3</v>
      </c>
      <c r="Y75" s="1">
        <v>2</v>
      </c>
    </row>
    <row r="76" spans="1:25" x14ac:dyDescent="0.25">
      <c r="A76" s="12">
        <v>12</v>
      </c>
      <c r="B76" s="12">
        <f>VLOOKUP('Tabelle 1'!B85,'Degree of Symptoms'!$J$9:$K$13,2)</f>
        <v>5</v>
      </c>
      <c r="C76" s="12">
        <f>VLOOKUP('Tabelle 1'!C85,'Degree of Symptoms'!$J$13:$K$22,2)</f>
        <v>5</v>
      </c>
      <c r="D76" s="12">
        <f>VLOOKUP('Tabelle 1'!D85,'Degree of Symptoms'!$J$26:$K$30,2)</f>
        <v>5</v>
      </c>
      <c r="E76" s="18">
        <f t="shared" si="4"/>
        <v>5</v>
      </c>
      <c r="G76" s="34"/>
      <c r="H76" s="2"/>
      <c r="I76" s="2"/>
      <c r="W76" s="1">
        <v>1</v>
      </c>
      <c r="X76" s="1">
        <v>3</v>
      </c>
      <c r="Y76" s="1">
        <v>2</v>
      </c>
    </row>
    <row r="77" spans="1:25" x14ac:dyDescent="0.25">
      <c r="A77" s="12">
        <v>13</v>
      </c>
      <c r="B77" s="12">
        <f>VLOOKUP('Tabelle 1'!B86,'Degree of Symptoms'!$J$9:$K$13,2)</f>
        <v>5</v>
      </c>
      <c r="C77" s="12">
        <f>VLOOKUP('Tabelle 1'!C86,'Degree of Symptoms'!$J$13:$K$22,2)</f>
        <v>5</v>
      </c>
      <c r="D77" s="12">
        <f>VLOOKUP('Tabelle 1'!D86,'Degree of Symptoms'!$J$26:$K$30,2)</f>
        <v>5</v>
      </c>
      <c r="E77" s="18">
        <f t="shared" si="4"/>
        <v>5</v>
      </c>
      <c r="G77" s="34"/>
      <c r="H77" s="2"/>
      <c r="I77" s="2"/>
      <c r="W77" s="1">
        <v>1</v>
      </c>
      <c r="X77" s="1">
        <v>3</v>
      </c>
      <c r="Y77" s="1">
        <v>2</v>
      </c>
    </row>
    <row r="78" spans="1:25" x14ac:dyDescent="0.25">
      <c r="A78" s="12">
        <v>14</v>
      </c>
      <c r="B78" s="12">
        <f>VLOOKUP('Tabelle 1'!B87,'Degree of Symptoms'!$J$9:$K$13,2)</f>
        <v>5</v>
      </c>
      <c r="C78" s="12">
        <f>VLOOKUP('Tabelle 1'!C87,'Degree of Symptoms'!$J$13:$K$22,2)</f>
        <v>5</v>
      </c>
      <c r="D78" s="12">
        <f>VLOOKUP('Tabelle 1'!D87,'Degree of Symptoms'!$J$26:$K$30,2)</f>
        <v>5</v>
      </c>
      <c r="E78" s="18">
        <f t="shared" si="4"/>
        <v>5</v>
      </c>
      <c r="G78" s="34"/>
      <c r="H78" s="2"/>
      <c r="I78" s="2"/>
      <c r="W78" s="1">
        <v>1</v>
      </c>
      <c r="X78" s="1">
        <v>3</v>
      </c>
      <c r="Y78" s="1">
        <v>2</v>
      </c>
    </row>
    <row r="79" spans="1:25" x14ac:dyDescent="0.25">
      <c r="A79" s="12">
        <v>15</v>
      </c>
      <c r="B79" s="12">
        <f>VLOOKUP('Tabelle 1'!B88,'Degree of Symptoms'!$J$9:$K$13,2)</f>
        <v>5</v>
      </c>
      <c r="C79" s="12">
        <f>VLOOKUP('Tabelle 1'!C88,'Degree of Symptoms'!$J$13:$K$22,2)</f>
        <v>5</v>
      </c>
      <c r="D79" s="12">
        <f>VLOOKUP('Tabelle 1'!D88,'Degree of Symptoms'!$J$26:$K$30,2)</f>
        <v>5</v>
      </c>
      <c r="E79" s="18">
        <f t="shared" si="4"/>
        <v>5</v>
      </c>
      <c r="W79" s="1">
        <v>1</v>
      </c>
      <c r="X79" s="1">
        <v>3</v>
      </c>
      <c r="Y79" s="1">
        <v>2</v>
      </c>
    </row>
    <row r="80" spans="1:25" x14ac:dyDescent="0.25">
      <c r="A80" s="12"/>
      <c r="B80" s="12"/>
      <c r="C80" s="12"/>
      <c r="D80" s="12"/>
      <c r="E80" s="18"/>
      <c r="F80" s="2" t="s">
        <v>13</v>
      </c>
      <c r="W80" s="1">
        <v>1</v>
      </c>
      <c r="X80" s="1">
        <v>3</v>
      </c>
      <c r="Y80" s="1">
        <v>3</v>
      </c>
    </row>
    <row r="81" spans="1:25" x14ac:dyDescent="0.25">
      <c r="A81" s="20" t="s">
        <v>51</v>
      </c>
      <c r="B81" s="12">
        <f>AVERAGE(B65:B79)</f>
        <v>5</v>
      </c>
      <c r="C81" s="12">
        <f>AVERAGE(C65:C79)</f>
        <v>5</v>
      </c>
      <c r="D81" s="12">
        <f>AVERAGE(D65:D79)</f>
        <v>5</v>
      </c>
      <c r="E81" s="18">
        <f>AVERAGE(E65:E79)</f>
        <v>5</v>
      </c>
      <c r="F81" s="2">
        <f>'Tabelle 1'!G90</f>
        <v>15</v>
      </c>
      <c r="W81" s="1">
        <v>1</v>
      </c>
      <c r="X81" s="1">
        <v>3</v>
      </c>
      <c r="Y81" s="1">
        <v>3</v>
      </c>
    </row>
    <row r="82" spans="1:25" x14ac:dyDescent="0.25">
      <c r="A82" s="20" t="s">
        <v>52</v>
      </c>
      <c r="B82" s="12">
        <f>STDEV(B65:B79)</f>
        <v>0</v>
      </c>
      <c r="C82" s="12">
        <f>STDEV(C65:C79)</f>
        <v>0</v>
      </c>
      <c r="D82" s="12">
        <f>STDEV(D65:D79)</f>
        <v>0</v>
      </c>
      <c r="E82" s="18">
        <f>STDEV(E65:E79)</f>
        <v>0</v>
      </c>
      <c r="W82" s="1">
        <v>1</v>
      </c>
      <c r="X82" s="1">
        <v>4</v>
      </c>
      <c r="Y82" s="1">
        <v>3</v>
      </c>
    </row>
    <row r="83" spans="1:25" x14ac:dyDescent="0.25">
      <c r="W83" s="1">
        <v>1</v>
      </c>
      <c r="X83" s="1">
        <v>4</v>
      </c>
      <c r="Y83" s="1">
        <v>3</v>
      </c>
    </row>
    <row r="84" spans="1:25" x14ac:dyDescent="0.25">
      <c r="W84" s="1">
        <v>1</v>
      </c>
      <c r="X84" s="1">
        <v>4</v>
      </c>
      <c r="Y84" s="1">
        <v>3</v>
      </c>
    </row>
    <row r="85" spans="1:25" x14ac:dyDescent="0.25">
      <c r="A85" s="9">
        <f>'Tabelle 1'!A93</f>
        <v>5</v>
      </c>
      <c r="B85" s="20" t="s">
        <v>39</v>
      </c>
      <c r="C85" s="20" t="s">
        <v>40</v>
      </c>
      <c r="D85" s="20" t="s">
        <v>41</v>
      </c>
      <c r="E85" s="20" t="s">
        <v>42</v>
      </c>
      <c r="H85" s="34" t="s">
        <v>43</v>
      </c>
      <c r="W85" s="1">
        <v>1</v>
      </c>
      <c r="X85" s="1">
        <v>4</v>
      </c>
      <c r="Y85" s="1">
        <v>3</v>
      </c>
    </row>
    <row r="86" spans="1:25" x14ac:dyDescent="0.25">
      <c r="A86" s="12">
        <v>1</v>
      </c>
      <c r="B86" s="12">
        <f>VLOOKUP('Tabelle 1'!B95,'Degree of Symptoms'!$J$9:$K$13,2)</f>
        <v>5</v>
      </c>
      <c r="C86" s="12">
        <f>VLOOKUP('Tabelle 1'!C95,'Degree of Symptoms'!$J$13:$K$22,2)</f>
        <v>5</v>
      </c>
      <c r="D86" s="12">
        <f>VLOOKUP('Tabelle 1'!D95,'Degree of Symptoms'!$J$26:$K$30,2)</f>
        <v>5</v>
      </c>
      <c r="E86" s="18">
        <f t="shared" ref="E86:E100" si="5">AVERAGE(B86:D86)</f>
        <v>5</v>
      </c>
      <c r="G86" s="35" t="s">
        <v>44</v>
      </c>
      <c r="H86" s="1">
        <f>COUNTIFS($E$86:$E$100,"&lt;1,99",$E$86:$E$100,"&gt;=1")</f>
        <v>0</v>
      </c>
      <c r="W86" s="1">
        <v>1</v>
      </c>
      <c r="X86" s="1">
        <v>4</v>
      </c>
      <c r="Y86" s="1">
        <v>3</v>
      </c>
    </row>
    <row r="87" spans="1:25" x14ac:dyDescent="0.25">
      <c r="A87" s="12">
        <v>2</v>
      </c>
      <c r="B87" s="12">
        <f>VLOOKUP('Tabelle 1'!B96,'Degree of Symptoms'!$J$9:$K$13,2)</f>
        <v>5</v>
      </c>
      <c r="C87" s="12">
        <f>VLOOKUP('Tabelle 1'!C96,'Degree of Symptoms'!$J$13:$K$22,2)</f>
        <v>5</v>
      </c>
      <c r="D87" s="12">
        <f>VLOOKUP('Tabelle 1'!D96,'Degree of Symptoms'!$J$26:$K$30,2)</f>
        <v>5</v>
      </c>
      <c r="E87" s="18">
        <f t="shared" si="5"/>
        <v>5</v>
      </c>
      <c r="G87" s="35" t="s">
        <v>45</v>
      </c>
      <c r="H87" s="1">
        <f>COUNTIFS($E$86:$E$100,"&lt;2,99",$E$86:$E$100,"&gt;=2")</f>
        <v>0</v>
      </c>
      <c r="W87" s="1">
        <v>1</v>
      </c>
      <c r="X87" s="1">
        <v>4</v>
      </c>
      <c r="Y87" s="1">
        <v>3</v>
      </c>
    </row>
    <row r="88" spans="1:25" x14ac:dyDescent="0.25">
      <c r="A88" s="12">
        <v>3</v>
      </c>
      <c r="B88" s="12">
        <f>VLOOKUP('Tabelle 1'!B97,'Degree of Symptoms'!$J$9:$K$13,2)</f>
        <v>5</v>
      </c>
      <c r="C88" s="12">
        <f>VLOOKUP('Tabelle 1'!C97,'Degree of Symptoms'!$J$13:$K$22,2)</f>
        <v>5</v>
      </c>
      <c r="D88" s="12">
        <f>VLOOKUP('Tabelle 1'!D97,'Degree of Symptoms'!$J$26:$K$30,2)</f>
        <v>5</v>
      </c>
      <c r="E88" s="18">
        <f t="shared" si="5"/>
        <v>5</v>
      </c>
      <c r="G88" s="35" t="s">
        <v>47</v>
      </c>
      <c r="H88" s="1">
        <f>COUNTIFS($E$86:$E$100,"&lt;3,99",$E$86:$E$100,"&gt;=3")</f>
        <v>0</v>
      </c>
      <c r="W88" s="1">
        <v>1</v>
      </c>
      <c r="X88" s="1">
        <v>4</v>
      </c>
      <c r="Y88" s="1">
        <v>3</v>
      </c>
    </row>
    <row r="89" spans="1:25" x14ac:dyDescent="0.25">
      <c r="A89" s="12">
        <v>4</v>
      </c>
      <c r="B89" s="12">
        <f>VLOOKUP('Tabelle 1'!B98,'Degree of Symptoms'!$J$9:$K$13,2)</f>
        <v>5</v>
      </c>
      <c r="C89" s="12">
        <f>VLOOKUP('Tabelle 1'!C98,'Degree of Symptoms'!$J$13:$K$22,2)</f>
        <v>5</v>
      </c>
      <c r="D89" s="12">
        <f>VLOOKUP('Tabelle 1'!D98,'Degree of Symptoms'!$J$26:$K$30,2)</f>
        <v>5</v>
      </c>
      <c r="E89" s="18">
        <f t="shared" si="5"/>
        <v>5</v>
      </c>
      <c r="G89" s="35" t="s">
        <v>49</v>
      </c>
      <c r="H89" s="1">
        <f>COUNTIFS($E$86:$E$100,"&lt;4,99",$E$86:$E$100,"&gt;=4")</f>
        <v>0</v>
      </c>
      <c r="W89" s="1">
        <v>2</v>
      </c>
      <c r="X89" s="1">
        <v>4</v>
      </c>
      <c r="Y89" s="1">
        <v>3</v>
      </c>
    </row>
    <row r="90" spans="1:25" x14ac:dyDescent="0.25">
      <c r="A90" s="12">
        <v>5</v>
      </c>
      <c r="B90" s="12">
        <f>VLOOKUP('Tabelle 1'!B99,'Degree of Symptoms'!$J$9:$K$13,2)</f>
        <v>5</v>
      </c>
      <c r="C90" s="12">
        <f>VLOOKUP('Tabelle 1'!C99,'Degree of Symptoms'!$J$13:$K$22,2)</f>
        <v>5</v>
      </c>
      <c r="D90" s="12">
        <f>VLOOKUP('Tabelle 1'!D99,'Degree of Symptoms'!$J$26:$K$30,2)</f>
        <v>5</v>
      </c>
      <c r="E90" s="18">
        <f t="shared" si="5"/>
        <v>5</v>
      </c>
      <c r="G90" s="35">
        <v>5</v>
      </c>
      <c r="H90" s="1">
        <f>COUNTIF($E$86:$E$100,"&gt;=5")</f>
        <v>15</v>
      </c>
      <c r="W90" s="1">
        <v>2</v>
      </c>
      <c r="X90" s="1">
        <v>4</v>
      </c>
      <c r="Y90" s="1">
        <v>3</v>
      </c>
    </row>
    <row r="91" spans="1:25" x14ac:dyDescent="0.25">
      <c r="A91" s="12">
        <v>6</v>
      </c>
      <c r="B91" s="12">
        <f>VLOOKUP('Tabelle 1'!B100,'Degree of Symptoms'!$J$9:$K$13,2)</f>
        <v>5</v>
      </c>
      <c r="C91" s="12">
        <f>VLOOKUP('Tabelle 1'!C100,'Degree of Symptoms'!$J$13:$K$22,2)</f>
        <v>5</v>
      </c>
      <c r="D91" s="12">
        <f>VLOOKUP('Tabelle 1'!D100,'Degree of Symptoms'!$J$26:$K$30,2)</f>
        <v>5</v>
      </c>
      <c r="E91" s="18">
        <f t="shared" si="5"/>
        <v>5</v>
      </c>
      <c r="H91" s="1">
        <f>SUM(H86:H90)</f>
        <v>15</v>
      </c>
      <c r="W91" s="1">
        <v>2</v>
      </c>
      <c r="X91" s="1">
        <v>4</v>
      </c>
      <c r="Y91" s="1">
        <v>3</v>
      </c>
    </row>
    <row r="92" spans="1:25" x14ac:dyDescent="0.25">
      <c r="A92" s="12">
        <v>7</v>
      </c>
      <c r="B92" s="12">
        <f>VLOOKUP('Tabelle 1'!B101,'Degree of Symptoms'!$J$9:$K$13,2)</f>
        <v>5</v>
      </c>
      <c r="C92" s="12">
        <f>VLOOKUP('Tabelle 1'!C101,'Degree of Symptoms'!$J$13:$K$22,2)</f>
        <v>5</v>
      </c>
      <c r="D92" s="12">
        <f>VLOOKUP('Tabelle 1'!D101,'Degree of Symptoms'!$J$26:$K$30,2)</f>
        <v>5</v>
      </c>
      <c r="E92" s="18">
        <f t="shared" si="5"/>
        <v>5</v>
      </c>
      <c r="Y92" s="1">
        <v>3</v>
      </c>
    </row>
    <row r="93" spans="1:25" x14ac:dyDescent="0.25">
      <c r="A93" s="12">
        <v>8</v>
      </c>
      <c r="B93" s="12">
        <f>VLOOKUP('Tabelle 1'!B102,'Degree of Symptoms'!$J$9:$K$13,2)</f>
        <v>5</v>
      </c>
      <c r="C93" s="12">
        <f>VLOOKUP('Tabelle 1'!C102,'Degree of Symptoms'!$J$13:$K$22,2)</f>
        <v>5</v>
      </c>
      <c r="D93" s="12">
        <f>VLOOKUP('Tabelle 1'!D102,'Degree of Symptoms'!$J$26:$K$30,2)</f>
        <v>5</v>
      </c>
      <c r="E93" s="18">
        <f t="shared" si="5"/>
        <v>5</v>
      </c>
      <c r="Y93" s="1">
        <v>3</v>
      </c>
    </row>
    <row r="94" spans="1:25" x14ac:dyDescent="0.25">
      <c r="A94" s="12">
        <v>9</v>
      </c>
      <c r="B94" s="12">
        <f>VLOOKUP('Tabelle 1'!B103,'Degree of Symptoms'!$J$9:$K$13,2)</f>
        <v>5</v>
      </c>
      <c r="C94" s="12">
        <f>VLOOKUP('Tabelle 1'!C103,'Degree of Symptoms'!$J$13:$K$22,2)</f>
        <v>5</v>
      </c>
      <c r="D94" s="12">
        <f>VLOOKUP('Tabelle 1'!D103,'Degree of Symptoms'!$J$26:$K$30,2)</f>
        <v>5</v>
      </c>
      <c r="E94" s="18">
        <f t="shared" si="5"/>
        <v>5</v>
      </c>
      <c r="G94" s="34"/>
      <c r="H94" s="34"/>
      <c r="I94" s="34"/>
      <c r="Y94" s="1">
        <v>3</v>
      </c>
    </row>
    <row r="95" spans="1:25" x14ac:dyDescent="0.25">
      <c r="A95" s="12">
        <v>10</v>
      </c>
      <c r="B95" s="12">
        <f>VLOOKUP('Tabelle 1'!B104,'Degree of Symptoms'!$J$9:$K$13,2)</f>
        <v>5</v>
      </c>
      <c r="C95" s="12">
        <f>VLOOKUP('Tabelle 1'!C104,'Degree of Symptoms'!$J$13:$K$22,2)</f>
        <v>5</v>
      </c>
      <c r="D95" s="12">
        <f>VLOOKUP('Tabelle 1'!D104,'Degree of Symptoms'!$J$26:$K$30,2)</f>
        <v>5</v>
      </c>
      <c r="E95" s="18">
        <f t="shared" si="5"/>
        <v>5</v>
      </c>
      <c r="G95" s="34"/>
      <c r="H95" s="2"/>
      <c r="I95" s="2"/>
      <c r="Y95" s="1">
        <v>3</v>
      </c>
    </row>
    <row r="96" spans="1:25" x14ac:dyDescent="0.25">
      <c r="A96" s="12">
        <v>11</v>
      </c>
      <c r="B96" s="12">
        <f>VLOOKUP('Tabelle 1'!B105,'Degree of Symptoms'!$J$9:$K$13,2)</f>
        <v>5</v>
      </c>
      <c r="C96" s="12">
        <f>VLOOKUP('Tabelle 1'!C105,'Degree of Symptoms'!$J$13:$K$22,2)</f>
        <v>5</v>
      </c>
      <c r="D96" s="12">
        <f>VLOOKUP('Tabelle 1'!D105,'Degree of Symptoms'!$J$26:$K$30,2)</f>
        <v>5</v>
      </c>
      <c r="E96" s="18">
        <f t="shared" si="5"/>
        <v>5</v>
      </c>
      <c r="G96" s="34"/>
      <c r="H96" s="2"/>
      <c r="I96" s="2"/>
      <c r="Y96" s="1">
        <v>3</v>
      </c>
    </row>
    <row r="97" spans="1:25" x14ac:dyDescent="0.25">
      <c r="A97" s="12">
        <v>12</v>
      </c>
      <c r="B97" s="12">
        <f>VLOOKUP('Tabelle 1'!B106,'Degree of Symptoms'!$J$9:$K$13,2)</f>
        <v>5</v>
      </c>
      <c r="C97" s="12">
        <f>VLOOKUP('Tabelle 1'!C106,'Degree of Symptoms'!$J$13:$K$22,2)</f>
        <v>5</v>
      </c>
      <c r="D97" s="12">
        <f>VLOOKUP('Tabelle 1'!D106,'Degree of Symptoms'!$J$26:$K$30,2)</f>
        <v>5</v>
      </c>
      <c r="E97" s="18">
        <f t="shared" si="5"/>
        <v>5</v>
      </c>
      <c r="G97" s="34"/>
      <c r="H97" s="2"/>
      <c r="I97" s="2"/>
      <c r="Y97" s="1">
        <v>3</v>
      </c>
    </row>
    <row r="98" spans="1:25" x14ac:dyDescent="0.25">
      <c r="A98" s="12">
        <v>13</v>
      </c>
      <c r="B98" s="12">
        <f>VLOOKUP('Tabelle 1'!B107,'Degree of Symptoms'!$J$9:$K$13,2)</f>
        <v>5</v>
      </c>
      <c r="C98" s="12">
        <f>VLOOKUP('Tabelle 1'!C107,'Degree of Symptoms'!$J$13:$K$22,2)</f>
        <v>5</v>
      </c>
      <c r="D98" s="12">
        <f>VLOOKUP('Tabelle 1'!D107,'Degree of Symptoms'!$J$26:$K$30,2)</f>
        <v>5</v>
      </c>
      <c r="E98" s="18">
        <f t="shared" si="5"/>
        <v>5</v>
      </c>
      <c r="G98" s="34"/>
      <c r="H98" s="2"/>
      <c r="I98" s="2"/>
      <c r="Y98" s="1">
        <v>3</v>
      </c>
    </row>
    <row r="99" spans="1:25" x14ac:dyDescent="0.25">
      <c r="A99" s="12">
        <v>14</v>
      </c>
      <c r="B99" s="12">
        <f>VLOOKUP('Tabelle 1'!B108,'Degree of Symptoms'!$J$9:$K$13,2)</f>
        <v>5</v>
      </c>
      <c r="C99" s="12">
        <f>VLOOKUP('Tabelle 1'!C108,'Degree of Symptoms'!$J$13:$K$22,2)</f>
        <v>5</v>
      </c>
      <c r="D99" s="12">
        <f>VLOOKUP('Tabelle 1'!D108,'Degree of Symptoms'!$J$26:$K$30,2)</f>
        <v>5</v>
      </c>
      <c r="E99" s="18">
        <f t="shared" si="5"/>
        <v>5</v>
      </c>
      <c r="G99" s="34"/>
      <c r="H99" s="2"/>
      <c r="I99" s="2"/>
      <c r="Y99" s="1">
        <v>3</v>
      </c>
    </row>
    <row r="100" spans="1:25" x14ac:dyDescent="0.25">
      <c r="A100" s="12">
        <v>15</v>
      </c>
      <c r="B100" s="12">
        <f>VLOOKUP('Tabelle 1'!B109,'Degree of Symptoms'!$J$9:$K$13,2)</f>
        <v>5</v>
      </c>
      <c r="C100" s="12">
        <f>VLOOKUP('Tabelle 1'!C109,'Degree of Symptoms'!$J$13:$K$22,2)</f>
        <v>5</v>
      </c>
      <c r="D100" s="12">
        <f>VLOOKUP('Tabelle 1'!D109,'Degree of Symptoms'!$J$26:$K$30,2)</f>
        <v>5</v>
      </c>
      <c r="E100" s="18">
        <f t="shared" si="5"/>
        <v>5</v>
      </c>
      <c r="Y100" s="1">
        <v>3</v>
      </c>
    </row>
    <row r="101" spans="1:25" x14ac:dyDescent="0.25">
      <c r="A101" s="12"/>
      <c r="B101" s="12"/>
      <c r="C101" s="12"/>
      <c r="D101" s="12"/>
      <c r="E101" s="18"/>
      <c r="F101" s="2" t="s">
        <v>13</v>
      </c>
      <c r="Y101" s="1">
        <v>3</v>
      </c>
    </row>
    <row r="102" spans="1:25" x14ac:dyDescent="0.25">
      <c r="A102" s="20" t="s">
        <v>51</v>
      </c>
      <c r="B102" s="12">
        <f>AVERAGE(B86:B100)</f>
        <v>5</v>
      </c>
      <c r="C102" s="12">
        <f>AVERAGE(C86:C100)</f>
        <v>5</v>
      </c>
      <c r="D102" s="12">
        <f>AVERAGE(D86:D100)</f>
        <v>5</v>
      </c>
      <c r="E102" s="18">
        <f>AVERAGE(E86:E100)</f>
        <v>5</v>
      </c>
      <c r="F102" s="2">
        <f>'Tabelle 1'!G111</f>
        <v>15</v>
      </c>
      <c r="Y102" s="1">
        <v>3</v>
      </c>
    </row>
    <row r="103" spans="1:25" x14ac:dyDescent="0.25">
      <c r="A103" s="20" t="s">
        <v>52</v>
      </c>
      <c r="B103" s="12">
        <f>STDEV(B86:B100)</f>
        <v>0</v>
      </c>
      <c r="C103" s="12">
        <f>STDEV(C86:C100)</f>
        <v>0</v>
      </c>
      <c r="D103" s="12">
        <f>STDEV(D86:D100)</f>
        <v>0</v>
      </c>
      <c r="E103" s="18">
        <f>STDEV(E86:E100)</f>
        <v>0</v>
      </c>
      <c r="Y103" s="1">
        <v>3</v>
      </c>
    </row>
    <row r="104" spans="1:25" x14ac:dyDescent="0.25">
      <c r="Y104" s="1">
        <v>3</v>
      </c>
    </row>
    <row r="105" spans="1:25" x14ac:dyDescent="0.25">
      <c r="Y105" s="1">
        <v>3</v>
      </c>
    </row>
    <row r="106" spans="1:25" x14ac:dyDescent="0.25">
      <c r="A106" s="9">
        <f>'Tabelle 1'!A114</f>
        <v>6</v>
      </c>
      <c r="B106" s="20" t="s">
        <v>39</v>
      </c>
      <c r="C106" s="20" t="s">
        <v>40</v>
      </c>
      <c r="D106" s="20" t="s">
        <v>41</v>
      </c>
      <c r="E106" s="20" t="s">
        <v>42</v>
      </c>
      <c r="H106" s="34" t="s">
        <v>43</v>
      </c>
      <c r="Y106" s="1">
        <v>3</v>
      </c>
    </row>
    <row r="107" spans="1:25" x14ac:dyDescent="0.25">
      <c r="A107" s="12">
        <v>1</v>
      </c>
      <c r="B107" s="12">
        <f>VLOOKUP('Tabelle 1'!B116,'Degree of Symptoms'!$J$9:$K$13,2)</f>
        <v>5</v>
      </c>
      <c r="C107" s="12">
        <f>VLOOKUP('Tabelle 1'!C116,'Degree of Symptoms'!$J$13:$K$22,2)</f>
        <v>5</v>
      </c>
      <c r="D107" s="12">
        <f>VLOOKUP('Tabelle 1'!D116,'Degree of Symptoms'!$J$26:$K$30,2)</f>
        <v>5</v>
      </c>
      <c r="E107" s="18">
        <f t="shared" ref="E107:E121" si="6">AVERAGE(B107:D107)</f>
        <v>5</v>
      </c>
      <c r="G107" s="35" t="s">
        <v>44</v>
      </c>
      <c r="H107" s="1">
        <f>COUNTIFS($E$107:$E$121,"&lt;1,99",$E$107:$E$121,"&gt;=1")</f>
        <v>0</v>
      </c>
      <c r="Y107" s="1">
        <v>3</v>
      </c>
    </row>
    <row r="108" spans="1:25" x14ac:dyDescent="0.25">
      <c r="A108" s="12">
        <v>2</v>
      </c>
      <c r="B108" s="12">
        <f>VLOOKUP('Tabelle 1'!B117,'Degree of Symptoms'!$J$9:$K$13,2)</f>
        <v>5</v>
      </c>
      <c r="C108" s="12">
        <f>VLOOKUP('Tabelle 1'!C117,'Degree of Symptoms'!$J$13:$K$22,2)</f>
        <v>5</v>
      </c>
      <c r="D108" s="12">
        <f>VLOOKUP('Tabelle 1'!D117,'Degree of Symptoms'!$J$26:$K$30,2)</f>
        <v>5</v>
      </c>
      <c r="E108" s="18">
        <f t="shared" si="6"/>
        <v>5</v>
      </c>
      <c r="G108" s="35" t="s">
        <v>45</v>
      </c>
      <c r="H108" s="1">
        <f>COUNTIFS($E$107:$E$121,"&lt;2,99",$E$107:$E$121,"&gt;=2")</f>
        <v>0</v>
      </c>
      <c r="Y108" s="1">
        <v>3</v>
      </c>
    </row>
    <row r="109" spans="1:25" x14ac:dyDescent="0.25">
      <c r="A109" s="12">
        <v>3</v>
      </c>
      <c r="B109" s="12">
        <f>VLOOKUP('Tabelle 1'!B118,'Degree of Symptoms'!$J$9:$K$13,2)</f>
        <v>5</v>
      </c>
      <c r="C109" s="12">
        <f>VLOOKUP('Tabelle 1'!C118,'Degree of Symptoms'!$J$13:$K$22,2)</f>
        <v>5</v>
      </c>
      <c r="D109" s="12">
        <f>VLOOKUP('Tabelle 1'!D118,'Degree of Symptoms'!$J$26:$K$30,2)</f>
        <v>5</v>
      </c>
      <c r="E109" s="18">
        <f t="shared" si="6"/>
        <v>5</v>
      </c>
      <c r="G109" s="35" t="s">
        <v>47</v>
      </c>
      <c r="H109" s="1">
        <f>COUNTIFS($E$107:$E$121,"&lt;3,99",$E$107:$E$121,"&gt;=3")</f>
        <v>0</v>
      </c>
      <c r="Y109" s="1">
        <v>3</v>
      </c>
    </row>
    <row r="110" spans="1:25" x14ac:dyDescent="0.25">
      <c r="A110" s="12">
        <v>4</v>
      </c>
      <c r="B110" s="12">
        <f>VLOOKUP('Tabelle 1'!B119,'Degree of Symptoms'!$J$9:$K$13,2)</f>
        <v>5</v>
      </c>
      <c r="C110" s="12">
        <f>VLOOKUP('Tabelle 1'!C119,'Degree of Symptoms'!$J$13:$K$22,2)</f>
        <v>5</v>
      </c>
      <c r="D110" s="12">
        <f>VLOOKUP('Tabelle 1'!D119,'Degree of Symptoms'!$J$26:$K$30,2)</f>
        <v>5</v>
      </c>
      <c r="E110" s="18">
        <f t="shared" si="6"/>
        <v>5</v>
      </c>
      <c r="G110" s="35" t="s">
        <v>49</v>
      </c>
      <c r="H110" s="1">
        <f>COUNTIFS($E$107:$E$121,"&lt;4,99",$E$107:$E$121,"&gt;=4")</f>
        <v>0</v>
      </c>
      <c r="Y110" s="1">
        <v>3</v>
      </c>
    </row>
    <row r="111" spans="1:25" x14ac:dyDescent="0.25">
      <c r="A111" s="12">
        <v>5</v>
      </c>
      <c r="B111" s="12">
        <f>VLOOKUP('Tabelle 1'!B120,'Degree of Symptoms'!$J$9:$K$13,2)</f>
        <v>5</v>
      </c>
      <c r="C111" s="12">
        <f>VLOOKUP('Tabelle 1'!C120,'Degree of Symptoms'!$J$13:$K$22,2)</f>
        <v>5</v>
      </c>
      <c r="D111" s="12">
        <f>VLOOKUP('Tabelle 1'!D120,'Degree of Symptoms'!$J$26:$K$30,2)</f>
        <v>5</v>
      </c>
      <c r="E111" s="18">
        <f t="shared" si="6"/>
        <v>5</v>
      </c>
      <c r="G111" s="35">
        <v>5</v>
      </c>
      <c r="H111" s="1">
        <f>COUNTIF($E$107:$E$121,"&gt;=5")</f>
        <v>15</v>
      </c>
      <c r="Y111" s="1">
        <v>3</v>
      </c>
    </row>
    <row r="112" spans="1:25" x14ac:dyDescent="0.25">
      <c r="A112" s="12">
        <v>6</v>
      </c>
      <c r="B112" s="12">
        <f>VLOOKUP('Tabelle 1'!B121,'Degree of Symptoms'!$J$9:$K$13,2)</f>
        <v>5</v>
      </c>
      <c r="C112" s="12">
        <f>VLOOKUP('Tabelle 1'!C121,'Degree of Symptoms'!$J$13:$K$22,2)</f>
        <v>5</v>
      </c>
      <c r="D112" s="12">
        <f>VLOOKUP('Tabelle 1'!D121,'Degree of Symptoms'!$J$26:$K$30,2)</f>
        <v>5</v>
      </c>
      <c r="E112" s="18">
        <f t="shared" si="6"/>
        <v>5</v>
      </c>
      <c r="H112" s="1">
        <f>SUM(H107:H111)</f>
        <v>15</v>
      </c>
      <c r="Y112" s="1">
        <v>3</v>
      </c>
    </row>
    <row r="113" spans="1:25" x14ac:dyDescent="0.25">
      <c r="A113" s="12">
        <v>7</v>
      </c>
      <c r="B113" s="12">
        <f>VLOOKUP('Tabelle 1'!B122,'Degree of Symptoms'!$J$9:$K$13,2)</f>
        <v>5</v>
      </c>
      <c r="C113" s="12">
        <f>VLOOKUP('Tabelle 1'!C122,'Degree of Symptoms'!$J$13:$K$22,2)</f>
        <v>5</v>
      </c>
      <c r="D113" s="12">
        <f>VLOOKUP('Tabelle 1'!D122,'Degree of Symptoms'!$J$26:$K$30,2)</f>
        <v>5</v>
      </c>
      <c r="E113" s="18">
        <f t="shared" si="6"/>
        <v>5</v>
      </c>
      <c r="Y113" s="1">
        <v>3</v>
      </c>
    </row>
    <row r="114" spans="1:25" x14ac:dyDescent="0.25">
      <c r="A114" s="12">
        <v>8</v>
      </c>
      <c r="B114" s="12">
        <f>VLOOKUP('Tabelle 1'!B123,'Degree of Symptoms'!$J$9:$K$13,2)</f>
        <v>5</v>
      </c>
      <c r="C114" s="12">
        <f>VLOOKUP('Tabelle 1'!C123,'Degree of Symptoms'!$J$13:$K$22,2)</f>
        <v>5</v>
      </c>
      <c r="D114" s="12">
        <f>VLOOKUP('Tabelle 1'!D123,'Degree of Symptoms'!$J$26:$K$30,2)</f>
        <v>5</v>
      </c>
      <c r="E114" s="18">
        <f t="shared" si="6"/>
        <v>5</v>
      </c>
      <c r="Y114" s="1">
        <v>4</v>
      </c>
    </row>
    <row r="115" spans="1:25" x14ac:dyDescent="0.25">
      <c r="A115" s="12">
        <v>9</v>
      </c>
      <c r="B115" s="12">
        <f>VLOOKUP('Tabelle 1'!B124,'Degree of Symptoms'!$J$9:$K$13,2)</f>
        <v>5</v>
      </c>
      <c r="C115" s="12">
        <f>VLOOKUP('Tabelle 1'!C124,'Degree of Symptoms'!$J$13:$K$22,2)</f>
        <v>5</v>
      </c>
      <c r="D115" s="12">
        <f>VLOOKUP('Tabelle 1'!D124,'Degree of Symptoms'!$J$26:$K$30,2)</f>
        <v>5</v>
      </c>
      <c r="E115" s="18">
        <f t="shared" si="6"/>
        <v>5</v>
      </c>
      <c r="G115" s="34"/>
      <c r="H115" s="34"/>
      <c r="I115" s="34"/>
      <c r="Y115" s="1">
        <v>4</v>
      </c>
    </row>
    <row r="116" spans="1:25" x14ac:dyDescent="0.25">
      <c r="A116" s="12">
        <v>10</v>
      </c>
      <c r="B116" s="12">
        <f>VLOOKUP('Tabelle 1'!B125,'Degree of Symptoms'!$J$9:$K$13,2)</f>
        <v>5</v>
      </c>
      <c r="C116" s="12">
        <f>VLOOKUP('Tabelle 1'!C125,'Degree of Symptoms'!$J$13:$K$22,2)</f>
        <v>5</v>
      </c>
      <c r="D116" s="12">
        <f>VLOOKUP('Tabelle 1'!D125,'Degree of Symptoms'!$J$26:$K$30,2)</f>
        <v>5</v>
      </c>
      <c r="E116" s="18">
        <f t="shared" si="6"/>
        <v>5</v>
      </c>
      <c r="G116" s="34"/>
      <c r="H116" s="2"/>
      <c r="I116" s="2"/>
      <c r="Y116" s="1">
        <v>4</v>
      </c>
    </row>
    <row r="117" spans="1:25" x14ac:dyDescent="0.25">
      <c r="A117" s="12">
        <v>11</v>
      </c>
      <c r="B117" s="12">
        <f>VLOOKUP('Tabelle 1'!B126,'Degree of Symptoms'!$J$9:$K$13,2)</f>
        <v>5</v>
      </c>
      <c r="C117" s="12">
        <f>VLOOKUP('Tabelle 1'!C126,'Degree of Symptoms'!$J$13:$K$22,2)</f>
        <v>5</v>
      </c>
      <c r="D117" s="12">
        <f>VLOOKUP('Tabelle 1'!D126,'Degree of Symptoms'!$J$26:$K$30,2)</f>
        <v>5</v>
      </c>
      <c r="E117" s="18">
        <f t="shared" si="6"/>
        <v>5</v>
      </c>
      <c r="G117" s="34"/>
      <c r="H117" s="2"/>
      <c r="I117" s="2"/>
      <c r="Y117" s="1">
        <v>4</v>
      </c>
    </row>
    <row r="118" spans="1:25" x14ac:dyDescent="0.25">
      <c r="A118" s="12">
        <v>12</v>
      </c>
      <c r="B118" s="12">
        <f>VLOOKUP('Tabelle 1'!B127,'Degree of Symptoms'!$J$9:$K$13,2)</f>
        <v>5</v>
      </c>
      <c r="C118" s="12">
        <f>VLOOKUP('Tabelle 1'!C127,'Degree of Symptoms'!$J$13:$K$22,2)</f>
        <v>5</v>
      </c>
      <c r="D118" s="12">
        <f>VLOOKUP('Tabelle 1'!D127,'Degree of Symptoms'!$J$26:$K$30,2)</f>
        <v>5</v>
      </c>
      <c r="E118" s="18">
        <f t="shared" si="6"/>
        <v>5</v>
      </c>
      <c r="G118" s="34"/>
      <c r="H118" s="2"/>
      <c r="I118" s="2"/>
      <c r="Y118" s="1">
        <v>4</v>
      </c>
    </row>
    <row r="119" spans="1:25" x14ac:dyDescent="0.25">
      <c r="A119" s="12">
        <v>13</v>
      </c>
      <c r="B119" s="12">
        <f>VLOOKUP('Tabelle 1'!B128,'Degree of Symptoms'!$J$9:$K$13,2)</f>
        <v>5</v>
      </c>
      <c r="C119" s="12">
        <f>VLOOKUP('Tabelle 1'!C128,'Degree of Symptoms'!$J$13:$K$22,2)</f>
        <v>5</v>
      </c>
      <c r="D119" s="12">
        <f>VLOOKUP('Tabelle 1'!D128,'Degree of Symptoms'!$J$26:$K$30,2)</f>
        <v>5</v>
      </c>
      <c r="E119" s="18">
        <f t="shared" si="6"/>
        <v>5</v>
      </c>
      <c r="G119" s="34"/>
      <c r="H119" s="2"/>
      <c r="I119" s="2"/>
      <c r="Y119" s="1">
        <v>4</v>
      </c>
    </row>
    <row r="120" spans="1:25" x14ac:dyDescent="0.25">
      <c r="A120" s="12">
        <v>14</v>
      </c>
      <c r="B120" s="12">
        <f>VLOOKUP('Tabelle 1'!B129,'Degree of Symptoms'!$J$9:$K$13,2)</f>
        <v>5</v>
      </c>
      <c r="C120" s="12">
        <f>VLOOKUP('Tabelle 1'!C129,'Degree of Symptoms'!$J$13:$K$22,2)</f>
        <v>5</v>
      </c>
      <c r="D120" s="12">
        <f>VLOOKUP('Tabelle 1'!D129,'Degree of Symptoms'!$J$26:$K$30,2)</f>
        <v>5</v>
      </c>
      <c r="E120" s="18">
        <f t="shared" si="6"/>
        <v>5</v>
      </c>
      <c r="G120" s="34"/>
      <c r="H120" s="2"/>
      <c r="I120" s="2"/>
      <c r="Y120" s="1">
        <v>4</v>
      </c>
    </row>
    <row r="121" spans="1:25" x14ac:dyDescent="0.25">
      <c r="A121" s="12">
        <v>15</v>
      </c>
      <c r="B121" s="12">
        <f>VLOOKUP('Tabelle 1'!B130,'Degree of Symptoms'!$J$9:$K$13,2)</f>
        <v>5</v>
      </c>
      <c r="C121" s="12">
        <f>VLOOKUP('Tabelle 1'!C130,'Degree of Symptoms'!$J$13:$K$22,2)</f>
        <v>5</v>
      </c>
      <c r="D121" s="12">
        <f>VLOOKUP('Tabelle 1'!D130,'Degree of Symptoms'!$J$26:$K$30,2)</f>
        <v>5</v>
      </c>
      <c r="E121" s="18">
        <f t="shared" si="6"/>
        <v>5</v>
      </c>
      <c r="Y121" s="1">
        <v>4</v>
      </c>
    </row>
    <row r="122" spans="1:25" x14ac:dyDescent="0.25">
      <c r="A122" s="12"/>
      <c r="B122" s="12"/>
      <c r="C122" s="12"/>
      <c r="D122" s="12"/>
      <c r="E122" s="18"/>
      <c r="F122" s="2" t="s">
        <v>13</v>
      </c>
    </row>
    <row r="123" spans="1:25" x14ac:dyDescent="0.25">
      <c r="A123" s="20" t="s">
        <v>51</v>
      </c>
      <c r="B123" s="12">
        <f>AVERAGE(B107:B121)</f>
        <v>5</v>
      </c>
      <c r="C123" s="12">
        <f>AVERAGE(C107:C121)</f>
        <v>5</v>
      </c>
      <c r="D123" s="12">
        <f>AVERAGE(D107:D121)</f>
        <v>5</v>
      </c>
      <c r="E123" s="18">
        <f>AVERAGE(E107:E121)</f>
        <v>5</v>
      </c>
      <c r="F123" s="2">
        <f>'Tabelle 1'!G132</f>
        <v>15</v>
      </c>
    </row>
    <row r="124" spans="1:25" x14ac:dyDescent="0.25">
      <c r="A124" s="20" t="s">
        <v>52</v>
      </c>
      <c r="B124" s="12">
        <f>STDEV(B107:B121)</f>
        <v>0</v>
      </c>
      <c r="C124" s="12">
        <f>STDEV(C107:C121)</f>
        <v>0</v>
      </c>
      <c r="D124" s="12">
        <f>STDEV(D107:D121)</f>
        <v>0</v>
      </c>
      <c r="E124" s="18">
        <f>STDEV(E107:E121)</f>
        <v>0</v>
      </c>
    </row>
    <row r="127" spans="1:25" x14ac:dyDescent="0.25">
      <c r="A127" s="9">
        <f>'Tabelle 1'!A135</f>
        <v>7</v>
      </c>
      <c r="B127" s="20" t="s">
        <v>39</v>
      </c>
      <c r="C127" s="20" t="s">
        <v>40</v>
      </c>
      <c r="D127" s="20" t="s">
        <v>41</v>
      </c>
      <c r="E127" s="20" t="s">
        <v>42</v>
      </c>
      <c r="H127" s="34" t="s">
        <v>43</v>
      </c>
    </row>
    <row r="128" spans="1:25" x14ac:dyDescent="0.25">
      <c r="A128" s="12">
        <v>1</v>
      </c>
      <c r="B128" s="12">
        <f>VLOOKUP('Tabelle 1'!B137,'Degree of Symptoms'!$J$9:$K$13,2)</f>
        <v>5</v>
      </c>
      <c r="C128" s="12">
        <f>VLOOKUP('Tabelle 1'!C137,'Degree of Symptoms'!$J$13:$K$22,2)</f>
        <v>5</v>
      </c>
      <c r="D128" s="12">
        <f>VLOOKUP('Tabelle 1'!D137,'Degree of Symptoms'!$J$26:$K$30,2)</f>
        <v>5</v>
      </c>
      <c r="E128" s="18">
        <f t="shared" ref="E128:E142" si="7">AVERAGE(B128:D128)</f>
        <v>5</v>
      </c>
      <c r="G128" s="35" t="s">
        <v>44</v>
      </c>
      <c r="H128" s="1">
        <f>COUNTIFS($E$128:$E$142,"&lt;1,99",$E$128:$E$142,"&gt;=1")</f>
        <v>0</v>
      </c>
    </row>
    <row r="129" spans="1:8" x14ac:dyDescent="0.25">
      <c r="A129" s="12">
        <v>2</v>
      </c>
      <c r="B129" s="12">
        <f>VLOOKUP('Tabelle 1'!B138,'Degree of Symptoms'!$J$9:$K$13,2)</f>
        <v>5</v>
      </c>
      <c r="C129" s="12">
        <f>VLOOKUP('Tabelle 1'!C138,'Degree of Symptoms'!$J$13:$K$22,2)</f>
        <v>5</v>
      </c>
      <c r="D129" s="12">
        <f>VLOOKUP('Tabelle 1'!D138,'Degree of Symptoms'!$J$26:$K$30,2)</f>
        <v>5</v>
      </c>
      <c r="E129" s="18">
        <f t="shared" si="7"/>
        <v>5</v>
      </c>
      <c r="G129" s="35" t="s">
        <v>45</v>
      </c>
      <c r="H129" s="1">
        <f>COUNTIFS($E$128:$E$142,"&lt;2,99",$E$128:$E$142,"&gt;=2")</f>
        <v>0</v>
      </c>
    </row>
    <row r="130" spans="1:8" x14ac:dyDescent="0.25">
      <c r="A130" s="12">
        <v>3</v>
      </c>
      <c r="B130" s="12">
        <f>VLOOKUP('Tabelle 1'!B139,'Degree of Symptoms'!$J$9:$K$13,2)</f>
        <v>5</v>
      </c>
      <c r="C130" s="12">
        <f>VLOOKUP('Tabelle 1'!C139,'Degree of Symptoms'!$J$13:$K$22,2)</f>
        <v>5</v>
      </c>
      <c r="D130" s="12">
        <f>VLOOKUP('Tabelle 1'!D139,'Degree of Symptoms'!$J$26:$K$30,2)</f>
        <v>5</v>
      </c>
      <c r="E130" s="18">
        <f t="shared" si="7"/>
        <v>5</v>
      </c>
      <c r="G130" s="35" t="s">
        <v>47</v>
      </c>
      <c r="H130" s="1">
        <f>COUNTIFS($E$128:$E$142,"&lt;3,99",$E$128:$E$142,"&gt;=3")</f>
        <v>0</v>
      </c>
    </row>
    <row r="131" spans="1:8" x14ac:dyDescent="0.25">
      <c r="A131" s="12">
        <v>4</v>
      </c>
      <c r="B131" s="12">
        <f>VLOOKUP('Tabelle 1'!B140,'Degree of Symptoms'!$J$9:$K$13,2)</f>
        <v>5</v>
      </c>
      <c r="C131" s="12">
        <f>VLOOKUP('Tabelle 1'!C140,'Degree of Symptoms'!$J$13:$K$22,2)</f>
        <v>5</v>
      </c>
      <c r="D131" s="12">
        <f>VLOOKUP('Tabelle 1'!D140,'Degree of Symptoms'!$J$26:$K$30,2)</f>
        <v>5</v>
      </c>
      <c r="E131" s="18">
        <f t="shared" si="7"/>
        <v>5</v>
      </c>
      <c r="G131" s="35" t="s">
        <v>49</v>
      </c>
      <c r="H131" s="1">
        <f>COUNTIFS($E$128:$E$142,"&lt;4,99",$E$128:$E$142,"&gt;=4")</f>
        <v>0</v>
      </c>
    </row>
    <row r="132" spans="1:8" x14ac:dyDescent="0.25">
      <c r="A132" s="12">
        <v>5</v>
      </c>
      <c r="B132" s="12">
        <f>VLOOKUP('Tabelle 1'!B141,'Degree of Symptoms'!$J$9:$K$13,2)</f>
        <v>5</v>
      </c>
      <c r="C132" s="12">
        <f>VLOOKUP('Tabelle 1'!C141,'Degree of Symptoms'!$J$13:$K$22,2)</f>
        <v>5</v>
      </c>
      <c r="D132" s="12">
        <f>VLOOKUP('Tabelle 1'!D141,'Degree of Symptoms'!$J$26:$K$30,2)</f>
        <v>5</v>
      </c>
      <c r="E132" s="18">
        <f t="shared" si="7"/>
        <v>5</v>
      </c>
      <c r="G132" s="35">
        <v>5</v>
      </c>
      <c r="H132" s="1">
        <f>COUNTIF($E$128:$E$142,"&gt;=5")</f>
        <v>15</v>
      </c>
    </row>
    <row r="133" spans="1:8" x14ac:dyDescent="0.25">
      <c r="A133" s="12">
        <v>6</v>
      </c>
      <c r="B133" s="12">
        <f>VLOOKUP('Tabelle 1'!B142,'Degree of Symptoms'!$J$9:$K$13,2)</f>
        <v>5</v>
      </c>
      <c r="C133" s="12">
        <f>VLOOKUP('Tabelle 1'!C142,'Degree of Symptoms'!$J$13:$K$22,2)</f>
        <v>5</v>
      </c>
      <c r="D133" s="12">
        <f>VLOOKUP('Tabelle 1'!D142,'Degree of Symptoms'!$J$26:$K$30,2)</f>
        <v>5</v>
      </c>
      <c r="E133" s="18">
        <f t="shared" si="7"/>
        <v>5</v>
      </c>
      <c r="H133" s="1">
        <f>SUM(H128:H132)</f>
        <v>15</v>
      </c>
    </row>
    <row r="134" spans="1:8" x14ac:dyDescent="0.25">
      <c r="A134" s="12">
        <v>7</v>
      </c>
      <c r="B134" s="12">
        <f>VLOOKUP('Tabelle 1'!B143,'Degree of Symptoms'!$J$9:$K$13,2)</f>
        <v>5</v>
      </c>
      <c r="C134" s="12">
        <f>VLOOKUP('Tabelle 1'!C143,'Degree of Symptoms'!$J$13:$K$22,2)</f>
        <v>5</v>
      </c>
      <c r="D134" s="12">
        <f>VLOOKUP('Tabelle 1'!D143,'Degree of Symptoms'!$J$26:$K$30,2)</f>
        <v>5</v>
      </c>
      <c r="E134" s="18">
        <f t="shared" si="7"/>
        <v>5</v>
      </c>
    </row>
    <row r="135" spans="1:8" x14ac:dyDescent="0.25">
      <c r="A135" s="12">
        <v>8</v>
      </c>
      <c r="B135" s="12">
        <f>VLOOKUP('Tabelle 1'!B144,'Degree of Symptoms'!$J$9:$K$13,2)</f>
        <v>5</v>
      </c>
      <c r="C135" s="12">
        <f>VLOOKUP('Tabelle 1'!C144,'Degree of Symptoms'!$J$13:$K$22,2)</f>
        <v>5</v>
      </c>
      <c r="D135" s="12">
        <f>VLOOKUP('Tabelle 1'!D144,'Degree of Symptoms'!$J$26:$K$30,2)</f>
        <v>5</v>
      </c>
      <c r="E135" s="18">
        <f t="shared" si="7"/>
        <v>5</v>
      </c>
    </row>
    <row r="136" spans="1:8" x14ac:dyDescent="0.25">
      <c r="A136" s="12">
        <v>9</v>
      </c>
      <c r="B136" s="12">
        <f>VLOOKUP('Tabelle 1'!B145,'Degree of Symptoms'!$J$9:$K$13,2)</f>
        <v>5</v>
      </c>
      <c r="C136" s="12">
        <f>VLOOKUP('Tabelle 1'!C145,'Degree of Symptoms'!$J$13:$K$22,2)</f>
        <v>5</v>
      </c>
      <c r="D136" s="12">
        <f>VLOOKUP('Tabelle 1'!D145,'Degree of Symptoms'!$J$26:$K$30,2)</f>
        <v>5</v>
      </c>
      <c r="E136" s="18">
        <f t="shared" si="7"/>
        <v>5</v>
      </c>
      <c r="G136" s="34"/>
      <c r="H136" s="34"/>
    </row>
    <row r="137" spans="1:8" x14ac:dyDescent="0.25">
      <c r="A137" s="12">
        <v>10</v>
      </c>
      <c r="B137" s="12">
        <f>VLOOKUP('Tabelle 1'!B146,'Degree of Symptoms'!$J$9:$K$13,2)</f>
        <v>5</v>
      </c>
      <c r="C137" s="12">
        <f>VLOOKUP('Tabelle 1'!C146,'Degree of Symptoms'!$J$13:$K$22,2)</f>
        <v>5</v>
      </c>
      <c r="D137" s="12">
        <f>VLOOKUP('Tabelle 1'!D146,'Degree of Symptoms'!$J$26:$K$30,2)</f>
        <v>5</v>
      </c>
      <c r="E137" s="18">
        <f t="shared" si="7"/>
        <v>5</v>
      </c>
      <c r="G137" s="34"/>
      <c r="H137" s="2"/>
    </row>
    <row r="138" spans="1:8" x14ac:dyDescent="0.25">
      <c r="A138" s="12">
        <v>11</v>
      </c>
      <c r="B138" s="12">
        <f>VLOOKUP('Tabelle 1'!B147,'Degree of Symptoms'!$J$9:$K$13,2)</f>
        <v>5</v>
      </c>
      <c r="C138" s="12">
        <f>VLOOKUP('Tabelle 1'!C147,'Degree of Symptoms'!$J$13:$K$22,2)</f>
        <v>5</v>
      </c>
      <c r="D138" s="12">
        <f>VLOOKUP('Tabelle 1'!D147,'Degree of Symptoms'!$J$26:$K$30,2)</f>
        <v>5</v>
      </c>
      <c r="E138" s="18">
        <f t="shared" si="7"/>
        <v>5</v>
      </c>
      <c r="G138" s="34"/>
      <c r="H138" s="2"/>
    </row>
    <row r="139" spans="1:8" x14ac:dyDescent="0.25">
      <c r="A139" s="12">
        <v>12</v>
      </c>
      <c r="B139" s="12">
        <f>VLOOKUP('Tabelle 1'!B148,'Degree of Symptoms'!$J$9:$K$13,2)</f>
        <v>5</v>
      </c>
      <c r="C139" s="12">
        <f>VLOOKUP('Tabelle 1'!C148,'Degree of Symptoms'!$J$13:$K$22,2)</f>
        <v>5</v>
      </c>
      <c r="D139" s="12">
        <f>VLOOKUP('Tabelle 1'!D148,'Degree of Symptoms'!$J$26:$K$30,2)</f>
        <v>5</v>
      </c>
      <c r="E139" s="18">
        <f t="shared" si="7"/>
        <v>5</v>
      </c>
      <c r="G139" s="34"/>
      <c r="H139" s="2"/>
    </row>
    <row r="140" spans="1:8" x14ac:dyDescent="0.25">
      <c r="A140" s="12">
        <v>13</v>
      </c>
      <c r="B140" s="12">
        <f>VLOOKUP('Tabelle 1'!B149,'Degree of Symptoms'!$J$9:$K$13,2)</f>
        <v>5</v>
      </c>
      <c r="C140" s="12">
        <f>VLOOKUP('Tabelle 1'!C149,'Degree of Symptoms'!$J$13:$K$22,2)</f>
        <v>5</v>
      </c>
      <c r="D140" s="12">
        <f>VLOOKUP('Tabelle 1'!D149,'Degree of Symptoms'!$J$26:$K$30,2)</f>
        <v>5</v>
      </c>
      <c r="E140" s="18">
        <f t="shared" si="7"/>
        <v>5</v>
      </c>
      <c r="G140" s="34"/>
      <c r="H140" s="2"/>
    </row>
    <row r="141" spans="1:8" x14ac:dyDescent="0.25">
      <c r="A141" s="12">
        <v>14</v>
      </c>
      <c r="B141" s="12">
        <f>VLOOKUP('Tabelle 1'!B150,'Degree of Symptoms'!$J$9:$K$13,2)</f>
        <v>5</v>
      </c>
      <c r="C141" s="12">
        <f>VLOOKUP('Tabelle 1'!C150,'Degree of Symptoms'!$J$13:$K$22,2)</f>
        <v>5</v>
      </c>
      <c r="D141" s="12">
        <f>VLOOKUP('Tabelle 1'!D150,'Degree of Symptoms'!$J$26:$K$30,2)</f>
        <v>5</v>
      </c>
      <c r="E141" s="18">
        <f t="shared" si="7"/>
        <v>5</v>
      </c>
      <c r="G141" s="34"/>
      <c r="H141" s="2"/>
    </row>
    <row r="142" spans="1:8" x14ac:dyDescent="0.25">
      <c r="A142" s="12">
        <v>15</v>
      </c>
      <c r="B142" s="12">
        <f>VLOOKUP('Tabelle 1'!B151,'Degree of Symptoms'!$J$9:$K$13,2)</f>
        <v>5</v>
      </c>
      <c r="C142" s="12">
        <f>VLOOKUP('Tabelle 1'!C151,'Degree of Symptoms'!$J$13:$K$22,2)</f>
        <v>5</v>
      </c>
      <c r="D142" s="12">
        <f>VLOOKUP('Tabelle 1'!D151,'Degree of Symptoms'!$J$26:$K$30,2)</f>
        <v>5</v>
      </c>
      <c r="E142" s="18">
        <f t="shared" si="7"/>
        <v>5</v>
      </c>
    </row>
    <row r="143" spans="1:8" x14ac:dyDescent="0.25">
      <c r="A143" s="12"/>
      <c r="B143" s="12"/>
      <c r="C143" s="12"/>
      <c r="D143" s="12"/>
      <c r="E143" s="18"/>
      <c r="F143" s="2" t="s">
        <v>13</v>
      </c>
    </row>
    <row r="144" spans="1:8" x14ac:dyDescent="0.25">
      <c r="A144" s="20" t="s">
        <v>51</v>
      </c>
      <c r="B144" s="12">
        <f>AVERAGE(B128:B142)</f>
        <v>5</v>
      </c>
      <c r="C144" s="12">
        <f>AVERAGE(C128:C142)</f>
        <v>5</v>
      </c>
      <c r="D144" s="12">
        <f>AVERAGE(D128:D142)</f>
        <v>5</v>
      </c>
      <c r="E144" s="18">
        <f>AVERAGE(E128:E142)</f>
        <v>5</v>
      </c>
      <c r="F144" s="2">
        <f>'Tabelle 1'!G153</f>
        <v>15</v>
      </c>
    </row>
    <row r="145" spans="1:9" x14ac:dyDescent="0.25">
      <c r="A145" s="20" t="s">
        <v>52</v>
      </c>
      <c r="B145" s="12">
        <f>STDEV(B128:B142)</f>
        <v>0</v>
      </c>
      <c r="C145" s="12">
        <f>STDEV(C128:C142)</f>
        <v>0</v>
      </c>
      <c r="D145" s="12">
        <f>STDEV(D128:D142)</f>
        <v>0</v>
      </c>
      <c r="E145" s="18">
        <f>STDEV(E128:E142)</f>
        <v>0</v>
      </c>
    </row>
    <row r="148" spans="1:9" x14ac:dyDescent="0.25">
      <c r="A148" s="9">
        <f>'Tabelle 1'!A156</f>
        <v>8</v>
      </c>
      <c r="B148" s="20" t="s">
        <v>39</v>
      </c>
      <c r="C148" s="20" t="s">
        <v>40</v>
      </c>
      <c r="D148" s="20" t="s">
        <v>41</v>
      </c>
      <c r="E148" s="20" t="s">
        <v>42</v>
      </c>
      <c r="H148" s="34" t="s">
        <v>43</v>
      </c>
    </row>
    <row r="149" spans="1:9" x14ac:dyDescent="0.25">
      <c r="A149" s="12">
        <v>1</v>
      </c>
      <c r="B149" s="12">
        <f>VLOOKUP('Tabelle 1'!B158,'Degree of Symptoms'!$J$9:$K$13,2)</f>
        <v>5</v>
      </c>
      <c r="C149" s="12">
        <f>VLOOKUP('Tabelle 1'!C158,'Degree of Symptoms'!$J$13:$K$22,2)</f>
        <v>5</v>
      </c>
      <c r="D149" s="12">
        <f>VLOOKUP('Tabelle 1'!D158,'Degree of Symptoms'!$J$26:$K$30,2)</f>
        <v>5</v>
      </c>
      <c r="E149" s="18">
        <f t="shared" ref="E149:E163" si="8">AVERAGE(B149:D149)</f>
        <v>5</v>
      </c>
      <c r="G149" s="35" t="s">
        <v>44</v>
      </c>
      <c r="H149" s="1">
        <f>COUNTIFS($E$149:$E$163,"&lt;1,99",$E$149:$E$163,"&gt;=1")</f>
        <v>0</v>
      </c>
    </row>
    <row r="150" spans="1:9" x14ac:dyDescent="0.25">
      <c r="A150" s="12">
        <v>2</v>
      </c>
      <c r="B150" s="12">
        <f>VLOOKUP('Tabelle 1'!B159,'Degree of Symptoms'!$J$9:$K$13,2)</f>
        <v>5</v>
      </c>
      <c r="C150" s="12">
        <f>VLOOKUP('Tabelle 1'!C159,'Degree of Symptoms'!$J$13:$K$22,2)</f>
        <v>5</v>
      </c>
      <c r="D150" s="12">
        <f>VLOOKUP('Tabelle 1'!D159,'Degree of Symptoms'!$J$26:$K$30,2)</f>
        <v>5</v>
      </c>
      <c r="E150" s="18">
        <f t="shared" si="8"/>
        <v>5</v>
      </c>
      <c r="G150" s="35" t="s">
        <v>45</v>
      </c>
      <c r="H150" s="1">
        <f>COUNTIFS($E$149:$E$163,"&lt;2,99",$E$149:$E$163,"&gt;=2")</f>
        <v>0</v>
      </c>
    </row>
    <row r="151" spans="1:9" x14ac:dyDescent="0.25">
      <c r="A151" s="12">
        <v>3</v>
      </c>
      <c r="B151" s="12">
        <f>VLOOKUP('Tabelle 1'!B160,'Degree of Symptoms'!$J$9:$K$13,2)</f>
        <v>5</v>
      </c>
      <c r="C151" s="12">
        <f>VLOOKUP('Tabelle 1'!C160,'Degree of Symptoms'!$J$13:$K$22,2)</f>
        <v>5</v>
      </c>
      <c r="D151" s="12">
        <f>VLOOKUP('Tabelle 1'!D160,'Degree of Symptoms'!$J$26:$K$30,2)</f>
        <v>5</v>
      </c>
      <c r="E151" s="18">
        <f t="shared" si="8"/>
        <v>5</v>
      </c>
      <c r="G151" s="35" t="s">
        <v>47</v>
      </c>
      <c r="H151" s="1">
        <f>COUNTIFS($E$149:$E$163,"&lt;3,99",$E$149:$E$163,"&gt;=3")</f>
        <v>0</v>
      </c>
    </row>
    <row r="152" spans="1:9" x14ac:dyDescent="0.25">
      <c r="A152" s="12">
        <v>4</v>
      </c>
      <c r="B152" s="12">
        <f>VLOOKUP('Tabelle 1'!B161,'Degree of Symptoms'!$J$9:$K$13,2)</f>
        <v>5</v>
      </c>
      <c r="C152" s="12">
        <f>VLOOKUP('Tabelle 1'!C161,'Degree of Symptoms'!$J$13:$K$22,2)</f>
        <v>5</v>
      </c>
      <c r="D152" s="12">
        <f>VLOOKUP('Tabelle 1'!D161,'Degree of Symptoms'!$J$26:$K$30,2)</f>
        <v>5</v>
      </c>
      <c r="E152" s="18">
        <f t="shared" si="8"/>
        <v>5</v>
      </c>
      <c r="G152" s="35" t="s">
        <v>49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1'!B162,'Degree of Symptoms'!$J$9:$K$13,2)</f>
        <v>5</v>
      </c>
      <c r="C153" s="12">
        <f>VLOOKUP('Tabelle 1'!C162,'Degree of Symptoms'!$J$13:$K$22,2)</f>
        <v>5</v>
      </c>
      <c r="D153" s="12">
        <f>VLOOKUP('Tabelle 1'!D162,'Degree of Symptoms'!$J$26:$K$30,2)</f>
        <v>5</v>
      </c>
      <c r="E153" s="18">
        <f t="shared" si="8"/>
        <v>5</v>
      </c>
      <c r="G153" s="35">
        <v>5</v>
      </c>
      <c r="H153" s="1">
        <f>COUNTIF($E$149:$E$163,"&gt;=5")</f>
        <v>15</v>
      </c>
    </row>
    <row r="154" spans="1:9" x14ac:dyDescent="0.25">
      <c r="A154" s="12">
        <v>6</v>
      </c>
      <c r="B154" s="12">
        <f>VLOOKUP('Tabelle 1'!B163,'Degree of Symptoms'!$J$9:$K$13,2)</f>
        <v>5</v>
      </c>
      <c r="C154" s="12">
        <f>VLOOKUP('Tabelle 1'!C163,'Degree of Symptoms'!$J$13:$K$22,2)</f>
        <v>5</v>
      </c>
      <c r="D154" s="12">
        <f>VLOOKUP('Tabelle 1'!D163,'Degree of Symptoms'!$J$26:$K$30,2)</f>
        <v>5</v>
      </c>
      <c r="E154" s="18">
        <f t="shared" si="8"/>
        <v>5</v>
      </c>
      <c r="H154" s="1">
        <f>SUM(H149:H153)</f>
        <v>15</v>
      </c>
    </row>
    <row r="155" spans="1:9" x14ac:dyDescent="0.25">
      <c r="A155" s="12">
        <v>7</v>
      </c>
      <c r="B155" s="12">
        <f>VLOOKUP('Tabelle 1'!B164,'Degree of Symptoms'!$J$9:$K$13,2)</f>
        <v>5</v>
      </c>
      <c r="C155" s="12">
        <f>VLOOKUP('Tabelle 1'!C164,'Degree of Symptoms'!$J$13:$K$22,2)</f>
        <v>5</v>
      </c>
      <c r="D155" s="12">
        <f>VLOOKUP('Tabelle 1'!D164,'Degree of Symptoms'!$J$26:$K$30,2)</f>
        <v>5</v>
      </c>
      <c r="E155" s="18">
        <f t="shared" si="8"/>
        <v>5</v>
      </c>
    </row>
    <row r="156" spans="1:9" x14ac:dyDescent="0.25">
      <c r="A156" s="12">
        <v>8</v>
      </c>
      <c r="B156" s="12">
        <f>VLOOKUP('Tabelle 1'!B165,'Degree of Symptoms'!$J$9:$K$13,2)</f>
        <v>5</v>
      </c>
      <c r="C156" s="12">
        <f>VLOOKUP('Tabelle 1'!C165,'Degree of Symptoms'!$J$13:$K$22,2)</f>
        <v>5</v>
      </c>
      <c r="D156" s="12">
        <f>VLOOKUP('Tabelle 1'!D165,'Degree of Symptoms'!$J$26:$K$30,2)</f>
        <v>5</v>
      </c>
      <c r="E156" s="18">
        <f t="shared" si="8"/>
        <v>5</v>
      </c>
    </row>
    <row r="157" spans="1:9" x14ac:dyDescent="0.25">
      <c r="A157" s="12">
        <v>9</v>
      </c>
      <c r="B157" s="12">
        <f>VLOOKUP('Tabelle 1'!B166,'Degree of Symptoms'!$J$9:$K$13,2)</f>
        <v>5</v>
      </c>
      <c r="C157" s="12">
        <f>VLOOKUP('Tabelle 1'!C166,'Degree of Symptoms'!$J$13:$K$22,2)</f>
        <v>5</v>
      </c>
      <c r="D157" s="12">
        <f>VLOOKUP('Tabelle 1'!D166,'Degree of Symptoms'!$J$26:$K$30,2)</f>
        <v>5</v>
      </c>
      <c r="E157" s="18">
        <f t="shared" si="8"/>
        <v>5</v>
      </c>
      <c r="G157" s="34"/>
      <c r="H157" s="34"/>
      <c r="I157" s="34"/>
    </row>
    <row r="158" spans="1:9" x14ac:dyDescent="0.25">
      <c r="A158" s="12">
        <v>10</v>
      </c>
      <c r="B158" s="12">
        <f>VLOOKUP('Tabelle 1'!B167,'Degree of Symptoms'!$J$9:$K$13,2)</f>
        <v>5</v>
      </c>
      <c r="C158" s="12">
        <f>VLOOKUP('Tabelle 1'!C167,'Degree of Symptoms'!$J$13:$K$22,2)</f>
        <v>5</v>
      </c>
      <c r="D158" s="12">
        <f>VLOOKUP('Tabelle 1'!D167,'Degree of Symptoms'!$J$26:$K$30,2)</f>
        <v>5</v>
      </c>
      <c r="E158" s="18">
        <f t="shared" si="8"/>
        <v>5</v>
      </c>
      <c r="G158" s="34"/>
      <c r="H158" s="2"/>
      <c r="I158" s="2"/>
    </row>
    <row r="159" spans="1:9" x14ac:dyDescent="0.25">
      <c r="A159" s="12">
        <v>11</v>
      </c>
      <c r="B159" s="12">
        <f>VLOOKUP('Tabelle 1'!B168,'Degree of Symptoms'!$J$9:$K$13,2)</f>
        <v>5</v>
      </c>
      <c r="C159" s="12">
        <f>VLOOKUP('Tabelle 1'!C168,'Degree of Symptoms'!$J$13:$K$22,2)</f>
        <v>5</v>
      </c>
      <c r="D159" s="12">
        <f>VLOOKUP('Tabelle 1'!D168,'Degree of Symptoms'!$J$26:$K$30,2)</f>
        <v>5</v>
      </c>
      <c r="E159" s="18">
        <f t="shared" si="8"/>
        <v>5</v>
      </c>
      <c r="G159" s="34"/>
      <c r="H159" s="2"/>
      <c r="I159" s="2"/>
    </row>
    <row r="160" spans="1:9" x14ac:dyDescent="0.25">
      <c r="A160" s="12">
        <v>12</v>
      </c>
      <c r="B160" s="12">
        <f>VLOOKUP('Tabelle 1'!B169,'Degree of Symptoms'!$J$9:$K$13,2)</f>
        <v>5</v>
      </c>
      <c r="C160" s="12">
        <f>VLOOKUP('Tabelle 1'!C169,'Degree of Symptoms'!$J$13:$K$22,2)</f>
        <v>5</v>
      </c>
      <c r="D160" s="12">
        <f>VLOOKUP('Tabelle 1'!D169,'Degree of Symptoms'!$J$26:$K$30,2)</f>
        <v>5</v>
      </c>
      <c r="E160" s="18">
        <f t="shared" si="8"/>
        <v>5</v>
      </c>
      <c r="G160" s="34"/>
      <c r="H160" s="2"/>
      <c r="I160" s="2"/>
    </row>
    <row r="161" spans="1:9" x14ac:dyDescent="0.25">
      <c r="A161" s="12">
        <v>13</v>
      </c>
      <c r="B161" s="12">
        <f>VLOOKUP('Tabelle 1'!B170,'Degree of Symptoms'!$J$9:$K$13,2)</f>
        <v>5</v>
      </c>
      <c r="C161" s="12">
        <f>VLOOKUP('Tabelle 1'!C170,'Degree of Symptoms'!$J$13:$K$22,2)</f>
        <v>5</v>
      </c>
      <c r="D161" s="12">
        <f>VLOOKUP('Tabelle 1'!D170,'Degree of Symptoms'!$J$26:$K$30,2)</f>
        <v>5</v>
      </c>
      <c r="E161" s="18">
        <f t="shared" si="8"/>
        <v>5</v>
      </c>
      <c r="G161" s="34"/>
      <c r="H161" s="2"/>
      <c r="I161" s="2"/>
    </row>
    <row r="162" spans="1:9" x14ac:dyDescent="0.25">
      <c r="A162" s="12">
        <v>14</v>
      </c>
      <c r="B162" s="12">
        <f>VLOOKUP('Tabelle 1'!B171,'Degree of Symptoms'!$J$9:$K$13,2)</f>
        <v>5</v>
      </c>
      <c r="C162" s="12">
        <f>VLOOKUP('Tabelle 1'!C171,'Degree of Symptoms'!$J$13:$K$22,2)</f>
        <v>5</v>
      </c>
      <c r="D162" s="12">
        <f>VLOOKUP('Tabelle 1'!D171,'Degree of Symptoms'!$J$26:$K$30,2)</f>
        <v>5</v>
      </c>
      <c r="E162" s="18">
        <f t="shared" si="8"/>
        <v>5</v>
      </c>
      <c r="G162" s="34"/>
      <c r="H162" s="2"/>
      <c r="I162" s="2"/>
    </row>
    <row r="163" spans="1:9" x14ac:dyDescent="0.25">
      <c r="A163" s="12">
        <v>15</v>
      </c>
      <c r="B163" s="12">
        <f>VLOOKUP('Tabelle 1'!B172,'Degree of Symptoms'!$J$9:$K$13,2)</f>
        <v>5</v>
      </c>
      <c r="C163" s="12">
        <f>VLOOKUP('Tabelle 1'!C172,'Degree of Symptoms'!$J$13:$K$22,2)</f>
        <v>5</v>
      </c>
      <c r="D163" s="12">
        <f>VLOOKUP('Tabelle 1'!D172,'Degree of Symptoms'!$J$26:$K$30,2)</f>
        <v>5</v>
      </c>
      <c r="E163" s="18">
        <f t="shared" si="8"/>
        <v>5</v>
      </c>
    </row>
    <row r="164" spans="1:9" x14ac:dyDescent="0.25">
      <c r="A164" s="12"/>
      <c r="B164" s="12"/>
      <c r="C164" s="12"/>
      <c r="D164" s="12"/>
      <c r="E164" s="18"/>
      <c r="F164" s="2" t="s">
        <v>13</v>
      </c>
    </row>
    <row r="165" spans="1:9" x14ac:dyDescent="0.25">
      <c r="A165" s="20" t="s">
        <v>51</v>
      </c>
      <c r="B165" s="12">
        <f>AVERAGE(B149:B163)</f>
        <v>5</v>
      </c>
      <c r="C165" s="12">
        <f>AVERAGE(C149:C163)</f>
        <v>5</v>
      </c>
      <c r="D165" s="12">
        <f>AVERAGE(D149:D163)</f>
        <v>5</v>
      </c>
      <c r="E165" s="18">
        <f>AVERAGE(E149:E163)</f>
        <v>5</v>
      </c>
      <c r="F165" s="2">
        <f>'Tabelle 1'!G174</f>
        <v>15</v>
      </c>
    </row>
    <row r="166" spans="1:9" x14ac:dyDescent="0.25">
      <c r="A166" s="20" t="s">
        <v>52</v>
      </c>
      <c r="B166" s="12">
        <f>STDEV(B149:B163)</f>
        <v>0</v>
      </c>
      <c r="C166" s="12">
        <f>STDEV(C149:C163)</f>
        <v>0</v>
      </c>
      <c r="D166" s="12">
        <f>STDEV(D149:D163)</f>
        <v>0</v>
      </c>
      <c r="E166" s="18">
        <f>STDEV(E149:E163)</f>
        <v>0</v>
      </c>
    </row>
    <row r="169" spans="1:9" x14ac:dyDescent="0.25">
      <c r="A169" s="20">
        <f>'Tabelle 1'!A177</f>
        <v>9</v>
      </c>
      <c r="B169" s="20" t="s">
        <v>39</v>
      </c>
      <c r="C169" s="20" t="s">
        <v>40</v>
      </c>
      <c r="D169" s="20" t="s">
        <v>41</v>
      </c>
      <c r="E169" s="20" t="s">
        <v>42</v>
      </c>
      <c r="H169" s="34" t="s">
        <v>43</v>
      </c>
    </row>
    <row r="170" spans="1:9" x14ac:dyDescent="0.25">
      <c r="A170" s="12">
        <v>1</v>
      </c>
      <c r="B170" s="12">
        <f>VLOOKUP('Tabelle 1'!B179,'Degree of Symptoms'!$J$9:$K$13,2)</f>
        <v>5</v>
      </c>
      <c r="C170" s="12">
        <f>VLOOKUP('Tabelle 1'!C179,'Degree of Symptoms'!$J$13:$K$22,2)</f>
        <v>5</v>
      </c>
      <c r="D170" s="12">
        <f>VLOOKUP('Tabelle 1'!D179,'Degree of Symptoms'!$J$26:$K$30,2)</f>
        <v>5</v>
      </c>
      <c r="E170" s="18">
        <f t="shared" ref="E170:E184" si="9">AVERAGE(B170:D170)</f>
        <v>5</v>
      </c>
      <c r="G170" s="35" t="s">
        <v>44</v>
      </c>
      <c r="H170" s="1">
        <f>COUNTIFS($E$170:$E$184,"&lt;1,99",$E$170:$E$184,"&gt;=1")</f>
        <v>0</v>
      </c>
    </row>
    <row r="171" spans="1:9" x14ac:dyDescent="0.25">
      <c r="A171" s="12">
        <v>2</v>
      </c>
      <c r="B171" s="12">
        <f>VLOOKUP('Tabelle 1'!B180,'Degree of Symptoms'!$J$9:$K$13,2)</f>
        <v>5</v>
      </c>
      <c r="C171" s="12">
        <f>VLOOKUP('Tabelle 1'!C180,'Degree of Symptoms'!$J$13:$K$22,2)</f>
        <v>5</v>
      </c>
      <c r="D171" s="12">
        <f>VLOOKUP('Tabelle 1'!D180,'Degree of Symptoms'!$J$26:$K$30,2)</f>
        <v>5</v>
      </c>
      <c r="E171" s="18">
        <f t="shared" si="9"/>
        <v>5</v>
      </c>
      <c r="G171" s="35" t="s">
        <v>45</v>
      </c>
      <c r="H171" s="1">
        <f>COUNTIFS($E$170:$E$184,"&lt;2,99",$E$170:$E$184,"&gt;=2")</f>
        <v>0</v>
      </c>
    </row>
    <row r="172" spans="1:9" x14ac:dyDescent="0.25">
      <c r="A172" s="12">
        <v>3</v>
      </c>
      <c r="B172" s="12">
        <f>VLOOKUP('Tabelle 1'!B181,'Degree of Symptoms'!$J$9:$K$13,2)</f>
        <v>5</v>
      </c>
      <c r="C172" s="12">
        <f>VLOOKUP('Tabelle 1'!C181,'Degree of Symptoms'!$J$13:$K$22,2)</f>
        <v>5</v>
      </c>
      <c r="D172" s="12">
        <f>VLOOKUP('Tabelle 1'!D181,'Degree of Symptoms'!$J$26:$K$30,2)</f>
        <v>5</v>
      </c>
      <c r="E172" s="18">
        <f t="shared" si="9"/>
        <v>5</v>
      </c>
      <c r="G172" s="35" t="s">
        <v>47</v>
      </c>
      <c r="H172" s="1">
        <f>COUNTIFS($E$170:$E$184,"&lt;3,99",$E$170:$E$184,"&gt;=3")</f>
        <v>0</v>
      </c>
    </row>
    <row r="173" spans="1:9" x14ac:dyDescent="0.25">
      <c r="A173" s="12">
        <v>4</v>
      </c>
      <c r="B173" s="12">
        <f>VLOOKUP('Tabelle 1'!B182,'Degree of Symptoms'!$J$9:$K$13,2)</f>
        <v>5</v>
      </c>
      <c r="C173" s="12">
        <f>VLOOKUP('Tabelle 1'!C182,'Degree of Symptoms'!$J$13:$K$22,2)</f>
        <v>5</v>
      </c>
      <c r="D173" s="12">
        <f>VLOOKUP('Tabelle 1'!D182,'Degree of Symptoms'!$J$26:$K$30,2)</f>
        <v>5</v>
      </c>
      <c r="E173" s="18">
        <f t="shared" si="9"/>
        <v>5</v>
      </c>
      <c r="G173" s="35" t="s">
        <v>49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1'!B183,'Degree of Symptoms'!$J$9:$K$13,2)</f>
        <v>5</v>
      </c>
      <c r="C174" s="12">
        <f>VLOOKUP('Tabelle 1'!C183,'Degree of Symptoms'!$J$13:$K$22,2)</f>
        <v>5</v>
      </c>
      <c r="D174" s="12">
        <f>VLOOKUP('Tabelle 1'!D183,'Degree of Symptoms'!$J$26:$K$30,2)</f>
        <v>5</v>
      </c>
      <c r="E174" s="18">
        <f t="shared" si="9"/>
        <v>5</v>
      </c>
      <c r="G174" s="35">
        <v>5</v>
      </c>
      <c r="H174" s="1">
        <f>COUNTIF($E$170:$E$184,"&gt;=5")</f>
        <v>15</v>
      </c>
    </row>
    <row r="175" spans="1:9" x14ac:dyDescent="0.25">
      <c r="A175" s="12">
        <v>6</v>
      </c>
      <c r="B175" s="12">
        <f>VLOOKUP('Tabelle 1'!B184,'Degree of Symptoms'!$J$9:$K$13,2)</f>
        <v>5</v>
      </c>
      <c r="C175" s="12">
        <f>VLOOKUP('Tabelle 1'!C184,'Degree of Symptoms'!$J$13:$K$22,2)</f>
        <v>5</v>
      </c>
      <c r="D175" s="12">
        <f>VLOOKUP('Tabelle 1'!D184,'Degree of Symptoms'!$J$26:$K$30,2)</f>
        <v>5</v>
      </c>
      <c r="E175" s="18">
        <f t="shared" si="9"/>
        <v>5</v>
      </c>
      <c r="H175" s="1">
        <f>SUM(H170:H174)</f>
        <v>15</v>
      </c>
    </row>
    <row r="176" spans="1:9" x14ac:dyDescent="0.25">
      <c r="A176" s="12">
        <v>7</v>
      </c>
      <c r="B176" s="12">
        <f>VLOOKUP('Tabelle 1'!B185,'Degree of Symptoms'!$J$9:$K$13,2)</f>
        <v>5</v>
      </c>
      <c r="C176" s="12">
        <f>VLOOKUP('Tabelle 1'!C185,'Degree of Symptoms'!$J$13:$K$22,2)</f>
        <v>5</v>
      </c>
      <c r="D176" s="12">
        <f>VLOOKUP('Tabelle 1'!D185,'Degree of Symptoms'!$J$26:$K$30,2)</f>
        <v>5</v>
      </c>
      <c r="E176" s="18">
        <f t="shared" si="9"/>
        <v>5</v>
      </c>
    </row>
    <row r="177" spans="1:9" x14ac:dyDescent="0.25">
      <c r="A177" s="12">
        <v>8</v>
      </c>
      <c r="B177" s="12">
        <f>VLOOKUP('Tabelle 1'!B186,'Degree of Symptoms'!$J$9:$K$13,2)</f>
        <v>5</v>
      </c>
      <c r="C177" s="12">
        <f>VLOOKUP('Tabelle 1'!C186,'Degree of Symptoms'!$J$13:$K$22,2)</f>
        <v>5</v>
      </c>
      <c r="D177" s="12">
        <f>VLOOKUP('Tabelle 1'!D186,'Degree of Symptoms'!$J$26:$K$30,2)</f>
        <v>5</v>
      </c>
      <c r="E177" s="18">
        <f t="shared" si="9"/>
        <v>5</v>
      </c>
    </row>
    <row r="178" spans="1:9" x14ac:dyDescent="0.25">
      <c r="A178" s="12">
        <v>9</v>
      </c>
      <c r="B178" s="12">
        <f>VLOOKUP('Tabelle 1'!B187,'Degree of Symptoms'!$J$9:$K$13,2)</f>
        <v>5</v>
      </c>
      <c r="C178" s="12">
        <f>VLOOKUP('Tabelle 1'!C187,'Degree of Symptoms'!$J$13:$K$22,2)</f>
        <v>5</v>
      </c>
      <c r="D178" s="12">
        <f>VLOOKUP('Tabelle 1'!D187,'Degree of Symptoms'!$J$26:$K$30,2)</f>
        <v>5</v>
      </c>
      <c r="E178" s="18">
        <f t="shared" si="9"/>
        <v>5</v>
      </c>
      <c r="G178" s="34"/>
      <c r="H178" s="34"/>
      <c r="I178" s="34"/>
    </row>
    <row r="179" spans="1:9" x14ac:dyDescent="0.25">
      <c r="A179" s="12">
        <v>10</v>
      </c>
      <c r="B179" s="12">
        <f>VLOOKUP('Tabelle 1'!B188,'Degree of Symptoms'!$J$9:$K$13,2)</f>
        <v>5</v>
      </c>
      <c r="C179" s="12">
        <f>VLOOKUP('Tabelle 1'!C188,'Degree of Symptoms'!$J$13:$K$22,2)</f>
        <v>5</v>
      </c>
      <c r="D179" s="12">
        <f>VLOOKUP('Tabelle 1'!D188,'Degree of Symptoms'!$J$26:$K$30,2)</f>
        <v>5</v>
      </c>
      <c r="E179" s="18">
        <f t="shared" si="9"/>
        <v>5</v>
      </c>
      <c r="G179" s="34"/>
      <c r="H179" s="2"/>
      <c r="I179" s="2"/>
    </row>
    <row r="180" spans="1:9" x14ac:dyDescent="0.25">
      <c r="A180" s="12">
        <v>11</v>
      </c>
      <c r="B180" s="12">
        <f>VLOOKUP('Tabelle 1'!B189,'Degree of Symptoms'!$J$9:$K$13,2)</f>
        <v>5</v>
      </c>
      <c r="C180" s="12">
        <f>VLOOKUP('Tabelle 1'!C189,'Degree of Symptoms'!$J$13:$K$22,2)</f>
        <v>5</v>
      </c>
      <c r="D180" s="12">
        <f>VLOOKUP('Tabelle 1'!D189,'Degree of Symptoms'!$J$26:$K$30,2)</f>
        <v>5</v>
      </c>
      <c r="E180" s="18">
        <f t="shared" si="9"/>
        <v>5</v>
      </c>
      <c r="G180" s="34"/>
      <c r="H180" s="2"/>
      <c r="I180" s="2"/>
    </row>
    <row r="181" spans="1:9" x14ac:dyDescent="0.25">
      <c r="A181" s="12">
        <v>12</v>
      </c>
      <c r="B181" s="12">
        <f>VLOOKUP('Tabelle 1'!B190,'Degree of Symptoms'!$J$9:$K$13,2)</f>
        <v>5</v>
      </c>
      <c r="C181" s="12">
        <f>VLOOKUP('Tabelle 1'!C190,'Degree of Symptoms'!$J$13:$K$22,2)</f>
        <v>5</v>
      </c>
      <c r="D181" s="12">
        <f>VLOOKUP('Tabelle 1'!D190,'Degree of Symptoms'!$J$26:$K$30,2)</f>
        <v>5</v>
      </c>
      <c r="E181" s="18">
        <f t="shared" si="9"/>
        <v>5</v>
      </c>
      <c r="G181" s="34"/>
      <c r="H181" s="2"/>
      <c r="I181" s="2"/>
    </row>
    <row r="182" spans="1:9" x14ac:dyDescent="0.25">
      <c r="A182" s="12">
        <v>13</v>
      </c>
      <c r="B182" s="12">
        <f>VLOOKUP('Tabelle 1'!B191,'Degree of Symptoms'!$J$9:$K$13,2)</f>
        <v>5</v>
      </c>
      <c r="C182" s="12">
        <f>VLOOKUP('Tabelle 1'!C191,'Degree of Symptoms'!$J$13:$K$22,2)</f>
        <v>5</v>
      </c>
      <c r="D182" s="12">
        <f>VLOOKUP('Tabelle 1'!D191,'Degree of Symptoms'!$J$26:$K$30,2)</f>
        <v>5</v>
      </c>
      <c r="E182" s="18">
        <f t="shared" si="9"/>
        <v>5</v>
      </c>
      <c r="G182" s="34"/>
      <c r="H182" s="2"/>
      <c r="I182" s="2"/>
    </row>
    <row r="183" spans="1:9" x14ac:dyDescent="0.25">
      <c r="A183" s="12">
        <v>14</v>
      </c>
      <c r="B183" s="12">
        <f>VLOOKUP('Tabelle 1'!B192,'Degree of Symptoms'!$J$9:$K$13,2)</f>
        <v>5</v>
      </c>
      <c r="C183" s="12">
        <f>VLOOKUP('Tabelle 1'!C192,'Degree of Symptoms'!$J$13:$K$22,2)</f>
        <v>5</v>
      </c>
      <c r="D183" s="12">
        <f>VLOOKUP('Tabelle 1'!D192,'Degree of Symptoms'!$J$26:$K$30,2)</f>
        <v>5</v>
      </c>
      <c r="E183" s="18">
        <f t="shared" si="9"/>
        <v>5</v>
      </c>
      <c r="G183" s="34"/>
      <c r="H183" s="2"/>
      <c r="I183" s="2"/>
    </row>
    <row r="184" spans="1:9" x14ac:dyDescent="0.25">
      <c r="A184" s="12">
        <v>15</v>
      </c>
      <c r="B184" s="12">
        <f>VLOOKUP('Tabelle 1'!B193,'Degree of Symptoms'!$J$9:$K$13,2)</f>
        <v>5</v>
      </c>
      <c r="C184" s="12">
        <f>VLOOKUP('Tabelle 1'!C193,'Degree of Symptoms'!$J$13:$K$22,2)</f>
        <v>5</v>
      </c>
      <c r="D184" s="12">
        <f>VLOOKUP('Tabelle 1'!D193,'Degree of Symptoms'!$J$26:$K$30,2)</f>
        <v>5</v>
      </c>
      <c r="E184" s="18">
        <f t="shared" si="9"/>
        <v>5</v>
      </c>
    </row>
    <row r="185" spans="1:9" x14ac:dyDescent="0.25">
      <c r="A185" s="12"/>
      <c r="B185" s="12"/>
      <c r="C185" s="12"/>
      <c r="D185" s="12"/>
      <c r="E185" s="18"/>
      <c r="F185" s="2" t="s">
        <v>13</v>
      </c>
    </row>
    <row r="186" spans="1:9" x14ac:dyDescent="0.25">
      <c r="A186" s="20" t="s">
        <v>51</v>
      </c>
      <c r="B186" s="12">
        <f>AVERAGE(B170:B184)</f>
        <v>5</v>
      </c>
      <c r="C186" s="12">
        <f>AVERAGE(C170:C184)</f>
        <v>5</v>
      </c>
      <c r="D186" s="12">
        <f>AVERAGE(D170:D184)</f>
        <v>5</v>
      </c>
      <c r="E186" s="18">
        <f>AVERAGE(E170:E184)</f>
        <v>5</v>
      </c>
      <c r="F186" s="2">
        <f>'Tabelle 1'!G195</f>
        <v>15</v>
      </c>
    </row>
    <row r="187" spans="1:9" x14ac:dyDescent="0.25">
      <c r="A187" s="20" t="s">
        <v>52</v>
      </c>
      <c r="B187" s="12">
        <f>STDEV(B170:B184)</f>
        <v>0</v>
      </c>
      <c r="C187" s="12">
        <f>STDEV(C170:C184)</f>
        <v>0</v>
      </c>
      <c r="D187" s="12">
        <f>STDEV(D170:D184)</f>
        <v>0</v>
      </c>
      <c r="E187" s="18">
        <f>STDEV(E170:E184)</f>
        <v>0</v>
      </c>
    </row>
    <row r="190" spans="1:9" x14ac:dyDescent="0.25">
      <c r="A190" s="20">
        <f>'Tabelle 1'!A198</f>
        <v>10</v>
      </c>
      <c r="B190" s="20" t="s">
        <v>39</v>
      </c>
      <c r="C190" s="20" t="s">
        <v>40</v>
      </c>
      <c r="D190" s="20" t="s">
        <v>41</v>
      </c>
      <c r="E190" s="20" t="s">
        <v>42</v>
      </c>
      <c r="H190" s="34" t="s">
        <v>43</v>
      </c>
    </row>
    <row r="191" spans="1:9" x14ac:dyDescent="0.25">
      <c r="A191" s="12">
        <v>1</v>
      </c>
      <c r="B191" s="12">
        <f>VLOOKUP('Tabelle 1'!B200,'Degree of Symptoms'!$J$9:$K$13,2)</f>
        <v>5</v>
      </c>
      <c r="C191" s="12">
        <f>VLOOKUP('Tabelle 1'!C200,'Degree of Symptoms'!$J$13:$K$22,2)</f>
        <v>5</v>
      </c>
      <c r="D191" s="12">
        <f>VLOOKUP('Tabelle 1'!D200,'Degree of Symptoms'!$J$26:$K$30,2)</f>
        <v>5</v>
      </c>
      <c r="E191" s="18">
        <f t="shared" ref="E191:E205" si="10">AVERAGE(B191:D191)</f>
        <v>5</v>
      </c>
      <c r="G191" s="35" t="s">
        <v>44</v>
      </c>
      <c r="H191" s="1">
        <f>COUNTIFS($E$191:$E$205,"&lt;1,99",$E$191:$E$205,"&gt;=1")</f>
        <v>0</v>
      </c>
    </row>
    <row r="192" spans="1:9" x14ac:dyDescent="0.25">
      <c r="A192" s="12">
        <v>2</v>
      </c>
      <c r="B192" s="12">
        <f>VLOOKUP('Tabelle 1'!B201,'Degree of Symptoms'!$J$9:$K$13,2)</f>
        <v>5</v>
      </c>
      <c r="C192" s="12">
        <f>VLOOKUP('Tabelle 1'!C201,'Degree of Symptoms'!$J$13:$K$22,2)</f>
        <v>5</v>
      </c>
      <c r="D192" s="12">
        <f>VLOOKUP('Tabelle 1'!D201,'Degree of Symptoms'!$J$26:$K$30,2)</f>
        <v>5</v>
      </c>
      <c r="E192" s="18">
        <f t="shared" si="10"/>
        <v>5</v>
      </c>
      <c r="G192" s="35" t="s">
        <v>45</v>
      </c>
      <c r="H192" s="1">
        <f>COUNTIFS($E$191:$E$205,"&lt;2,99",$E$191:$E$205,"&gt;=2")</f>
        <v>0</v>
      </c>
    </row>
    <row r="193" spans="1:9" x14ac:dyDescent="0.25">
      <c r="A193" s="12">
        <v>3</v>
      </c>
      <c r="B193" s="12">
        <f>VLOOKUP('Tabelle 1'!B202,'Degree of Symptoms'!$J$9:$K$13,2)</f>
        <v>5</v>
      </c>
      <c r="C193" s="12">
        <f>VLOOKUP('Tabelle 1'!C202,'Degree of Symptoms'!$J$13:$K$22,2)</f>
        <v>5</v>
      </c>
      <c r="D193" s="12">
        <f>VLOOKUP('Tabelle 1'!D202,'Degree of Symptoms'!$J$26:$K$30,2)</f>
        <v>5</v>
      </c>
      <c r="E193" s="18">
        <f t="shared" si="10"/>
        <v>5</v>
      </c>
      <c r="G193" s="35" t="s">
        <v>47</v>
      </c>
      <c r="H193" s="1">
        <f>COUNTIFS($E$191:$E$205,"&lt;3,99",$E$191:$E$205,"&gt;=3")</f>
        <v>0</v>
      </c>
    </row>
    <row r="194" spans="1:9" x14ac:dyDescent="0.25">
      <c r="A194" s="12">
        <v>4</v>
      </c>
      <c r="B194" s="12">
        <f>VLOOKUP('Tabelle 1'!B203,'Degree of Symptoms'!$J$9:$K$13,2)</f>
        <v>5</v>
      </c>
      <c r="C194" s="12">
        <f>VLOOKUP('Tabelle 1'!C203,'Degree of Symptoms'!$J$13:$K$22,2)</f>
        <v>5</v>
      </c>
      <c r="D194" s="12">
        <f>VLOOKUP('Tabelle 1'!D203,'Degree of Symptoms'!$J$26:$K$30,2)</f>
        <v>5</v>
      </c>
      <c r="E194" s="18">
        <f t="shared" si="10"/>
        <v>5</v>
      </c>
      <c r="G194" s="35" t="s">
        <v>49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1'!B204,'Degree of Symptoms'!$J$9:$K$13,2)</f>
        <v>5</v>
      </c>
      <c r="C195" s="12">
        <f>VLOOKUP('Tabelle 1'!C204,'Degree of Symptoms'!$J$13:$K$22,2)</f>
        <v>5</v>
      </c>
      <c r="D195" s="12">
        <f>VLOOKUP('Tabelle 1'!D204,'Degree of Symptoms'!$J$26:$K$30,2)</f>
        <v>5</v>
      </c>
      <c r="E195" s="18">
        <f t="shared" si="10"/>
        <v>5</v>
      </c>
      <c r="G195" s="35">
        <v>5</v>
      </c>
      <c r="H195" s="1">
        <f>COUNTIF($E$191:$E$205,"&gt;=5")</f>
        <v>15</v>
      </c>
    </row>
    <row r="196" spans="1:9" x14ac:dyDescent="0.25">
      <c r="A196" s="12">
        <v>6</v>
      </c>
      <c r="B196" s="12">
        <f>VLOOKUP('Tabelle 1'!B205,'Degree of Symptoms'!$J$9:$K$13,2)</f>
        <v>5</v>
      </c>
      <c r="C196" s="12">
        <f>VLOOKUP('Tabelle 1'!C205,'Degree of Symptoms'!$J$13:$K$22,2)</f>
        <v>5</v>
      </c>
      <c r="D196" s="12">
        <f>VLOOKUP('Tabelle 1'!D205,'Degree of Symptoms'!$J$26:$K$30,2)</f>
        <v>5</v>
      </c>
      <c r="E196" s="18">
        <f t="shared" si="10"/>
        <v>5</v>
      </c>
      <c r="H196" s="1">
        <f>SUM(H191:H195)</f>
        <v>15</v>
      </c>
    </row>
    <row r="197" spans="1:9" x14ac:dyDescent="0.25">
      <c r="A197" s="12">
        <v>7</v>
      </c>
      <c r="B197" s="12">
        <f>VLOOKUP('Tabelle 1'!B206,'Degree of Symptoms'!$J$9:$K$13,2)</f>
        <v>5</v>
      </c>
      <c r="C197" s="12">
        <f>VLOOKUP('Tabelle 1'!C206,'Degree of Symptoms'!$J$13:$K$22,2)</f>
        <v>5</v>
      </c>
      <c r="D197" s="12">
        <f>VLOOKUP('Tabelle 1'!D206,'Degree of Symptoms'!$J$26:$K$30,2)</f>
        <v>5</v>
      </c>
      <c r="E197" s="18">
        <f t="shared" si="10"/>
        <v>5</v>
      </c>
    </row>
    <row r="198" spans="1:9" x14ac:dyDescent="0.25">
      <c r="A198" s="12">
        <v>8</v>
      </c>
      <c r="B198" s="12">
        <f>VLOOKUP('Tabelle 1'!B207,'Degree of Symptoms'!$J$9:$K$13,2)</f>
        <v>5</v>
      </c>
      <c r="C198" s="12">
        <f>VLOOKUP('Tabelle 1'!C207,'Degree of Symptoms'!$J$13:$K$22,2)</f>
        <v>5</v>
      </c>
      <c r="D198" s="12">
        <f>VLOOKUP('Tabelle 1'!D207,'Degree of Symptoms'!$J$26:$K$30,2)</f>
        <v>5</v>
      </c>
      <c r="E198" s="18">
        <f t="shared" si="10"/>
        <v>5</v>
      </c>
    </row>
    <row r="199" spans="1:9" x14ac:dyDescent="0.25">
      <c r="A199" s="12">
        <v>9</v>
      </c>
      <c r="B199" s="12">
        <f>VLOOKUP('Tabelle 1'!B208,'Degree of Symptoms'!$J$9:$K$13,2)</f>
        <v>5</v>
      </c>
      <c r="C199" s="12">
        <f>VLOOKUP('Tabelle 1'!C208,'Degree of Symptoms'!$J$13:$K$22,2)</f>
        <v>5</v>
      </c>
      <c r="D199" s="12">
        <f>VLOOKUP('Tabelle 1'!D208,'Degree of Symptoms'!$J$26:$K$30,2)</f>
        <v>5</v>
      </c>
      <c r="E199" s="18">
        <f t="shared" si="10"/>
        <v>5</v>
      </c>
      <c r="G199" s="34"/>
      <c r="H199" s="34"/>
      <c r="I199" s="34"/>
    </row>
    <row r="200" spans="1:9" x14ac:dyDescent="0.25">
      <c r="A200" s="12">
        <v>10</v>
      </c>
      <c r="B200" s="12">
        <f>VLOOKUP('Tabelle 1'!B209,'Degree of Symptoms'!$J$9:$K$13,2)</f>
        <v>5</v>
      </c>
      <c r="C200" s="12">
        <f>VLOOKUP('Tabelle 1'!C209,'Degree of Symptoms'!$J$13:$K$22,2)</f>
        <v>5</v>
      </c>
      <c r="D200" s="12">
        <f>VLOOKUP('Tabelle 1'!D209,'Degree of Symptoms'!$J$26:$K$30,2)</f>
        <v>5</v>
      </c>
      <c r="E200" s="18">
        <f t="shared" si="10"/>
        <v>5</v>
      </c>
      <c r="G200" s="34"/>
      <c r="H200" s="2"/>
      <c r="I200" s="2"/>
    </row>
    <row r="201" spans="1:9" x14ac:dyDescent="0.25">
      <c r="A201" s="12">
        <v>11</v>
      </c>
      <c r="B201" s="12">
        <f>VLOOKUP('Tabelle 1'!B210,'Degree of Symptoms'!$J$9:$K$13,2)</f>
        <v>5</v>
      </c>
      <c r="C201" s="12">
        <f>VLOOKUP('Tabelle 1'!C210,'Degree of Symptoms'!$J$13:$K$22,2)</f>
        <v>5</v>
      </c>
      <c r="D201" s="12">
        <f>VLOOKUP('Tabelle 1'!D210,'Degree of Symptoms'!$J$26:$K$30,2)</f>
        <v>5</v>
      </c>
      <c r="E201" s="18">
        <f t="shared" si="10"/>
        <v>5</v>
      </c>
      <c r="G201" s="34"/>
      <c r="H201" s="2"/>
      <c r="I201" s="2"/>
    </row>
    <row r="202" spans="1:9" x14ac:dyDescent="0.25">
      <c r="A202" s="12">
        <v>12</v>
      </c>
      <c r="B202" s="12">
        <f>VLOOKUP('Tabelle 1'!B211,'Degree of Symptoms'!$J$9:$K$13,2)</f>
        <v>5</v>
      </c>
      <c r="C202" s="12">
        <f>VLOOKUP('Tabelle 1'!C211,'Degree of Symptoms'!$J$13:$K$22,2)</f>
        <v>5</v>
      </c>
      <c r="D202" s="12">
        <f>VLOOKUP('Tabelle 1'!D211,'Degree of Symptoms'!$J$26:$K$30,2)</f>
        <v>5</v>
      </c>
      <c r="E202" s="18">
        <f t="shared" si="10"/>
        <v>5</v>
      </c>
      <c r="G202" s="34"/>
      <c r="H202" s="2"/>
      <c r="I202" s="2"/>
    </row>
    <row r="203" spans="1:9" x14ac:dyDescent="0.25">
      <c r="A203" s="12">
        <v>13</v>
      </c>
      <c r="B203" s="12">
        <f>VLOOKUP('Tabelle 1'!B212,'Degree of Symptoms'!$J$9:$K$13,2)</f>
        <v>5</v>
      </c>
      <c r="C203" s="12">
        <f>VLOOKUP('Tabelle 1'!C212,'Degree of Symptoms'!$J$13:$K$22,2)</f>
        <v>5</v>
      </c>
      <c r="D203" s="12">
        <f>VLOOKUP('Tabelle 1'!D212,'Degree of Symptoms'!$J$26:$K$30,2)</f>
        <v>5</v>
      </c>
      <c r="E203" s="18">
        <f t="shared" si="10"/>
        <v>5</v>
      </c>
      <c r="G203" s="34"/>
      <c r="H203" s="2"/>
      <c r="I203" s="2"/>
    </row>
    <row r="204" spans="1:9" x14ac:dyDescent="0.25">
      <c r="A204" s="12">
        <v>14</v>
      </c>
      <c r="B204" s="12">
        <f>VLOOKUP('Tabelle 1'!B213,'Degree of Symptoms'!$J$9:$K$13,2)</f>
        <v>5</v>
      </c>
      <c r="C204" s="12">
        <f>VLOOKUP('Tabelle 1'!C213,'Degree of Symptoms'!$J$13:$K$22,2)</f>
        <v>5</v>
      </c>
      <c r="D204" s="12">
        <f>VLOOKUP('Tabelle 1'!D213,'Degree of Symptoms'!$J$26:$K$30,2)</f>
        <v>5</v>
      </c>
      <c r="E204" s="18">
        <f t="shared" si="10"/>
        <v>5</v>
      </c>
      <c r="G204" s="34"/>
      <c r="H204" s="2"/>
      <c r="I204" s="2"/>
    </row>
    <row r="205" spans="1:9" x14ac:dyDescent="0.25">
      <c r="A205" s="12">
        <v>15</v>
      </c>
      <c r="B205" s="12">
        <f>VLOOKUP('Tabelle 1'!B214,'Degree of Symptoms'!$J$9:$K$13,2)</f>
        <v>5</v>
      </c>
      <c r="C205" s="12">
        <f>VLOOKUP('Tabelle 1'!C214,'Degree of Symptoms'!$J$13:$K$22,2)</f>
        <v>5</v>
      </c>
      <c r="D205" s="12">
        <f>VLOOKUP('Tabelle 1'!D214,'Degree of Symptoms'!$J$26:$K$30,2)</f>
        <v>5</v>
      </c>
      <c r="E205" s="18">
        <f t="shared" si="10"/>
        <v>5</v>
      </c>
    </row>
    <row r="206" spans="1:9" x14ac:dyDescent="0.25">
      <c r="A206" s="12"/>
      <c r="B206" s="12"/>
      <c r="C206" s="12"/>
      <c r="D206" s="12"/>
      <c r="E206" s="18"/>
      <c r="F206" s="2" t="s">
        <v>13</v>
      </c>
    </row>
    <row r="207" spans="1:9" x14ac:dyDescent="0.25">
      <c r="A207" s="20" t="s">
        <v>51</v>
      </c>
      <c r="B207" s="12">
        <f>AVERAGE(B191:B205)</f>
        <v>5</v>
      </c>
      <c r="C207" s="12">
        <f>AVERAGE(C191:C205)</f>
        <v>5</v>
      </c>
      <c r="D207" s="12">
        <f>AVERAGE(D191:D205)</f>
        <v>5</v>
      </c>
      <c r="E207" s="18">
        <f>AVERAGE(E191:E205)</f>
        <v>5</v>
      </c>
      <c r="F207" s="2">
        <f>'Tabelle 1'!G216</f>
        <v>15</v>
      </c>
    </row>
    <row r="208" spans="1:9" x14ac:dyDescent="0.25">
      <c r="A208" s="20" t="s">
        <v>52</v>
      </c>
      <c r="B208" s="12">
        <f>STDEV(B191:B205)</f>
        <v>0</v>
      </c>
      <c r="C208" s="12">
        <f>STDEV(C191:C205)</f>
        <v>0</v>
      </c>
      <c r="D208" s="12">
        <f>STDEV(D191:D205)</f>
        <v>0</v>
      </c>
      <c r="E208" s="18">
        <f>STDEV(E191:E205)</f>
        <v>0</v>
      </c>
    </row>
    <row r="211" spans="1:9" x14ac:dyDescent="0.25">
      <c r="A211" s="20">
        <f>'Tabelle 1'!A219</f>
        <v>11</v>
      </c>
      <c r="B211" s="20" t="s">
        <v>39</v>
      </c>
      <c r="C211" s="20" t="s">
        <v>40</v>
      </c>
      <c r="D211" s="20" t="s">
        <v>41</v>
      </c>
      <c r="E211" s="20" t="s">
        <v>42</v>
      </c>
      <c r="H211" s="34" t="s">
        <v>43</v>
      </c>
    </row>
    <row r="212" spans="1:9" x14ac:dyDescent="0.25">
      <c r="A212" s="12">
        <v>1</v>
      </c>
      <c r="B212" s="12">
        <f>VLOOKUP('Tabelle 1'!B221,'Degree of Symptoms'!$J$9:$K$13,2)</f>
        <v>5</v>
      </c>
      <c r="C212" s="12">
        <f>VLOOKUP('Tabelle 1'!C221,'Degree of Symptoms'!$J$13:$K$22,2)</f>
        <v>5</v>
      </c>
      <c r="D212" s="12">
        <f>VLOOKUP('Tabelle 1'!D221,'Degree of Symptoms'!$J$26:$K$30,2)</f>
        <v>5</v>
      </c>
      <c r="E212" s="18">
        <f t="shared" ref="E212:E226" si="11">AVERAGE(B212:D212)</f>
        <v>5</v>
      </c>
      <c r="G212" s="35" t="s">
        <v>44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1'!B222,'Degree of Symptoms'!$J$9:$K$13,2)</f>
        <v>5</v>
      </c>
      <c r="C213" s="12">
        <f>VLOOKUP('Tabelle 1'!C222,'Degree of Symptoms'!$J$13:$K$22,2)</f>
        <v>5</v>
      </c>
      <c r="D213" s="12">
        <f>VLOOKUP('Tabelle 1'!D222,'Degree of Symptoms'!$J$26:$K$30,2)</f>
        <v>5</v>
      </c>
      <c r="E213" s="18">
        <f t="shared" si="11"/>
        <v>5</v>
      </c>
      <c r="G213" s="35" t="s">
        <v>45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1'!B223,'Degree of Symptoms'!$J$9:$K$13,2)</f>
        <v>5</v>
      </c>
      <c r="C214" s="12">
        <f>VLOOKUP('Tabelle 1'!C223,'Degree of Symptoms'!$J$13:$K$22,2)</f>
        <v>5</v>
      </c>
      <c r="D214" s="12">
        <f>VLOOKUP('Tabelle 1'!D223,'Degree of Symptoms'!$J$26:$K$30,2)</f>
        <v>5</v>
      </c>
      <c r="E214" s="18">
        <f t="shared" si="11"/>
        <v>5</v>
      </c>
      <c r="G214" s="35" t="s">
        <v>47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1'!B224,'Degree of Symptoms'!$J$9:$K$13,2)</f>
        <v>5</v>
      </c>
      <c r="C215" s="12">
        <f>VLOOKUP('Tabelle 1'!C224,'Degree of Symptoms'!$J$13:$K$22,2)</f>
        <v>5</v>
      </c>
      <c r="D215" s="12">
        <f>VLOOKUP('Tabelle 1'!D224,'Degree of Symptoms'!$J$26:$K$30,2)</f>
        <v>5</v>
      </c>
      <c r="E215" s="18">
        <f t="shared" si="11"/>
        <v>5</v>
      </c>
      <c r="G215" s="35" t="s">
        <v>49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1'!B225,'Degree of Symptoms'!$J$9:$K$13,2)</f>
        <v>5</v>
      </c>
      <c r="C216" s="12">
        <f>VLOOKUP('Tabelle 1'!C225,'Degree of Symptoms'!$J$13:$K$22,2)</f>
        <v>5</v>
      </c>
      <c r="D216" s="12">
        <f>VLOOKUP('Tabelle 1'!D225,'Degree of Symptoms'!$J$26:$K$30,2)</f>
        <v>5</v>
      </c>
      <c r="E216" s="18">
        <f t="shared" si="11"/>
        <v>5</v>
      </c>
      <c r="G216" s="35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1'!B226,'Degree of Symptoms'!$J$9:$K$13,2)</f>
        <v>5</v>
      </c>
      <c r="C217" s="12">
        <f>VLOOKUP('Tabelle 1'!C226,'Degree of Symptoms'!$J$13:$K$22,2)</f>
        <v>5</v>
      </c>
      <c r="D217" s="12">
        <f>VLOOKUP('Tabelle 1'!D226,'Degree of Symptoms'!$J$26:$K$30,2)</f>
        <v>5</v>
      </c>
      <c r="E217" s="18">
        <f t="shared" si="11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1'!B227,'Degree of Symptoms'!$J$9:$K$13,2)</f>
        <v>5</v>
      </c>
      <c r="C218" s="12">
        <f>VLOOKUP('Tabelle 1'!C227,'Degree of Symptoms'!$J$13:$K$22,2)</f>
        <v>5</v>
      </c>
      <c r="D218" s="12">
        <f>VLOOKUP('Tabelle 1'!D227,'Degree of Symptoms'!$J$26:$K$30,2)</f>
        <v>5</v>
      </c>
      <c r="E218" s="18">
        <f t="shared" si="11"/>
        <v>5</v>
      </c>
    </row>
    <row r="219" spans="1:9" x14ac:dyDescent="0.25">
      <c r="A219" s="12">
        <v>8</v>
      </c>
      <c r="B219" s="12">
        <f>VLOOKUP('Tabelle 1'!B228,'Degree of Symptoms'!$J$9:$K$13,2)</f>
        <v>5</v>
      </c>
      <c r="C219" s="12">
        <f>VLOOKUP('Tabelle 1'!C228,'Degree of Symptoms'!$J$13:$K$22,2)</f>
        <v>5</v>
      </c>
      <c r="D219" s="12">
        <f>VLOOKUP('Tabelle 1'!D228,'Degree of Symptoms'!$J$26:$K$30,2)</f>
        <v>5</v>
      </c>
      <c r="E219" s="18">
        <f t="shared" si="11"/>
        <v>5</v>
      </c>
    </row>
    <row r="220" spans="1:9" x14ac:dyDescent="0.25">
      <c r="A220" s="12">
        <v>9</v>
      </c>
      <c r="B220" s="12">
        <f>VLOOKUP('Tabelle 1'!B229,'Degree of Symptoms'!$J$9:$K$13,2)</f>
        <v>5</v>
      </c>
      <c r="C220" s="12">
        <f>VLOOKUP('Tabelle 1'!C229,'Degree of Symptoms'!$J$13:$K$22,2)</f>
        <v>5</v>
      </c>
      <c r="D220" s="12">
        <f>VLOOKUP('Tabelle 1'!D229,'Degree of Symptoms'!$J$26:$K$30,2)</f>
        <v>5</v>
      </c>
      <c r="E220" s="18">
        <f t="shared" si="11"/>
        <v>5</v>
      </c>
      <c r="G220" s="34"/>
      <c r="H220" s="34"/>
      <c r="I220" s="34"/>
    </row>
    <row r="221" spans="1:9" x14ac:dyDescent="0.25">
      <c r="A221" s="12">
        <v>10</v>
      </c>
      <c r="B221" s="12">
        <f>VLOOKUP('Tabelle 1'!B230,'Degree of Symptoms'!$J$9:$K$13,2)</f>
        <v>5</v>
      </c>
      <c r="C221" s="12">
        <f>VLOOKUP('Tabelle 1'!C230,'Degree of Symptoms'!$J$13:$K$22,2)</f>
        <v>5</v>
      </c>
      <c r="D221" s="12">
        <f>VLOOKUP('Tabelle 1'!D230,'Degree of Symptoms'!$J$26:$K$30,2)</f>
        <v>5</v>
      </c>
      <c r="E221" s="18">
        <f t="shared" si="11"/>
        <v>5</v>
      </c>
      <c r="G221" s="34"/>
      <c r="H221" s="2"/>
      <c r="I221" s="2"/>
    </row>
    <row r="222" spans="1:9" x14ac:dyDescent="0.25">
      <c r="A222" s="12">
        <v>11</v>
      </c>
      <c r="B222" s="12">
        <f>VLOOKUP('Tabelle 1'!B231,'Degree of Symptoms'!$J$9:$K$13,2)</f>
        <v>5</v>
      </c>
      <c r="C222" s="12">
        <f>VLOOKUP('Tabelle 1'!C231,'Degree of Symptoms'!$J$13:$K$22,2)</f>
        <v>5</v>
      </c>
      <c r="D222" s="12">
        <f>VLOOKUP('Tabelle 1'!D231,'Degree of Symptoms'!$J$26:$K$30,2)</f>
        <v>5</v>
      </c>
      <c r="E222" s="18">
        <f t="shared" si="11"/>
        <v>5</v>
      </c>
      <c r="G222" s="34"/>
      <c r="H222" s="2"/>
      <c r="I222" s="2"/>
    </row>
    <row r="223" spans="1:9" x14ac:dyDescent="0.25">
      <c r="A223" s="12">
        <v>12</v>
      </c>
      <c r="B223" s="12">
        <f>VLOOKUP('Tabelle 1'!B232,'Degree of Symptoms'!$J$9:$K$13,2)</f>
        <v>5</v>
      </c>
      <c r="C223" s="12">
        <f>VLOOKUP('Tabelle 1'!C232,'Degree of Symptoms'!$J$13:$K$22,2)</f>
        <v>5</v>
      </c>
      <c r="D223" s="12">
        <f>VLOOKUP('Tabelle 1'!D232,'Degree of Symptoms'!$J$26:$K$30,2)</f>
        <v>5</v>
      </c>
      <c r="E223" s="18">
        <f t="shared" si="11"/>
        <v>5</v>
      </c>
      <c r="G223" s="34"/>
      <c r="H223" s="2"/>
      <c r="I223" s="2"/>
    </row>
    <row r="224" spans="1:9" x14ac:dyDescent="0.25">
      <c r="A224" s="12">
        <v>13</v>
      </c>
      <c r="B224" s="12">
        <f>VLOOKUP('Tabelle 1'!B233,'Degree of Symptoms'!$J$9:$K$13,2)</f>
        <v>5</v>
      </c>
      <c r="C224" s="12">
        <f>VLOOKUP('Tabelle 1'!C233,'Degree of Symptoms'!$J$13:$K$22,2)</f>
        <v>5</v>
      </c>
      <c r="D224" s="12">
        <f>VLOOKUP('Tabelle 1'!D233,'Degree of Symptoms'!$J$26:$K$30,2)</f>
        <v>5</v>
      </c>
      <c r="E224" s="18">
        <f t="shared" si="11"/>
        <v>5</v>
      </c>
      <c r="G224" s="34"/>
      <c r="H224" s="2"/>
      <c r="I224" s="2"/>
    </row>
    <row r="225" spans="1:9" x14ac:dyDescent="0.25">
      <c r="A225" s="12">
        <v>14</v>
      </c>
      <c r="B225" s="12">
        <f>VLOOKUP('Tabelle 1'!B234,'Degree of Symptoms'!$J$9:$K$13,2)</f>
        <v>5</v>
      </c>
      <c r="C225" s="12">
        <f>VLOOKUP('Tabelle 1'!C234,'Degree of Symptoms'!$J$13:$K$22,2)</f>
        <v>5</v>
      </c>
      <c r="D225" s="12">
        <f>VLOOKUP('Tabelle 1'!D234,'Degree of Symptoms'!$J$26:$K$30,2)</f>
        <v>5</v>
      </c>
      <c r="E225" s="18">
        <f t="shared" si="11"/>
        <v>5</v>
      </c>
      <c r="G225" s="34"/>
      <c r="H225" s="2"/>
      <c r="I225" s="2"/>
    </row>
    <row r="226" spans="1:9" x14ac:dyDescent="0.25">
      <c r="A226" s="12">
        <v>15</v>
      </c>
      <c r="B226" s="12">
        <f>VLOOKUP('Tabelle 1'!B235,'Degree of Symptoms'!$J$9:$K$13,2)</f>
        <v>5</v>
      </c>
      <c r="C226" s="12">
        <f>VLOOKUP('Tabelle 1'!C235,'Degree of Symptoms'!$J$13:$K$22,2)</f>
        <v>5</v>
      </c>
      <c r="D226" s="12">
        <f>VLOOKUP('Tabelle 1'!D235,'Degree of Symptoms'!$J$26:$K$30,2)</f>
        <v>5</v>
      </c>
      <c r="E226" s="18">
        <f t="shared" si="11"/>
        <v>5</v>
      </c>
    </row>
    <row r="227" spans="1:9" x14ac:dyDescent="0.25">
      <c r="A227" s="12"/>
      <c r="B227" s="12"/>
      <c r="C227" s="12"/>
      <c r="D227" s="12"/>
      <c r="E227" s="18"/>
      <c r="F227" s="2" t="s">
        <v>13</v>
      </c>
    </row>
    <row r="228" spans="1:9" x14ac:dyDescent="0.25">
      <c r="A228" s="20" t="s">
        <v>51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8">
        <f>AVERAGE(E212:E226)</f>
        <v>5</v>
      </c>
      <c r="F228" s="2">
        <f>'Tabelle 1'!G237</f>
        <v>15</v>
      </c>
    </row>
    <row r="229" spans="1:9" x14ac:dyDescent="0.25">
      <c r="A229" s="20" t="s">
        <v>52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8">
        <f>STDEV(E212:E226)</f>
        <v>0</v>
      </c>
    </row>
    <row r="232" spans="1:9" x14ac:dyDescent="0.25">
      <c r="A232" s="20">
        <f>'Tabelle 1'!A240</f>
        <v>12</v>
      </c>
      <c r="B232" s="20" t="s">
        <v>39</v>
      </c>
      <c r="C232" s="20" t="s">
        <v>40</v>
      </c>
      <c r="D232" s="20" t="s">
        <v>41</v>
      </c>
      <c r="E232" s="20" t="s">
        <v>42</v>
      </c>
      <c r="H232" s="34" t="s">
        <v>43</v>
      </c>
    </row>
    <row r="233" spans="1:9" x14ac:dyDescent="0.25">
      <c r="A233" s="12">
        <v>1</v>
      </c>
      <c r="B233" s="12">
        <f>VLOOKUP('Tabelle 1'!B242,'Degree of Symptoms'!$J$9:$K$13,2)</f>
        <v>5</v>
      </c>
      <c r="C233" s="12">
        <f>VLOOKUP('Tabelle 1'!C242,'Degree of Symptoms'!$J$13:$K$22,2)</f>
        <v>5</v>
      </c>
      <c r="D233" s="12">
        <f>VLOOKUP('Tabelle 1'!D242,'Degree of Symptoms'!$J$26:$K$30,2)</f>
        <v>5</v>
      </c>
      <c r="E233" s="18">
        <f t="shared" ref="E233:E247" si="12">AVERAGE(B233:D233)</f>
        <v>5</v>
      </c>
      <c r="G233" s="35" t="s">
        <v>44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1'!B243,'Degree of Symptoms'!$J$9:$K$13,2)</f>
        <v>5</v>
      </c>
      <c r="C234" s="12">
        <f>VLOOKUP('Tabelle 1'!C243,'Degree of Symptoms'!$J$13:$K$22,2)</f>
        <v>5</v>
      </c>
      <c r="D234" s="12">
        <f>VLOOKUP('Tabelle 1'!D243,'Degree of Symptoms'!$J$26:$K$30,2)</f>
        <v>5</v>
      </c>
      <c r="E234" s="18">
        <f t="shared" si="12"/>
        <v>5</v>
      </c>
      <c r="G234" s="35" t="s">
        <v>45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1'!B244,'Degree of Symptoms'!$J$9:$K$13,2)</f>
        <v>5</v>
      </c>
      <c r="C235" s="12">
        <f>VLOOKUP('Tabelle 1'!C244,'Degree of Symptoms'!$J$13:$K$22,2)</f>
        <v>5</v>
      </c>
      <c r="D235" s="12">
        <f>VLOOKUP('Tabelle 1'!D244,'Degree of Symptoms'!$J$26:$K$30,2)</f>
        <v>5</v>
      </c>
      <c r="E235" s="18">
        <f t="shared" si="12"/>
        <v>5</v>
      </c>
      <c r="G235" s="35" t="s">
        <v>47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1'!B245,'Degree of Symptoms'!$J$9:$K$13,2)</f>
        <v>5</v>
      </c>
      <c r="C236" s="12">
        <f>VLOOKUP('Tabelle 1'!C245,'Degree of Symptoms'!$J$13:$K$22,2)</f>
        <v>5</v>
      </c>
      <c r="D236" s="12">
        <f>VLOOKUP('Tabelle 1'!D245,'Degree of Symptoms'!$J$26:$K$30,2)</f>
        <v>5</v>
      </c>
      <c r="E236" s="18">
        <f t="shared" si="12"/>
        <v>5</v>
      </c>
      <c r="G236" s="35" t="s">
        <v>49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1'!B246,'Degree of Symptoms'!$J$9:$K$13,2)</f>
        <v>5</v>
      </c>
      <c r="C237" s="12">
        <f>VLOOKUP('Tabelle 1'!C246,'Degree of Symptoms'!$J$13:$K$22,2)</f>
        <v>5</v>
      </c>
      <c r="D237" s="12">
        <f>VLOOKUP('Tabelle 1'!D246,'Degree of Symptoms'!$J$26:$K$30,2)</f>
        <v>5</v>
      </c>
      <c r="E237" s="18">
        <f t="shared" si="12"/>
        <v>5</v>
      </c>
      <c r="G237" s="35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1'!B247,'Degree of Symptoms'!$J$9:$K$13,2)</f>
        <v>5</v>
      </c>
      <c r="C238" s="12">
        <f>VLOOKUP('Tabelle 1'!C247,'Degree of Symptoms'!$J$13:$K$22,2)</f>
        <v>5</v>
      </c>
      <c r="D238" s="12">
        <f>VLOOKUP('Tabelle 1'!D247,'Degree of Symptoms'!$J$26:$K$30,2)</f>
        <v>5</v>
      </c>
      <c r="E238" s="18">
        <f t="shared" si="12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1'!B248,'Degree of Symptoms'!$J$9:$K$13,2)</f>
        <v>5</v>
      </c>
      <c r="C239" s="12">
        <f>VLOOKUP('Tabelle 1'!C248,'Degree of Symptoms'!$J$13:$K$22,2)</f>
        <v>5</v>
      </c>
      <c r="D239" s="12">
        <f>VLOOKUP('Tabelle 1'!D248,'Degree of Symptoms'!$J$26:$K$30,2)</f>
        <v>5</v>
      </c>
      <c r="E239" s="18">
        <f t="shared" si="12"/>
        <v>5</v>
      </c>
    </row>
    <row r="240" spans="1:9" x14ac:dyDescent="0.25">
      <c r="A240" s="12">
        <v>8</v>
      </c>
      <c r="B240" s="12">
        <f>VLOOKUP('Tabelle 1'!B249,'Degree of Symptoms'!$J$9:$K$13,2)</f>
        <v>5</v>
      </c>
      <c r="C240" s="12">
        <f>VLOOKUP('Tabelle 1'!C249,'Degree of Symptoms'!$J$13:$K$22,2)</f>
        <v>5</v>
      </c>
      <c r="D240" s="12">
        <f>VLOOKUP('Tabelle 1'!D249,'Degree of Symptoms'!$J$26:$K$30,2)</f>
        <v>5</v>
      </c>
      <c r="E240" s="18">
        <f t="shared" si="12"/>
        <v>5</v>
      </c>
    </row>
    <row r="241" spans="1:9" x14ac:dyDescent="0.25">
      <c r="A241" s="12">
        <v>9</v>
      </c>
      <c r="B241" s="12">
        <f>VLOOKUP('Tabelle 1'!B250,'Degree of Symptoms'!$J$9:$K$13,2)</f>
        <v>5</v>
      </c>
      <c r="C241" s="12">
        <f>VLOOKUP('Tabelle 1'!C250,'Degree of Symptoms'!$J$13:$K$22,2)</f>
        <v>5</v>
      </c>
      <c r="D241" s="12">
        <f>VLOOKUP('Tabelle 1'!D250,'Degree of Symptoms'!$J$26:$K$30,2)</f>
        <v>5</v>
      </c>
      <c r="E241" s="18">
        <f t="shared" si="12"/>
        <v>5</v>
      </c>
      <c r="G241" s="34"/>
      <c r="H241" s="34"/>
      <c r="I241" s="34"/>
    </row>
    <row r="242" spans="1:9" x14ac:dyDescent="0.25">
      <c r="A242" s="12">
        <v>10</v>
      </c>
      <c r="B242" s="12">
        <f>VLOOKUP('Tabelle 1'!B251,'Degree of Symptoms'!$J$9:$K$13,2)</f>
        <v>5</v>
      </c>
      <c r="C242" s="12">
        <f>VLOOKUP('Tabelle 1'!C251,'Degree of Symptoms'!$J$13:$K$22,2)</f>
        <v>5</v>
      </c>
      <c r="D242" s="12">
        <f>VLOOKUP('Tabelle 1'!D251,'Degree of Symptoms'!$J$26:$K$30,2)</f>
        <v>5</v>
      </c>
      <c r="E242" s="18">
        <f t="shared" si="12"/>
        <v>5</v>
      </c>
      <c r="G242" s="34"/>
      <c r="H242" s="2"/>
      <c r="I242" s="2"/>
    </row>
    <row r="243" spans="1:9" x14ac:dyDescent="0.25">
      <c r="A243" s="12">
        <v>11</v>
      </c>
      <c r="B243" s="12">
        <f>VLOOKUP('Tabelle 1'!B252,'Degree of Symptoms'!$J$9:$K$13,2)</f>
        <v>5</v>
      </c>
      <c r="C243" s="12">
        <f>VLOOKUP('Tabelle 1'!C252,'Degree of Symptoms'!$J$13:$K$22,2)</f>
        <v>5</v>
      </c>
      <c r="D243" s="12">
        <f>VLOOKUP('Tabelle 1'!D252,'Degree of Symptoms'!$J$26:$K$30,2)</f>
        <v>5</v>
      </c>
      <c r="E243" s="18">
        <f t="shared" si="12"/>
        <v>5</v>
      </c>
      <c r="G243" s="34"/>
      <c r="H243" s="2"/>
      <c r="I243" s="2"/>
    </row>
    <row r="244" spans="1:9" x14ac:dyDescent="0.25">
      <c r="A244" s="12">
        <v>12</v>
      </c>
      <c r="B244" s="12">
        <f>VLOOKUP('Tabelle 1'!B253,'Degree of Symptoms'!$J$9:$K$13,2)</f>
        <v>5</v>
      </c>
      <c r="C244" s="12">
        <f>VLOOKUP('Tabelle 1'!C253,'Degree of Symptoms'!$J$13:$K$22,2)</f>
        <v>5</v>
      </c>
      <c r="D244" s="12">
        <f>VLOOKUP('Tabelle 1'!D253,'Degree of Symptoms'!$J$26:$K$30,2)</f>
        <v>5</v>
      </c>
      <c r="E244" s="18">
        <f t="shared" si="12"/>
        <v>5</v>
      </c>
      <c r="G244" s="34"/>
      <c r="H244" s="2"/>
      <c r="I244" s="2"/>
    </row>
    <row r="245" spans="1:9" x14ac:dyDescent="0.25">
      <c r="A245" s="12">
        <v>13</v>
      </c>
      <c r="B245" s="12">
        <f>VLOOKUP('Tabelle 1'!B254,'Degree of Symptoms'!$J$9:$K$13,2)</f>
        <v>5</v>
      </c>
      <c r="C245" s="12">
        <f>VLOOKUP('Tabelle 1'!C254,'Degree of Symptoms'!$J$13:$K$22,2)</f>
        <v>5</v>
      </c>
      <c r="D245" s="12">
        <f>VLOOKUP('Tabelle 1'!D254,'Degree of Symptoms'!$J$26:$K$30,2)</f>
        <v>5</v>
      </c>
      <c r="E245" s="18">
        <f t="shared" si="12"/>
        <v>5</v>
      </c>
      <c r="G245" s="34"/>
      <c r="H245" s="2"/>
      <c r="I245" s="2"/>
    </row>
    <row r="246" spans="1:9" x14ac:dyDescent="0.25">
      <c r="A246" s="12">
        <v>14</v>
      </c>
      <c r="B246" s="12">
        <f>VLOOKUP('Tabelle 1'!B255,'Degree of Symptoms'!$J$9:$K$13,2)</f>
        <v>5</v>
      </c>
      <c r="C246" s="12">
        <f>VLOOKUP('Tabelle 1'!C255,'Degree of Symptoms'!$J$13:$K$22,2)</f>
        <v>5</v>
      </c>
      <c r="D246" s="12">
        <f>VLOOKUP('Tabelle 1'!D255,'Degree of Symptoms'!$J$26:$K$30,2)</f>
        <v>5</v>
      </c>
      <c r="E246" s="18">
        <f t="shared" si="12"/>
        <v>5</v>
      </c>
      <c r="G246" s="34"/>
      <c r="H246" s="2"/>
      <c r="I246" s="2"/>
    </row>
    <row r="247" spans="1:9" x14ac:dyDescent="0.25">
      <c r="A247" s="12">
        <v>15</v>
      </c>
      <c r="B247" s="12">
        <f>VLOOKUP('Tabelle 1'!B256,'Degree of Symptoms'!$J$9:$K$13,2)</f>
        <v>5</v>
      </c>
      <c r="C247" s="12">
        <f>VLOOKUP('Tabelle 1'!C256,'Degree of Symptoms'!$J$13:$K$22,2)</f>
        <v>5</v>
      </c>
      <c r="D247" s="12">
        <f>VLOOKUP('Tabelle 1'!D256,'Degree of Symptoms'!$J$26:$K$30,2)</f>
        <v>5</v>
      </c>
      <c r="E247" s="18">
        <f t="shared" si="12"/>
        <v>5</v>
      </c>
    </row>
    <row r="248" spans="1:9" x14ac:dyDescent="0.25">
      <c r="A248" s="12"/>
      <c r="B248" s="12"/>
      <c r="C248" s="12"/>
      <c r="D248" s="12"/>
      <c r="E248" s="18"/>
      <c r="F248" s="2" t="s">
        <v>13</v>
      </c>
    </row>
    <row r="249" spans="1:9" x14ac:dyDescent="0.25">
      <c r="A249" s="20" t="s">
        <v>51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8">
        <f>AVERAGE(E233:E247)</f>
        <v>5</v>
      </c>
      <c r="F249" s="2">
        <f>'Tabelle 1'!G258</f>
        <v>15</v>
      </c>
    </row>
    <row r="250" spans="1:9" x14ac:dyDescent="0.25">
      <c r="A250" s="20" t="s">
        <v>52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8">
        <f>STDEV(E233:E247)</f>
        <v>0</v>
      </c>
    </row>
    <row r="251" spans="1:9" x14ac:dyDescent="0.25">
      <c r="E251" s="15"/>
    </row>
    <row r="252" spans="1:9" x14ac:dyDescent="0.25">
      <c r="E252" s="15"/>
    </row>
    <row r="253" spans="1:9" x14ac:dyDescent="0.25">
      <c r="E253" s="15"/>
    </row>
    <row r="254" spans="1:9" x14ac:dyDescent="0.25">
      <c r="E254" s="15"/>
    </row>
    <row r="255" spans="1:9" x14ac:dyDescent="0.25">
      <c r="E255" s="15"/>
    </row>
    <row r="256" spans="1:9" x14ac:dyDescent="0.25">
      <c r="E256" s="15"/>
    </row>
    <row r="257" spans="5:5" x14ac:dyDescent="0.25">
      <c r="E257" s="15"/>
    </row>
    <row r="258" spans="5:5" x14ac:dyDescent="0.25">
      <c r="E258" s="15"/>
    </row>
    <row r="259" spans="5:5" x14ac:dyDescent="0.25">
      <c r="E259" s="15"/>
    </row>
    <row r="260" spans="5:5" x14ac:dyDescent="0.25">
      <c r="E260" s="15"/>
    </row>
    <row r="261" spans="5:5" x14ac:dyDescent="0.25">
      <c r="E261" s="15"/>
    </row>
    <row r="262" spans="5:5" x14ac:dyDescent="0.25">
      <c r="E262" s="15"/>
    </row>
    <row r="263" spans="5:5" x14ac:dyDescent="0.25">
      <c r="E263" s="15"/>
    </row>
    <row r="264" spans="5:5" x14ac:dyDescent="0.25">
      <c r="E264" s="15"/>
    </row>
    <row r="265" spans="5:5" x14ac:dyDescent="0.25">
      <c r="E265" s="15"/>
    </row>
    <row r="266" spans="5:5" x14ac:dyDescent="0.25">
      <c r="E266" s="15"/>
    </row>
    <row r="267" spans="5:5" x14ac:dyDescent="0.25">
      <c r="E267" s="15"/>
    </row>
    <row r="268" spans="5:5" x14ac:dyDescent="0.25">
      <c r="E268" s="15"/>
    </row>
    <row r="269" spans="5:5" x14ac:dyDescent="0.25">
      <c r="E269" s="15"/>
    </row>
  </sheetData>
  <sheetProtection selectLockedCells="1" selectUnlockedCells="1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topLeftCell="A13" zoomScale="117" zoomScaleNormal="117" workbookViewId="0">
      <selection activeCell="R19" sqref="R19"/>
    </sheetView>
  </sheetViews>
  <sheetFormatPr defaultColWidth="8.44140625" defaultRowHeight="14.4" x14ac:dyDescent="0.3"/>
  <cols>
    <col min="1" max="16384" width="8.44140625" style="25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Tabelle 1</vt:lpstr>
      <vt:lpstr>Summary</vt:lpstr>
      <vt:lpstr>Degree of Symptoms</vt:lpstr>
      <vt:lpstr>Tabelle1 (2)</vt:lpstr>
      <vt:lpstr>Diagramm4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Chávez</cp:lastModifiedBy>
  <dcterms:modified xsi:type="dcterms:W3CDTF">2024-05-29T22:57:06Z</dcterms:modified>
</cp:coreProperties>
</file>